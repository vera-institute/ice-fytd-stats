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z02vdm2icow\hqwirmgfs07\vol1\Share\LESA\STU\~STU\~~Folder Rebuild\Standard Reports\Biweekly\ICE Detention Statistics for ICE.gov\FY2023\20230619\Final\"/>
    </mc:Choice>
  </mc:AlternateContent>
  <xr:revisionPtr revIDLastSave="0" documentId="13_ncr:1_{01404128-EAAC-42D1-A256-B2A6DD509B52}" xr6:coauthVersionLast="47" xr6:coauthVersionMax="47" xr10:uidLastSave="{00000000-0000-0000-0000-000000000000}"/>
  <bookViews>
    <workbookView xWindow="28680" yWindow="-120" windowWidth="29040" windowHeight="15840" tabRatio="668" xr2:uid="{00000000-000D-0000-FFFF-FFFF00000000}"/>
  </bookViews>
  <sheets>
    <sheet name="Header" sheetId="9" r:id="rId1"/>
    <sheet name="ATD FY23 YTD" sheetId="22" r:id="rId2"/>
    <sheet name="Detention FY23" sheetId="24" r:id="rId3"/>
    <sheet name=" ICLOS and Detainees" sheetId="25" r:id="rId4"/>
    <sheet name="Monthly Bond Statistics" sheetId="26" r:id="rId5"/>
    <sheet name="Semiannual" sheetId="27" r:id="rId6"/>
    <sheet name="Facilities FY23" sheetId="23" r:id="rId7"/>
    <sheet name="Trans. Detainee Pop. FY23" sheetId="19" r:id="rId8"/>
    <sheet name="Vulnerable &amp; Special Population" sheetId="14" r:id="rId9"/>
    <sheet name="Footnotes" sheetId="28" r:id="rId10"/>
  </sheets>
  <definedNames>
    <definedName name="_xlnm._FilterDatabase" localSheetId="5" hidden="1">Semiannual!$A$85:$F$101</definedName>
    <definedName name="_xlnm.Print_Area" localSheetId="2">'Detention FY23'!$A$1:$V$110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6" i="26" l="1"/>
  <c r="N6" i="26"/>
  <c r="M6" i="26"/>
  <c r="L6" i="26"/>
  <c r="K6" i="26"/>
  <c r="J6" i="26"/>
  <c r="I6" i="26"/>
  <c r="H6" i="26"/>
  <c r="G6" i="26"/>
  <c r="F6" i="26"/>
  <c r="E6" i="26"/>
  <c r="D6" i="26"/>
  <c r="C6" i="26"/>
  <c r="B6" i="26"/>
  <c r="BU47" i="25"/>
  <c r="BT47" i="25"/>
  <c r="BS47" i="25"/>
  <c r="BR47" i="25"/>
  <c r="BQ47" i="25"/>
  <c r="BP47" i="25"/>
  <c r="BO47" i="25"/>
  <c r="BN47" i="25"/>
  <c r="BM47" i="25"/>
  <c r="BL47" i="25"/>
  <c r="BK47" i="25"/>
  <c r="BJ47" i="25"/>
  <c r="BI47" i="25"/>
  <c r="BH47" i="25"/>
  <c r="BG47" i="25"/>
  <c r="BF47" i="25"/>
  <c r="BE47" i="25"/>
  <c r="BD47" i="25"/>
  <c r="BC47" i="25"/>
  <c r="BB47" i="25"/>
  <c r="BA47" i="25"/>
  <c r="AZ47" i="25"/>
  <c r="AY47" i="25"/>
  <c r="AX47" i="25"/>
  <c r="AW47" i="25"/>
  <c r="AV47" i="25"/>
  <c r="AU47" i="25"/>
  <c r="AT47" i="25"/>
  <c r="AS47" i="25"/>
  <c r="AR47" i="25"/>
  <c r="AQ47" i="25"/>
  <c r="AP47" i="25"/>
  <c r="AO47" i="25"/>
  <c r="AN47" i="25"/>
  <c r="AM47" i="25"/>
  <c r="AL47" i="25"/>
  <c r="AK47"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C47" i="25"/>
  <c r="B47" i="25"/>
  <c r="BU46" i="25"/>
  <c r="BT46" i="25"/>
  <c r="BS46" i="25"/>
  <c r="BR46" i="25"/>
  <c r="BQ46" i="25"/>
  <c r="BP46" i="25"/>
  <c r="BO46" i="25"/>
  <c r="BN46" i="25"/>
  <c r="BM46" i="25"/>
  <c r="BL46" i="25"/>
  <c r="BK46" i="25"/>
  <c r="BJ46" i="25"/>
  <c r="BI46" i="25"/>
  <c r="BH46" i="25"/>
  <c r="BG46" i="25"/>
  <c r="BF46" i="25"/>
  <c r="BE46" i="25"/>
  <c r="BD46" i="25"/>
  <c r="BC46" i="25"/>
  <c r="BB46" i="25"/>
  <c r="BA46" i="25"/>
  <c r="AZ46" i="25"/>
  <c r="AY46" i="25"/>
  <c r="AX46" i="25"/>
  <c r="AW46" i="25"/>
  <c r="AV46" i="25"/>
  <c r="AU46" i="25"/>
  <c r="AT46" i="25"/>
  <c r="AS46" i="25"/>
  <c r="AR46" i="25"/>
  <c r="AQ46" i="25"/>
  <c r="AP46" i="25"/>
  <c r="AO46" i="25"/>
  <c r="AN46" i="25"/>
  <c r="AM46" i="25"/>
  <c r="AL46" i="25"/>
  <c r="AK46"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C46" i="25"/>
  <c r="B46" i="25"/>
  <c r="BU45" i="25"/>
  <c r="BT45" i="25"/>
  <c r="BS45" i="25"/>
  <c r="BR45" i="25"/>
  <c r="BQ45" i="25"/>
  <c r="BP45" i="25"/>
  <c r="BO45" i="25"/>
  <c r="BN45" i="25"/>
  <c r="BM45" i="25"/>
  <c r="BL45" i="25"/>
  <c r="BK45" i="25"/>
  <c r="BJ45" i="25"/>
  <c r="BI45" i="25"/>
  <c r="BH45" i="25"/>
  <c r="BG45" i="25"/>
  <c r="BF45" i="25"/>
  <c r="BE45" i="25"/>
  <c r="BD45" i="25"/>
  <c r="BC45" i="25"/>
  <c r="BB45" i="25"/>
  <c r="BA45" i="25"/>
  <c r="AZ45" i="25"/>
  <c r="AY45" i="25"/>
  <c r="AX45" i="25"/>
  <c r="AW45" i="25"/>
  <c r="AV45" i="25"/>
  <c r="AU45" i="25"/>
  <c r="AT45" i="25"/>
  <c r="AS45" i="25"/>
  <c r="AR45" i="25"/>
  <c r="AQ45" i="25"/>
  <c r="AP45" i="25"/>
  <c r="AO45" i="25"/>
  <c r="AN45" i="25"/>
  <c r="AM45" i="25"/>
  <c r="AL45" i="25"/>
  <c r="AK45"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C45" i="25"/>
  <c r="B45" i="25"/>
  <c r="BU44" i="25"/>
  <c r="BU48" i="25" s="1"/>
  <c r="BT44" i="25"/>
  <c r="BT48" i="25" s="1"/>
  <c r="BS44" i="25"/>
  <c r="BS48" i="25" s="1"/>
  <c r="BR44" i="25"/>
  <c r="BR48" i="25" s="1"/>
  <c r="BQ44" i="25"/>
  <c r="BQ48" i="25" s="1"/>
  <c r="BP44" i="25"/>
  <c r="BP48" i="25" s="1"/>
  <c r="BO44" i="25"/>
  <c r="BO48" i="25" s="1"/>
  <c r="BN44" i="25"/>
  <c r="BN48" i="25" s="1"/>
  <c r="BM44" i="25"/>
  <c r="BM48" i="25" s="1"/>
  <c r="BL44" i="25"/>
  <c r="BL48" i="25" s="1"/>
  <c r="BK44" i="25"/>
  <c r="BK48" i="25" s="1"/>
  <c r="BJ44" i="25"/>
  <c r="BJ48" i="25" s="1"/>
  <c r="BI44" i="25"/>
  <c r="BI48" i="25" s="1"/>
  <c r="BH44" i="25"/>
  <c r="BH48" i="25" s="1"/>
  <c r="BG44" i="25"/>
  <c r="BG48" i="25" s="1"/>
  <c r="BF44" i="25"/>
  <c r="BF48" i="25" s="1"/>
  <c r="BE44" i="25"/>
  <c r="BE48" i="25" s="1"/>
  <c r="BD44" i="25"/>
  <c r="BD48" i="25" s="1"/>
  <c r="BC44" i="25"/>
  <c r="BC48" i="25" s="1"/>
  <c r="BB44" i="25"/>
  <c r="BB48" i="25" s="1"/>
  <c r="BA44" i="25"/>
  <c r="BA48" i="25" s="1"/>
  <c r="AZ44" i="25"/>
  <c r="AZ48" i="25" s="1"/>
  <c r="AY44" i="25"/>
  <c r="AY48" i="25" s="1"/>
  <c r="AX44" i="25"/>
  <c r="AX48" i="25" s="1"/>
  <c r="AW44" i="25"/>
  <c r="AW48" i="25" s="1"/>
  <c r="AV44" i="25"/>
  <c r="AV48" i="25" s="1"/>
  <c r="AU44" i="25"/>
  <c r="AU48" i="25" s="1"/>
  <c r="AT44" i="25"/>
  <c r="AT48" i="25" s="1"/>
  <c r="AS44" i="25"/>
  <c r="AS48" i="25" s="1"/>
  <c r="AR44" i="25"/>
  <c r="AR48" i="25" s="1"/>
  <c r="AQ44" i="25"/>
  <c r="AQ48" i="25" s="1"/>
  <c r="AP44" i="25"/>
  <c r="AP48" i="25" s="1"/>
  <c r="AO44" i="25"/>
  <c r="AO48" i="25" s="1"/>
  <c r="AN44" i="25"/>
  <c r="AN48" i="25" s="1"/>
  <c r="AM44" i="25"/>
  <c r="AM48" i="25" s="1"/>
  <c r="AL44" i="25"/>
  <c r="AL48" i="25" s="1"/>
  <c r="AK44" i="25"/>
  <c r="AK48" i="25" s="1"/>
  <c r="AJ44" i="25"/>
  <c r="AJ48" i="25" s="1"/>
  <c r="AI44" i="25"/>
  <c r="AI48" i="25" s="1"/>
  <c r="AH44" i="25"/>
  <c r="AH48" i="25" s="1"/>
  <c r="AG44" i="25"/>
  <c r="AG48" i="25" s="1"/>
  <c r="AF44" i="25"/>
  <c r="AF48" i="25" s="1"/>
  <c r="AE44" i="25"/>
  <c r="AE48" i="25" s="1"/>
  <c r="AD44" i="25"/>
  <c r="AD48" i="25" s="1"/>
  <c r="AC44" i="25"/>
  <c r="AC48" i="25" s="1"/>
  <c r="AB44" i="25"/>
  <c r="AB48" i="25" s="1"/>
  <c r="AA44" i="25"/>
  <c r="AA48" i="25" s="1"/>
  <c r="Z44" i="25"/>
  <c r="Z48" i="25" s="1"/>
  <c r="Y44" i="25"/>
  <c r="Y48" i="25" s="1"/>
  <c r="X44" i="25"/>
  <c r="X48" i="25" s="1"/>
  <c r="W44" i="25"/>
  <c r="W48" i="25" s="1"/>
  <c r="V44" i="25"/>
  <c r="V48" i="25" s="1"/>
  <c r="U44" i="25"/>
  <c r="U48" i="25" s="1"/>
  <c r="T44" i="25"/>
  <c r="T48" i="25" s="1"/>
  <c r="S44" i="25"/>
  <c r="S48" i="25" s="1"/>
  <c r="R44" i="25"/>
  <c r="R48" i="25" s="1"/>
  <c r="Q44" i="25"/>
  <c r="Q48" i="25" s="1"/>
  <c r="P44" i="25"/>
  <c r="P48" i="25" s="1"/>
  <c r="O44" i="25"/>
  <c r="O48" i="25" s="1"/>
  <c r="N44" i="25"/>
  <c r="N48" i="25" s="1"/>
  <c r="M44" i="25"/>
  <c r="M48" i="25" s="1"/>
  <c r="L44" i="25"/>
  <c r="L48" i="25" s="1"/>
  <c r="K44" i="25"/>
  <c r="K48" i="25" s="1"/>
  <c r="J44" i="25"/>
  <c r="J48" i="25" s="1"/>
  <c r="I44" i="25"/>
  <c r="I48" i="25" s="1"/>
  <c r="H44" i="25"/>
  <c r="H48" i="25" s="1"/>
  <c r="G44" i="25"/>
  <c r="G48" i="25" s="1"/>
  <c r="F44" i="25"/>
  <c r="F48" i="25" s="1"/>
  <c r="E44" i="25"/>
  <c r="E48" i="25" s="1"/>
  <c r="D44" i="25"/>
  <c r="D48" i="25" s="1"/>
  <c r="C44" i="25"/>
  <c r="C48" i="25" s="1"/>
  <c r="B44" i="25"/>
  <c r="B48" i="25" s="1"/>
  <c r="BH30" i="25"/>
  <c r="BG30" i="25"/>
  <c r="BF30" i="25"/>
  <c r="BE30" i="25"/>
  <c r="BD30" i="25"/>
  <c r="BC30" i="25"/>
  <c r="BB30" i="25"/>
  <c r="BA30" i="25"/>
  <c r="AZ30" i="25"/>
  <c r="AY30" i="25"/>
  <c r="AX30" i="25"/>
  <c r="AW30" i="25"/>
  <c r="AV30" i="25"/>
  <c r="AU30" i="25"/>
  <c r="AT30" i="25"/>
  <c r="AS30" i="25"/>
  <c r="AR30" i="25"/>
  <c r="AQ30" i="25"/>
  <c r="M30" i="25"/>
  <c r="L30" i="25"/>
  <c r="K30" i="25"/>
  <c r="J30" i="25"/>
  <c r="I30" i="25"/>
  <c r="H30" i="25"/>
  <c r="G30" i="25"/>
  <c r="F30" i="25"/>
  <c r="E30" i="25"/>
  <c r="D30" i="25"/>
  <c r="C30" i="25"/>
  <c r="B30" i="25"/>
  <c r="M24" i="25"/>
  <c r="L24" i="25"/>
  <c r="K24" i="25"/>
  <c r="J24" i="25"/>
  <c r="I24" i="25"/>
  <c r="H24" i="25"/>
  <c r="G24" i="25"/>
  <c r="F24" i="25"/>
  <c r="E24" i="25"/>
  <c r="D24" i="25"/>
  <c r="C24" i="25"/>
  <c r="B24" i="25"/>
  <c r="O131" i="24"/>
  <c r="O130" i="24"/>
  <c r="O129" i="24"/>
  <c r="O128" i="24"/>
  <c r="O127" i="24"/>
  <c r="O126" i="24"/>
  <c r="N122" i="24"/>
  <c r="N121" i="24"/>
  <c r="N120" i="24"/>
  <c r="O62" i="24"/>
  <c r="O61" i="24"/>
  <c r="O60" i="24"/>
  <c r="N59" i="24"/>
  <c r="M59" i="24"/>
  <c r="L59" i="24"/>
  <c r="K59" i="24"/>
  <c r="J59" i="24"/>
  <c r="I59" i="24"/>
  <c r="H59" i="24"/>
  <c r="G59" i="24"/>
  <c r="F59" i="24"/>
  <c r="E59" i="24"/>
  <c r="D59" i="24"/>
  <c r="C59" i="24"/>
  <c r="O59" i="24" s="1"/>
  <c r="O58" i="24"/>
  <c r="O57" i="24"/>
  <c r="O56" i="24"/>
  <c r="N55" i="24"/>
  <c r="M55" i="24"/>
  <c r="L55" i="24"/>
  <c r="K55" i="24"/>
  <c r="J55" i="24"/>
  <c r="I55" i="24"/>
  <c r="H55" i="24"/>
  <c r="G55" i="24"/>
  <c r="F55" i="24"/>
  <c r="E55" i="24"/>
  <c r="D55" i="24"/>
  <c r="C55" i="24"/>
  <c r="O55" i="24" s="1"/>
  <c r="O54" i="24"/>
  <c r="O53" i="24"/>
  <c r="O52" i="24"/>
  <c r="N51" i="24"/>
  <c r="M51" i="24"/>
  <c r="L51" i="24"/>
  <c r="K51" i="24"/>
  <c r="J51" i="24"/>
  <c r="I51" i="24"/>
  <c r="H51" i="24"/>
  <c r="G51" i="24"/>
  <c r="F51" i="24"/>
  <c r="E51" i="24"/>
  <c r="D51" i="24"/>
  <c r="C51" i="24"/>
  <c r="O51" i="24" s="1"/>
  <c r="O50" i="24"/>
  <c r="O49" i="24"/>
  <c r="O48" i="24"/>
  <c r="N47" i="24"/>
  <c r="M47" i="24"/>
  <c r="L47" i="24"/>
  <c r="K47" i="24"/>
  <c r="J47" i="24"/>
  <c r="I47" i="24"/>
  <c r="H47" i="24"/>
  <c r="G47" i="24"/>
  <c r="F47" i="24"/>
  <c r="E47" i="24"/>
  <c r="D47" i="24"/>
  <c r="C47" i="24"/>
  <c r="O47" i="24" s="1"/>
  <c r="O46" i="24"/>
  <c r="O45" i="24"/>
  <c r="O44" i="24"/>
  <c r="N43" i="24"/>
  <c r="M43" i="24"/>
  <c r="L43" i="24"/>
  <c r="K43" i="24"/>
  <c r="J43" i="24"/>
  <c r="I43" i="24"/>
  <c r="H43" i="24"/>
  <c r="G43" i="24"/>
  <c r="F43" i="24"/>
  <c r="E43" i="24"/>
  <c r="D43" i="24"/>
  <c r="C43" i="24"/>
  <c r="O43" i="24" s="1"/>
  <c r="O42" i="24"/>
  <c r="O41" i="24"/>
  <c r="O40" i="24"/>
  <c r="N39" i="24"/>
  <c r="M39" i="24"/>
  <c r="L39" i="24"/>
  <c r="K39" i="24"/>
  <c r="K38" i="24" s="1"/>
  <c r="J39" i="24"/>
  <c r="J38" i="24" s="1"/>
  <c r="I39" i="24"/>
  <c r="I38" i="24" s="1"/>
  <c r="H39" i="24"/>
  <c r="G39" i="24"/>
  <c r="F39" i="24"/>
  <c r="E39" i="24"/>
  <c r="D39" i="24"/>
  <c r="C39" i="24"/>
  <c r="O39" i="24" s="1"/>
  <c r="N38" i="24"/>
  <c r="M38" i="24"/>
  <c r="L38" i="24"/>
  <c r="H38" i="24"/>
  <c r="G38" i="24"/>
  <c r="F38" i="24"/>
  <c r="E38" i="24"/>
  <c r="D38" i="24"/>
  <c r="E31" i="24"/>
  <c r="E30" i="24"/>
  <c r="J29" i="24"/>
  <c r="D29" i="24"/>
  <c r="E29" i="24" s="1"/>
  <c r="C29" i="24"/>
  <c r="B29" i="24"/>
  <c r="F23" i="24"/>
  <c r="E23" i="24"/>
  <c r="C23" i="24"/>
  <c r="V22" i="24"/>
  <c r="F22" i="24"/>
  <c r="C22" i="24" s="1"/>
  <c r="E22" i="24"/>
  <c r="V21" i="24"/>
  <c r="F21" i="24"/>
  <c r="E21" i="24"/>
  <c r="C21" i="24"/>
  <c r="U20" i="24"/>
  <c r="T20" i="24"/>
  <c r="S20" i="24"/>
  <c r="R20" i="24"/>
  <c r="Q20" i="24"/>
  <c r="P20" i="24"/>
  <c r="O20" i="24"/>
  <c r="N20" i="24"/>
  <c r="M20" i="24"/>
  <c r="L20" i="24"/>
  <c r="V20" i="24" s="1"/>
  <c r="K20" i="24"/>
  <c r="J20" i="24"/>
  <c r="D20" i="24"/>
  <c r="B20" i="24"/>
  <c r="D14" i="24"/>
  <c r="D10" i="24" s="1"/>
  <c r="D13" i="24"/>
  <c r="D12" i="24"/>
  <c r="D11" i="24"/>
  <c r="O10" i="24"/>
  <c r="C10" i="24"/>
  <c r="F20" i="24" l="1"/>
  <c r="C20" i="24" s="1"/>
  <c r="C38" i="24"/>
  <c r="O38" i="24" s="1"/>
  <c r="A25" i="22"/>
  <c r="E20" i="24" l="1"/>
</calcChain>
</file>

<file path=xl/sharedStrings.xml><?xml version="1.0" encoding="utf-8"?>
<sst xmlns="http://schemas.openxmlformats.org/spreadsheetml/2006/main" count="3085" uniqueCount="1007">
  <si>
    <t>Total</t>
  </si>
  <si>
    <t>Order of Recognizance</t>
  </si>
  <si>
    <t>Order of Supervision</t>
  </si>
  <si>
    <t>ATD</t>
  </si>
  <si>
    <t>Male</t>
  </si>
  <si>
    <t>ADELANTO ICE PROCESSING CENTER</t>
  </si>
  <si>
    <t>ALLEN PARISH PUBLIC SAFETY COMPLEX</t>
  </si>
  <si>
    <t>BROWARD TRANSITIONAL CENTER</t>
  </si>
  <si>
    <t>ALEXANDRIA STAGING FACILITY</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</si>
  <si>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</si>
  <si>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</si>
  <si>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</si>
  <si>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</si>
  <si>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</si>
  <si>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</si>
  <si>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</si>
  <si>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</si>
  <si>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</si>
  <si>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</si>
  <si>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</si>
  <si>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</si>
  <si>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</si>
  <si>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</si>
  <si>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</si>
  <si>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</si>
  <si>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</si>
  <si>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</si>
  <si>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</si>
  <si>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</si>
  <si>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</si>
  <si>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</si>
  <si>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</si>
  <si>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</si>
  <si>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</si>
  <si>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</si>
  <si>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</si>
  <si>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JEFFERSON COUNTY JAIL</t>
  </si>
  <si>
    <t>PINELLAS COUNTY JAIL</t>
  </si>
  <si>
    <t>GEAUGA COUNTY JAIL</t>
  </si>
  <si>
    <t>AL</t>
  </si>
  <si>
    <t>HENDERSON</t>
  </si>
  <si>
    <t>GUAYNABO MDC (SAN JUAN)</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</si>
  <si>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</si>
  <si>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</si>
  <si>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</si>
  <si>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</si>
  <si>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</si>
  <si>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</si>
  <si>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</si>
  <si>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</si>
  <si>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</si>
  <si>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</si>
  <si>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</si>
  <si>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</si>
  <si>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</si>
  <si>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</si>
  <si>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</si>
  <si>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</si>
  <si>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</si>
  <si>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</si>
  <si>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</si>
  <si>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</si>
  <si>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</si>
  <si>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</si>
  <si>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</si>
  <si>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</si>
  <si>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</si>
  <si>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</si>
  <si>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</si>
  <si>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</si>
  <si>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</si>
  <si>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</si>
  <si>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</si>
  <si>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</si>
  <si>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</si>
  <si>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</si>
  <si>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</si>
  <si>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</si>
  <si>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</si>
  <si>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</si>
  <si>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</si>
  <si>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</si>
  <si>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</si>
  <si>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</si>
  <si>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</si>
  <si>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</si>
  <si>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</si>
  <si>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</si>
  <si>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</si>
  <si>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</si>
  <si>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</si>
  <si>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</si>
  <si>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</si>
  <si>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</si>
  <si>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</si>
  <si>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</si>
  <si>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</si>
  <si>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</si>
  <si>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</si>
  <si>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</si>
  <si>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</si>
  <si>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</si>
  <si>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</si>
  <si>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</si>
  <si>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</si>
  <si>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</si>
  <si>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</si>
  <si>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</si>
  <si>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</si>
  <si>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</si>
  <si>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</si>
  <si>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</si>
  <si>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</si>
  <si>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</si>
  <si>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</si>
  <si>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</si>
  <si>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</si>
  <si>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</si>
  <si>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</si>
  <si>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</si>
  <si>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</si>
  <si>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</si>
  <si>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</si>
  <si>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</si>
  <si>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</si>
  <si>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</si>
  <si>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</si>
  <si>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</si>
  <si>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</si>
  <si>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</si>
  <si>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</si>
  <si>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</si>
  <si>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</si>
  <si>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</si>
  <si>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</si>
  <si>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</si>
  <si>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</si>
  <si>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10250 RANCHO ROAD</t>
  </si>
  <si>
    <t>ADELANTO</t>
  </si>
  <si>
    <t>CA</t>
  </si>
  <si>
    <t>LOS</t>
  </si>
  <si>
    <t>DIGSA</t>
  </si>
  <si>
    <t>Female/Male</t>
  </si>
  <si>
    <t>PBNDS 2011</t>
  </si>
  <si>
    <t>Meets Standard</t>
  </si>
  <si>
    <t>STEWART DETENTION CENTER</t>
  </si>
  <si>
    <t>146 CCA ROAD</t>
  </si>
  <si>
    <t>LUMPKIN</t>
  </si>
  <si>
    <t>GA</t>
  </si>
  <si>
    <t>ATL</t>
  </si>
  <si>
    <t>566 VETERANS DRIVE</t>
  </si>
  <si>
    <t>PEARSALL</t>
  </si>
  <si>
    <t>TX</t>
  </si>
  <si>
    <t>SNA</t>
  </si>
  <si>
    <t>CDF</t>
  </si>
  <si>
    <t>DILLEY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</si>
  <si>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</si>
  <si>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</si>
  <si>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</si>
  <si>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</si>
  <si>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</si>
  <si>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</si>
  <si>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</si>
  <si>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</si>
  <si>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</si>
  <si>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</si>
  <si>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</si>
  <si>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</si>
  <si>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</si>
  <si>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</si>
  <si>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</si>
  <si>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</si>
  <si>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</si>
  <si>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</si>
  <si>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</si>
  <si>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</si>
  <si>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</si>
  <si>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</si>
  <si>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</si>
  <si>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</si>
  <si>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</si>
  <si>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</si>
  <si>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</si>
  <si>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</si>
  <si>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</si>
  <si>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</si>
  <si>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</si>
  <si>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</si>
  <si>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</si>
  <si>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</si>
  <si>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</si>
  <si>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</si>
  <si>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</si>
  <si>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</si>
  <si>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</si>
  <si>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</si>
  <si>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</si>
  <si>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</si>
  <si>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</si>
  <si>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</si>
  <si>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</si>
  <si>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</si>
  <si>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</si>
  <si>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</si>
  <si>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</si>
  <si>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</si>
  <si>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</si>
  <si>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</si>
  <si>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</si>
  <si>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</si>
  <si>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</si>
  <si>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</si>
  <si>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</si>
  <si>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</si>
  <si>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</si>
  <si>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</si>
  <si>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</si>
  <si>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</si>
  <si>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</si>
  <si>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</si>
  <si>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</si>
  <si>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</si>
  <si>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</si>
  <si>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</si>
  <si>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</si>
  <si>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</si>
  <si>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</si>
  <si>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</si>
  <si>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</si>
  <si>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</si>
  <si>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</si>
  <si>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</si>
  <si>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</si>
  <si>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</si>
  <si>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</si>
  <si>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</si>
  <si>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</si>
  <si>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</si>
  <si>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</si>
  <si>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</si>
  <si>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</si>
  <si>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PA</t>
  </si>
  <si>
    <t>PHI</t>
  </si>
  <si>
    <t>1001 WELCH STREET</t>
  </si>
  <si>
    <t>BUFFALO (BATAVIA) SERVICE PROCESSING CENTER</t>
  </si>
  <si>
    <t>4250 FEDERAL DRIVE</t>
  </si>
  <si>
    <t>BATAVIA</t>
  </si>
  <si>
    <t>NY</t>
  </si>
  <si>
    <t>BUF</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</si>
  <si>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</si>
  <si>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</si>
  <si>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</si>
  <si>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</si>
  <si>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</si>
  <si>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</si>
  <si>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</si>
  <si>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</si>
  <si>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</si>
  <si>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</si>
  <si>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</si>
  <si>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</si>
  <si>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</si>
  <si>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</si>
  <si>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</si>
  <si>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</si>
  <si>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</si>
  <si>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Special Review - Pre-Occupancy</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</si>
  <si>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</si>
  <si>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</si>
  <si>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</si>
  <si>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</si>
  <si>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</si>
  <si>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</si>
  <si>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</si>
  <si>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</si>
  <si>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</si>
  <si>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</si>
  <si>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</si>
  <si>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</si>
  <si>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</si>
  <si>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</si>
  <si>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</si>
  <si>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</si>
  <si>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</si>
  <si>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</si>
  <si>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</si>
  <si>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</si>
  <si>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ANNEX - FOLKSTON IPC</t>
  </si>
  <si>
    <t>3424 HIGHWAY 252 EAST</t>
  </si>
  <si>
    <t>4702 EAST SAUNDERS STREET</t>
  </si>
  <si>
    <t>ELIZABETH CONTRACT DETENTION FACILITY</t>
  </si>
  <si>
    <t>625 EVANS STREET</t>
  </si>
  <si>
    <t>OK</t>
  </si>
  <si>
    <t>HENDERSON DETENTION CENTER</t>
  </si>
  <si>
    <t>18 E BASIC ROAD</t>
  </si>
  <si>
    <t>NV</t>
  </si>
  <si>
    <t>SLC</t>
  </si>
  <si>
    <t>PIKE COUNTY CORRECTIONAL FACILITY</t>
  </si>
  <si>
    <t>175 PIKE COUNTY BOULEVARD</t>
  </si>
  <si>
    <t>LORDS VALLEY</t>
  </si>
  <si>
    <t>2190 EAST MESQUITE AVENUE</t>
  </si>
  <si>
    <t>PAHRUMP</t>
  </si>
  <si>
    <t>KARNES CITY</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</si>
  <si>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</si>
  <si>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</si>
  <si>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</si>
  <si>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</si>
  <si>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</si>
  <si>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</si>
  <si>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</si>
  <si>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</si>
  <si>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</si>
  <si>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</si>
  <si>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</si>
  <si>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</si>
  <si>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</si>
  <si>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</si>
  <si>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</si>
  <si>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</si>
  <si>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</si>
  <si>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</si>
  <si>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</si>
  <si>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</si>
  <si>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</si>
  <si>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</si>
  <si>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</si>
  <si>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</si>
  <si>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</si>
  <si>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</si>
  <si>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</si>
  <si>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</si>
  <si>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</si>
  <si>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</si>
  <si>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</si>
  <si>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</si>
  <si>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</si>
  <si>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</si>
  <si>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</si>
  <si>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</si>
  <si>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</si>
  <si>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</si>
  <si>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</si>
  <si>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</si>
  <si>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CHASE COUNTY DETENTION FACILITY</t>
  </si>
  <si>
    <t>301 SOUTH WALNUT STREET</t>
  </si>
  <si>
    <t>COTTONWOOD FALLS</t>
  </si>
  <si>
    <t>KS</t>
  </si>
  <si>
    <t>CLINTON COUNTY CORRECTIONAL FACILITY</t>
  </si>
  <si>
    <t>419 SHOEMAKER ROAD</t>
  </si>
  <si>
    <t>LOCK HAVEN</t>
  </si>
  <si>
    <t>IA</t>
  </si>
  <si>
    <t>SAINT CLAIR COUNTY JAIL</t>
  </si>
  <si>
    <t>1170 MICHIGAN ROAD</t>
  </si>
  <si>
    <t>PORT HURON</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</si>
  <si>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</si>
  <si>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</si>
  <si>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</si>
  <si>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</si>
  <si>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</si>
  <si>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</si>
  <si>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</si>
  <si>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</si>
  <si>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</si>
  <si>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</si>
  <si>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</si>
  <si>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</si>
  <si>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</si>
  <si>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</si>
  <si>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</si>
  <si>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</si>
  <si>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</si>
  <si>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</si>
  <si>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</si>
  <si>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</si>
  <si>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</si>
  <si>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</si>
  <si>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</si>
  <si>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</si>
  <si>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</si>
  <si>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</si>
  <si>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</si>
  <si>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</si>
  <si>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</si>
  <si>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</si>
  <si>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</si>
  <si>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</si>
  <si>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</si>
  <si>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</si>
  <si>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ORSA</t>
  </si>
  <si>
    <t>UT</t>
  </si>
  <si>
    <t>WASHOE COUNTY JAIL</t>
  </si>
  <si>
    <t>911 PARR BOULEVARD</t>
  </si>
  <si>
    <t>RENO</t>
  </si>
  <si>
    <t>COLLIER COUNTY NAPLES JAIL CENTER</t>
  </si>
  <si>
    <t>3301 TAMIAMI TRAIL EAST</t>
  </si>
  <si>
    <t>NAPLES</t>
  </si>
  <si>
    <t>14400 49TH STREET NORTH</t>
  </si>
  <si>
    <t>CLEARWATER</t>
  </si>
  <si>
    <t>HWY 28 INTSECT OF ROAD 165</t>
  </si>
  <si>
    <t>SAN JUAN</t>
  </si>
  <si>
    <t>PR</t>
  </si>
  <si>
    <t>SAIPAN DEPARTMENT OF CORRECTIONS (SUSUPE)</t>
  </si>
  <si>
    <t>TEKKEN ST., SUSUPE VILLAGE</t>
  </si>
  <si>
    <t>SAIPAN</t>
  </si>
  <si>
    <t>MP</t>
  </si>
  <si>
    <t xml:space="preserve">DEPARTMENT OF CORRECTIONS HAGATNA </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</si>
  <si>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</si>
  <si>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</si>
  <si>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</si>
  <si>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</si>
  <si>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</si>
  <si>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</si>
  <si>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</si>
  <si>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</si>
  <si>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</si>
  <si>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</si>
  <si>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</si>
  <si>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</si>
  <si>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</si>
  <si>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8/23/2018</t>
  </si>
  <si>
    <t>ID</t>
  </si>
  <si>
    <t>200 COURTHOUSE WAY</t>
  </si>
  <si>
    <t>RIGBY</t>
  </si>
  <si>
    <t>Good</t>
  </si>
  <si>
    <t>POTTAWATTAMIE COUNTY JAIL</t>
  </si>
  <si>
    <t>1400 BIG LAKE ROAD</t>
  </si>
  <si>
    <t>COUNCIL BLUFFS</t>
  </si>
  <si>
    <t>SALT LAKE COUNTY METRO JAIL</t>
  </si>
  <si>
    <t>3415 SOUTH 900 WEST</t>
  </si>
  <si>
    <t>SALT LAKE CITY</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</si>
  <si>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</si>
  <si>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</si>
  <si>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</si>
  <si>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</si>
  <si>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</si>
  <si>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</si>
  <si>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</si>
  <si>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</si>
  <si>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</si>
  <si>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</si>
  <si>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</si>
  <si>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</si>
  <si>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</si>
  <si>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</si>
  <si>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</si>
  <si>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</si>
  <si>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</si>
  <si>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</si>
  <si>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</si>
  <si>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</si>
  <si>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</si>
  <si>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</si>
  <si>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</si>
  <si>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</si>
  <si>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</si>
  <si>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</si>
  <si>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</si>
  <si>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</si>
  <si>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</si>
  <si>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</si>
  <si>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</si>
  <si>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</si>
  <si>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</si>
  <si>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</si>
  <si>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</si>
  <si>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</si>
  <si>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</si>
  <si>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</si>
  <si>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</si>
  <si>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</si>
  <si>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</si>
  <si>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</si>
  <si>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</si>
  <si>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</si>
  <si>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</si>
  <si>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</si>
  <si>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</si>
  <si>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</si>
  <si>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</si>
  <si>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</si>
  <si>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</si>
  <si>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</si>
  <si>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</si>
  <si>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</si>
  <si>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</si>
  <si>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</si>
  <si>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</si>
  <si>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</si>
  <si>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</si>
  <si>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</si>
  <si>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</si>
  <si>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</si>
  <si>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</si>
  <si>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</si>
  <si>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</si>
  <si>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</si>
  <si>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</si>
  <si>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</si>
  <si>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</si>
  <si>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</si>
  <si>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</si>
  <si>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</si>
  <si>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</si>
  <si>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*Only Participants with court tracking assigned</t>
  </si>
  <si>
    <t>Detroit</t>
  </si>
  <si>
    <t>ICE ALTERNATIVES TO DETENTION DATA, FY23</t>
  </si>
  <si>
    <t>ATD Active Population by Status, Extended Case Management Service, Count and ALIP, FY23</t>
  </si>
  <si>
    <t>Costs listed above are only related to technology costs, and do not include other associated contract and case management costs that are a part of the ATD program. Average daily participant cost is greater than those listed in the table above.</t>
  </si>
  <si>
    <t xml:space="preserve">* Data are based on an individuals self-identification as transgender and are subject to change daily, depending on the number of individuals booked in and out of ICE custody. </t>
  </si>
  <si>
    <t>San Francisco Area of Responsibility</t>
  </si>
  <si>
    <t>Atlanta Area of Responsibility</t>
  </si>
  <si>
    <t>Seattle Area of Responsibility</t>
  </si>
  <si>
    <t>Buffalo Area of Responsibility</t>
  </si>
  <si>
    <t>Denver Area of Responsibility</t>
  </si>
  <si>
    <t>Philadelphia Area of Responsibility</t>
  </si>
  <si>
    <t>Miami Area of Responsibility</t>
  </si>
  <si>
    <t>Houston Area of Responsibility</t>
  </si>
  <si>
    <t>New Orleans Area of Responsibility</t>
  </si>
  <si>
    <t>Currently Detained Location/Area of Responsibility Total</t>
  </si>
  <si>
    <t>Currently Detained without Final Order</t>
  </si>
  <si>
    <t>Currently Detained with Final Order</t>
  </si>
  <si>
    <t>Currently Detained Total</t>
  </si>
  <si>
    <t xml:space="preserve">Total Book-Ins </t>
  </si>
  <si>
    <t>County</t>
  </si>
  <si>
    <t>FY 2023 YTD</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</si>
  <si>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</si>
  <si>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</si>
  <si>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</si>
  <si>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</si>
  <si>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335 unique detainees. Some detainees have multiple placements within FY23 Q2 (373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</si>
  <si>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</si>
  <si>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</si>
  <si>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</si>
  <si>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</si>
  <si>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</si>
  <si>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</si>
  <si>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</si>
  <si>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</si>
  <si>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</si>
  <si>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</si>
  <si>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2023 Quarter 2 Data</t>
  </si>
  <si>
    <t>*Data represents 344 unique detainees. Some detainees have multiple placements within FY23 Q1 (377 total placements).</t>
  </si>
  <si>
    <t>Fiscal Year (FY) 2023 Quarter 1 Data</t>
  </si>
  <si>
    <t>*Data represents 281 unique detainees. Some detainees have multiple placements within FY22 Q4 (311 total placements).</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</si>
  <si>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</si>
  <si>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</si>
  <si>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</si>
  <si>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</si>
  <si>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</si>
  <si>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Fiscal Year (FY)  2022 Quarter 2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</si>
  <si>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</si>
  <si>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</si>
  <si>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 xml:space="preserve">Lexington Failure:  This is a USMS contracted facility that had a Special Review conduct by ODO and receives a rating for “ information purpose only ”.  It does NOT count against the Performance Measure. </t>
  </si>
  <si>
    <t>*Blank space in the ODO inspection sections denote no inspection completed as of the date of the report.</t>
  </si>
  <si>
    <t>*ODO inspections are conducted on a semi-annual basis.</t>
  </si>
  <si>
    <t>*Please note that the ICE inspection process has recently changed and we are working on processes to import inspection data as it is housed in a different system. The inspections portion of this report will be revised accordingly in future postings.</t>
  </si>
  <si>
    <t>[2] (KRNRCTX) KARNES COUNTY IMMIGRATION PROCESSING CENTER houses single adults and no longer house family units as of 11/10/21.</t>
  </si>
  <si>
    <t>[1] (STFRCTX) SOUTH TEXAS FAMILY RESIDENTIAL CENTER houses single adults and no longer house family units as of 12/11/21.</t>
  </si>
  <si>
    <t>NDS 2019</t>
  </si>
  <si>
    <t>4/7/2022</t>
  </si>
  <si>
    <t>*</t>
  </si>
  <si>
    <t>PBNDS 2011 - 2016 Revisions</t>
  </si>
  <si>
    <t>9/30/2021</t>
  </si>
  <si>
    <t>2/3/2022</t>
  </si>
  <si>
    <t>HLG</t>
  </si>
  <si>
    <t>11/16/2021</t>
  </si>
  <si>
    <t>Meets Standards</t>
  </si>
  <si>
    <t>2/10/2022</t>
  </si>
  <si>
    <t>1/4/2023</t>
  </si>
  <si>
    <t>7/14/2022</t>
  </si>
  <si>
    <t>5/12/2022</t>
  </si>
  <si>
    <t>3/31/2022</t>
  </si>
  <si>
    <t>T. DON HUTTO DETENTION CENTER</t>
  </si>
  <si>
    <t>12/9/2021</t>
  </si>
  <si>
    <t>5/5/2022</t>
  </si>
  <si>
    <t>2/17/2022</t>
  </si>
  <si>
    <t>FRS</t>
  </si>
  <si>
    <t>300 EL RANCHO WAY</t>
  </si>
  <si>
    <t>11/19/2021</t>
  </si>
  <si>
    <t>10/28/2021</t>
  </si>
  <si>
    <t>9/23/2021</t>
  </si>
  <si>
    <t>6/3/2022</t>
  </si>
  <si>
    <t>12/31/2021</t>
  </si>
  <si>
    <t>12/6/2022</t>
  </si>
  <si>
    <t>6/23/2022</t>
  </si>
  <si>
    <t>8/18/2022</t>
  </si>
  <si>
    <t>3/10/2022</t>
  </si>
  <si>
    <t>3/9/2023</t>
  </si>
  <si>
    <t>Failure</t>
  </si>
  <si>
    <t>NDS 2000</t>
  </si>
  <si>
    <t>1/13/2022</t>
  </si>
  <si>
    <t>7/29/2021</t>
  </si>
  <si>
    <t>4/21/2022</t>
  </si>
  <si>
    <t>12/13/2021</t>
  </si>
  <si>
    <t>CARROLLTON</t>
  </si>
  <si>
    <t>188 CEMETERY ST</t>
  </si>
  <si>
    <t>PICKENS COUNTY DET CTR</t>
  </si>
  <si>
    <t>7/15/2021</t>
  </si>
  <si>
    <t>1/27/2022</t>
  </si>
  <si>
    <t>ORLANDO</t>
  </si>
  <si>
    <t>3855 SOUTH JOHN YOUNG PARKWAY</t>
  </si>
  <si>
    <t>5/19/2022</t>
  </si>
  <si>
    <t>9/5/2018</t>
  </si>
  <si>
    <t>VT</t>
  </si>
  <si>
    <t>SWANTON</t>
  </si>
  <si>
    <t>3649 LOWER NEWTON ROAD</t>
  </si>
  <si>
    <t>NORTHWEST STATE CORRECTIONAL CENTER</t>
  </si>
  <si>
    <t>7/22/2022</t>
  </si>
  <si>
    <t>3/3/2022</t>
  </si>
  <si>
    <t>PHILIPSBURG</t>
  </si>
  <si>
    <t>555 GEO Drive</t>
  </si>
  <si>
    <t>MOSHANNON VALLEY CORRECTIONAL</t>
  </si>
  <si>
    <t>12/17/2021</t>
  </si>
  <si>
    <t>6/16/2022</t>
  </si>
  <si>
    <t>12/10/2021</t>
  </si>
  <si>
    <t>5/26/2022</t>
  </si>
  <si>
    <t>2/25/2022</t>
  </si>
  <si>
    <t>11/10/2022</t>
  </si>
  <si>
    <t>8/25/2022</t>
  </si>
  <si>
    <t>409 FM 1144</t>
  </si>
  <si>
    <t>500 HILBIG RD</t>
  </si>
  <si>
    <t>JOE CORLEY PROCESSING CTR</t>
  </si>
  <si>
    <t>3/1/2023</t>
  </si>
  <si>
    <t>11/17/2021</t>
  </si>
  <si>
    <t>1/6/2022</t>
  </si>
  <si>
    <t>12/28/2021</t>
  </si>
  <si>
    <t>BAY ST. LOUIS</t>
  </si>
  <si>
    <t>8450 HIGHWAY 90</t>
  </si>
  <si>
    <t>HANCOCK CO PUB SFTY CPLX</t>
  </si>
  <si>
    <t>10/21/2021</t>
  </si>
  <si>
    <t>MCFARLAND</t>
  </si>
  <si>
    <t>611 FRONTAGE RD</t>
  </si>
  <si>
    <t>GOLDEN STATE ANNEX</t>
  </si>
  <si>
    <t>11/18/2021</t>
  </si>
  <si>
    <t>4/14/2022</t>
  </si>
  <si>
    <t>7/28/2022</t>
  </si>
  <si>
    <t>3026 HWY 252 EAST</t>
  </si>
  <si>
    <t>FOLKSTON MAIN IPC</t>
  </si>
  <si>
    <t>3/17/2022</t>
  </si>
  <si>
    <t>12/8/2021</t>
  </si>
  <si>
    <t>MOUNTAIN HOME</t>
  </si>
  <si>
    <t>2255 E. 8TH NORTH</t>
  </si>
  <si>
    <t>ELMORE COUNTY JAIL</t>
  </si>
  <si>
    <t>10/7/2021</t>
  </si>
  <si>
    <t>11/5/2021</t>
  </si>
  <si>
    <t>10450 RANCHO ROAD</t>
  </si>
  <si>
    <t>DESERT VIEW</t>
  </si>
  <si>
    <t>12/20/2022</t>
  </si>
  <si>
    <t>12/31/2022</t>
  </si>
  <si>
    <t>ME</t>
  </si>
  <si>
    <t>PORTLAND</t>
  </si>
  <si>
    <t>50 COUNTY WAY</t>
  </si>
  <si>
    <t>CUMBERLAND COUNTY JAIL</t>
  </si>
  <si>
    <t>11/8/2021</t>
  </si>
  <si>
    <t>3/24/2021</t>
  </si>
  <si>
    <t>8/4/2022</t>
  </si>
  <si>
    <t>CENTRAL LOUISIANA ICE PROCESSING CENTER (CLIPC)</t>
  </si>
  <si>
    <t>1100 BOWLING ROAD</t>
  </si>
  <si>
    <t>CCA, FLORENCE CORRECTIONAL CENTER</t>
  </si>
  <si>
    <t>4/28/2022</t>
  </si>
  <si>
    <t>3/6/2023</t>
  </si>
  <si>
    <t>BURNET</t>
  </si>
  <si>
    <t>JAIL ADMINISTRATOR</t>
  </si>
  <si>
    <t>BURNET COUNTY JAIL</t>
  </si>
  <si>
    <t>11/4/2021</t>
  </si>
  <si>
    <t>12/30/2021</t>
  </si>
  <si>
    <t>11/3/2021</t>
  </si>
  <si>
    <t>12/2/2021</t>
  </si>
  <si>
    <t>Second to Last Nakamoto Inspection Date</t>
  </si>
  <si>
    <t>Second to Last Nakamoto Inspection Standard</t>
  </si>
  <si>
    <t>Second to Last Nakamoto Inspection Type</t>
  </si>
  <si>
    <t>Last Nakamoto Inspection Date</t>
  </si>
  <si>
    <t>Last Nakamoto Inspection Rating - Final</t>
  </si>
  <si>
    <t>Last Nakamoto Inspection Standard</t>
  </si>
  <si>
    <t>ODO Final Rating</t>
  </si>
  <si>
    <t>ODO Last Inspection Standard</t>
  </si>
  <si>
    <t>ODO Inspection End Date</t>
  </si>
  <si>
    <t>FY23 ALOS</t>
  </si>
  <si>
    <t>FY23 ADP: Mandatory</t>
  </si>
  <si>
    <t>FY23 ADP: ICE Threat Level</t>
  </si>
  <si>
    <t>FY23 ADP: Criminality</t>
  </si>
  <si>
    <t>FY23 ADP: Detainee Classification Level</t>
  </si>
  <si>
    <t>ICE Enforcement and Removal Operations Data, FY2023</t>
  </si>
  <si>
    <t xml:space="preserve">ICE FACILITIES DATA, FY23 </t>
  </si>
  <si>
    <t>These statistics are made available to the public pursuant to H.R. 1158 Sec. 218 - Department of Homeland Security Appropriations Act, 2020. ) *The information in this report is subject to change.</t>
  </si>
  <si>
    <t xml:space="preserve"> </t>
  </si>
  <si>
    <t>SOUTH TEXAS FAMILY RESIDENTIAL CENTER</t>
  </si>
  <si>
    <t>KARNES COUNTY IMMIGRATION PROCESSING CENTER</t>
  </si>
  <si>
    <t>MONROE COUNTY DETENTION-DORM</t>
  </si>
  <si>
    <t>7000 EAST DUNBAR ROAD</t>
  </si>
  <si>
    <t>MONROE</t>
  </si>
  <si>
    <t>8/11/2022</t>
  </si>
  <si>
    <t>LIMESTONE COUNTY DETENTION CENTER</t>
  </si>
  <si>
    <t>910 NORTH TYUS STREET</t>
  </si>
  <si>
    <t>GROESBECK</t>
  </si>
  <si>
    <t>Dallas Area of Responsibility</t>
  </si>
  <si>
    <t>El Paso Area of Responsibility</t>
  </si>
  <si>
    <t>FY23 through May Court Appearance: Total Hearings*</t>
  </si>
  <si>
    <t>Veriwatch</t>
  </si>
  <si>
    <t>Court Data from BI Inc. as of 5/31/2023</t>
  </si>
  <si>
    <t>FY23 through May Court Appearance: Final Hearings*</t>
  </si>
  <si>
    <t>Boston Area of Responsibility</t>
  </si>
  <si>
    <t>ODO</t>
  </si>
  <si>
    <t>CASCADE COUNTY JAIL (MONTANA)</t>
  </si>
  <si>
    <t>3800 ULM NORTH FRONTAGE ROAD</t>
  </si>
  <si>
    <t>GREAT FALLS</t>
  </si>
  <si>
    <t>MT</t>
  </si>
  <si>
    <t>3/18/2023</t>
  </si>
  <si>
    <t>CHITTENDEN REGIONAL CORRECTIONAL FACILITY</t>
  </si>
  <si>
    <t>7 FARRELL STREET</t>
  </si>
  <si>
    <t>SOUTH BURLINGTON</t>
  </si>
  <si>
    <t>DALLAS COUNTY JAIL - LEW STERRETT JUSTICE CENTER</t>
  </si>
  <si>
    <t>111 WEST COMMERCE STREET</t>
  </si>
  <si>
    <t>DALLAS</t>
  </si>
  <si>
    <t>EAST HIDALGO DETENTION CENTER</t>
  </si>
  <si>
    <t>1330 HIGHWAY 107</t>
  </si>
  <si>
    <t>LA VILLA</t>
  </si>
  <si>
    <t>SEBASTIAN COUNTY DETENTION CENTER</t>
  </si>
  <si>
    <t>801 SOUTH A STREET</t>
  </si>
  <si>
    <t>FORT SMITH</t>
  </si>
  <si>
    <t>AR</t>
  </si>
  <si>
    <t>10/1/2018</t>
  </si>
  <si>
    <t>San Antonio Area of Responsibility</t>
  </si>
  <si>
    <t>ICE Transgender* Detainee Population FY 2023 YTD:  as of 6/20/2023</t>
  </si>
  <si>
    <t>FAYETTEVILLE</t>
  </si>
  <si>
    <t>1155 WEST CLYDESDALE DRIVE</t>
  </si>
  <si>
    <t>WASHINGTON COUNTY DETENTION CENTER</t>
  </si>
  <si>
    <t>3/12/2021</t>
  </si>
  <si>
    <t>TULSA</t>
  </si>
  <si>
    <t>300 NORTH DENVER AVENUE</t>
  </si>
  <si>
    <t>TULSA COUNTY JAIL (DAVID L. MOSS JUSTICE CTR)</t>
  </si>
  <si>
    <t>JFRMU Family</t>
  </si>
  <si>
    <t>5/17/2023</t>
  </si>
  <si>
    <t>GUAYNABO</t>
  </si>
  <si>
    <t>651 FEDERAL DRIVE, SUITE 104</t>
  </si>
  <si>
    <t>SAN JUAN STAGING</t>
  </si>
  <si>
    <t>3/13/2023</t>
  </si>
  <si>
    <t>AMARILLO</t>
  </si>
  <si>
    <t>9100 SOUTH GEORGIA STREET</t>
  </si>
  <si>
    <t>RANDALL COUNTY JAIL</t>
  </si>
  <si>
    <t>CROOKSTON</t>
  </si>
  <si>
    <t>816 MARIN AVE., SUITE 110</t>
  </si>
  <si>
    <t>NORTHWEST REGIONAL CORRECTIONS CENTER</t>
  </si>
  <si>
    <t>11/30/2022</t>
  </si>
  <si>
    <t>CASTLE HAYNE</t>
  </si>
  <si>
    <t>3950 JUVENILE RD</t>
  </si>
  <si>
    <t>NEW HANOVER COUNTY JAIL</t>
  </si>
  <si>
    <t>2/5/2009</t>
  </si>
  <si>
    <t>WACO</t>
  </si>
  <si>
    <t>501 WASHINGTON AVENUE</t>
  </si>
  <si>
    <t>MCCLELLAN COUNTY JAIL</t>
  </si>
  <si>
    <t>1/10/2023</t>
  </si>
  <si>
    <t>CANTON</t>
  </si>
  <si>
    <t>2935 HIGHWAY 51</t>
  </si>
  <si>
    <t>MADISON COUNTY JAIL</t>
  </si>
  <si>
    <t>2/2/2023</t>
  </si>
  <si>
    <t>MO</t>
  </si>
  <si>
    <t>TROY</t>
  </si>
  <si>
    <t>65 BUSINESS PARK DRIVE</t>
  </si>
  <si>
    <t>LINCOLN COUNTY DETENTION CENTER</t>
  </si>
  <si>
    <t>1/23/2023</t>
  </si>
  <si>
    <t>TN</t>
  </si>
  <si>
    <t>Knoxville</t>
  </si>
  <si>
    <t>5001 Maloneyville Rd</t>
  </si>
  <si>
    <t>KNOX COUNTY DETENTION FACILITY</t>
  </si>
  <si>
    <t>8/14/2018</t>
  </si>
  <si>
    <t>LEITCHFIELD</t>
  </si>
  <si>
    <t>320 SHAW STATION ROAD</t>
  </si>
  <si>
    <t>GRAYSON COUNTY JAIL</t>
  </si>
  <si>
    <t>1/31/2023</t>
  </si>
  <si>
    <t>ND</t>
  </si>
  <si>
    <t>GRAND FORKS</t>
  </si>
  <si>
    <t>1701 NORTH WASHINGTON ST</t>
  </si>
  <si>
    <t>GRAND FORKS COUNTY CORRECTIONAL FACILITY</t>
  </si>
  <si>
    <t>12/20/2021</t>
  </si>
  <si>
    <t>PLATTSBURGH</t>
  </si>
  <si>
    <t>25 MCCARTHY DRIVE</t>
  </si>
  <si>
    <t>CLINTON COUNTY JAIL</t>
  </si>
  <si>
    <t>10/9/2020</t>
  </si>
  <si>
    <t>Overcome by Events</t>
  </si>
  <si>
    <t>HARRISONBURG</t>
  </si>
  <si>
    <t>499 OLD COLUMBIA ROAD</t>
  </si>
  <si>
    <t>CATAHOULA CORRECTIONAL CENTER</t>
  </si>
  <si>
    <t>11/21/2006</t>
  </si>
  <si>
    <t>ALBUQUERQUE</t>
  </si>
  <si>
    <t>415 ROMA N.W.</t>
  </si>
  <si>
    <t>BERNALILLO COUNTY DETENTION CENTER</t>
  </si>
  <si>
    <t>1/9/2023</t>
  </si>
  <si>
    <t>BAY MINETTE</t>
  </si>
  <si>
    <t>200 HAND AVE.</t>
  </si>
  <si>
    <t>BALDWIN COUNTY CORRECTIONAL CENTER</t>
  </si>
  <si>
    <t>Source: ICE Integrated Decision Support (IIDS), 06/12/2023</t>
  </si>
  <si>
    <t>Active ATD Participants and Average Length in Program, FY23,  as of 6/17/2023, by AOR and Technology</t>
  </si>
  <si>
    <t>Data from OBP Report, 6.18.2023</t>
  </si>
  <si>
    <t>Data from BI Inc. Participants Report, 6.17.2023</t>
  </si>
  <si>
    <t>ERO</t>
  </si>
  <si>
    <t>ICE DETENTION DATA, FY2023</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</si>
  <si>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</si>
  <si>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</si>
  <si>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</si>
  <si>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</si>
  <si>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</si>
  <si>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</si>
  <si>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</si>
  <si>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</si>
  <si>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</si>
  <si>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FY2023</t>
  </si>
  <si>
    <t>Expedited Removal (I-860)</t>
  </si>
  <si>
    <t>Notice to Appear (I-862)</t>
  </si>
  <si>
    <t>Reinstatement of Deport Order (I-871)</t>
  </si>
  <si>
    <t>Other</t>
  </si>
  <si>
    <t>ICE Currently Detained by Criminality and Arresting Agency</t>
  </si>
  <si>
    <t>ICE Initial Book-Ins by Arresting Agency and Month: FY2023</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</si>
  <si>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</si>
  <si>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</si>
  <si>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</si>
  <si>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</si>
  <si>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</si>
  <si>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</si>
  <si>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</si>
  <si>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</si>
  <si>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</si>
  <si>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</si>
  <si>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</si>
  <si>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</si>
  <si>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</si>
  <si>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</si>
  <si>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</si>
  <si>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</si>
  <si>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</si>
  <si>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</si>
  <si>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</si>
  <si>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</si>
  <si>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FY2023</t>
  </si>
  <si>
    <t>ICE Final Releases by Facility Type: FY2023</t>
  </si>
  <si>
    <t>ICE Removals: FY2023</t>
  </si>
  <si>
    <t>Facility Type</t>
  </si>
  <si>
    <t>Removals</t>
  </si>
  <si>
    <t>Removals with a FSC Detention</t>
  </si>
  <si>
    <t>ICE Final Releases by Release Reason, Month and Criminality: FY2023</t>
  </si>
  <si>
    <t>Release Reason</t>
  </si>
  <si>
    <t>Bonded Out</t>
  </si>
  <si>
    <t>Bond Set by ICE</t>
  </si>
  <si>
    <t>Bond Set by IJ</t>
  </si>
  <si>
    <t>Paroled</t>
  </si>
  <si>
    <t>ICE Average Daily Population by Arresting Agency, Month and Criminality: FY2023</t>
  </si>
  <si>
    <t>FY Overall</t>
  </si>
  <si>
    <t>CBP Average</t>
  </si>
  <si>
    <t xml:space="preserve">ICE Average  </t>
  </si>
  <si>
    <t xml:space="preserve">Average </t>
  </si>
  <si>
    <t>ICE Average Length of Stay by Arresting Agency, Month and Criminality: FY2023</t>
  </si>
  <si>
    <t>ICE Average Daily Population by Facility Type and Month: FY2023</t>
  </si>
  <si>
    <t>ICE Average Length of Stay by Facility Type and Month: FY2023</t>
  </si>
  <si>
    <t>ICE Average Length of Stay Adult Facility Type by Month and Arresting Agency: FY2023</t>
  </si>
  <si>
    <t>Arresting Agency</t>
  </si>
  <si>
    <t>Individuals with Positive Credible Fear Determination Parole Requested: FY2021 - FY2023</t>
  </si>
  <si>
    <t>Fiscal Year</t>
  </si>
  <si>
    <t>FY2022</t>
  </si>
  <si>
    <t>FY2021</t>
  </si>
  <si>
    <t>Individuals with Positive Credible Fear Determination Parole Status: FY2021 - 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</si>
  <si>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</si>
  <si>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</si>
  <si>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</si>
  <si>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</si>
  <si>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</si>
  <si>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</si>
  <si>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</si>
  <si>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</si>
  <si>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</si>
  <si>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</si>
  <si>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</si>
  <si>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</si>
  <si>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</si>
  <si>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</si>
  <si>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</si>
  <si>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</si>
  <si>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</si>
  <si>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</si>
  <si>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</si>
  <si>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</si>
  <si>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</si>
  <si>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</si>
  <si>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</si>
  <si>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</si>
  <si>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</si>
  <si>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</si>
  <si>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</si>
  <si>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</si>
  <si>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</si>
  <si>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</si>
  <si>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</si>
  <si>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</si>
  <si>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</si>
  <si>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</si>
  <si>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Armed Forces, United States Citizens, Parents of United States Citizens, and Temporary Protective Status Countries tables for FY2023 YTD. These tables will not be updated until the end of the fiscal year. </t>
  </si>
  <si>
    <t>United States Armed Forces Noncitizen Arrests FY2018 - FY2023 YTD</t>
  </si>
  <si>
    <t>Arrests</t>
  </si>
  <si>
    <t>FY2018</t>
  </si>
  <si>
    <t>FY2019</t>
  </si>
  <si>
    <t>FY2020</t>
  </si>
  <si>
    <t xml:space="preserve">FY2022 </t>
  </si>
  <si>
    <t>United States Armed Forces Noncitizen Bookins FY2018 - FY2023 YTD</t>
  </si>
  <si>
    <t>Bookins</t>
  </si>
  <si>
    <t>United States Armed Forces Noncitizen Removals FY2018 - FY2023 YTD</t>
  </si>
  <si>
    <t>United States Citizen Arrests FY2018 - FY2023 YTD</t>
  </si>
  <si>
    <t>United States Citizens Bookins FY2018 - FY2023 YTD</t>
  </si>
  <si>
    <t>United States Citizens Removals FY2018 - FY2023 YTD</t>
  </si>
  <si>
    <t>Parents of USC Arrests FY2018 - FY2023 YTD</t>
  </si>
  <si>
    <t>Parents of USC Bookins FY2018 - FY2023 YTD</t>
  </si>
  <si>
    <t>Parents of USC Removals FY2018 - FY2023 YTD</t>
  </si>
  <si>
    <t>Temporary Protected Status Countries Arrests FY2018 - FY2023 YTD</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</si>
  <si>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</si>
  <si>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</si>
  <si>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</si>
  <si>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</si>
  <si>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</si>
  <si>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</si>
  <si>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</si>
  <si>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</si>
  <si>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</si>
  <si>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</si>
  <si>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</si>
  <si>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</si>
  <si>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</si>
  <si>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</si>
  <si>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</si>
  <si>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</si>
  <si>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</si>
  <si>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FY2023 YTD</t>
  </si>
  <si>
    <t>Temporary Protected Status Countries Removals FY2018 - FY2023 YTD</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</si>
  <si>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</si>
  <si>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Average Daily Population and ICE Average Length of Stay</t>
  </si>
  <si>
    <t>FY2023 ICE Detention data are updated through 06/17/2023 (IIDS v.2.0 run date 06/19/2023; EID as of 06/17/2023).</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</si>
  <si>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</si>
  <si>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</si>
  <si>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</si>
  <si>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Final Releases</t>
  </si>
  <si>
    <t>FY2023 ICE Final Releases data are updated through 06/17/2023 (IIDS v.2.0 run date 06/19/2023; EID as of 06/17/2023).</t>
  </si>
  <si>
    <t>An ICE Final Release is defined as a Final Bookout that reflects  one of the following release reasons:   Bonded Out, Order of Recognizance, Order of Supervision or Paroled.  All Case Statuses are included.</t>
  </si>
  <si>
    <t>A Non-Citizen may have multiple releases; only the most recent release is included in this report.</t>
  </si>
  <si>
    <t>FY2023 ICE Removals</t>
  </si>
  <si>
    <t>FY2023 ICE Removals data are updated through 06/17/2023 (IIDS v.2.0 run date 06/19/2023; EID as of 06/17/2023).</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</si>
  <si>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</si>
  <si>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</si>
  <si>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06/18/2023 (IIDS v.2.0 run date 06/19/2023; EID as of 06/18/2023).</t>
  </si>
  <si>
    <t>Processing dispositions of Other may include, but are not limited to, Non Citizens processed under Administrative Removal, Visa Waiver Program Removal, Stowaway or Crewmember.</t>
  </si>
  <si>
    <t>FY2023 ICE Initial Book-Ins</t>
  </si>
  <si>
    <t>FY2023 ICE Book-ins data is updated through 06/17/2023 (IIDS v.2.0 run date 06/19/2023; EID as of 06/17/2023).</t>
  </si>
  <si>
    <t>USCIS Average Time from USCIS Fear Decision Service Date to ICE Release (In Days) &amp; Non-Citizens with USCIS-Established Fear Decisions in an ICE Detention Facility</t>
  </si>
  <si>
    <t>Non Citizens Currently in ICE Detention Facilities data are a snapshot as 06/18/2023 (IIDS v.2.0 run date 06/19/2023; EID as of 06/18/2023).</t>
  </si>
  <si>
    <t>USCIS provided data containing APSO (Asylum Pre Screening Officer) cases clocked during FY2020 - FY2023. Data were received on 06/20/2023.</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</si>
  <si>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</si>
  <si>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</si>
  <si>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241,576 records in the USCIS provided data, the breakdown of the fear screening determinations is as follows; 121,639 positive fear screening determinations, 66,612 negative fear screening determinations and 53,325 without an identified determination. Of the 121,639 with positive fear screening determinations; 85,721 have Persecution Claim Established and 35,918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</si>
  <si>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</si>
  <si>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241,576 unique fear determinations and 10,488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</si>
  <si>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</si>
  <si>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</si>
  <si>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</si>
  <si>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positive fear determination at the date of the snapshot
• FRC Facility Individuals
o Anyone who is in a family facility and does not have a positive fear determination at the date of the snapshot
• Single Adults with a Positive Fear determination still in custody
o Anyone who is in an adult facility and has a positive fear determination at the date of the snapshot
• Family Units with a Positive Fear determination still in custody
o Anyone who is in a family facility and has a positive fear determination at the date of the snapshot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</si>
  <si>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</si>
  <si>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</si>
  <si>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06/15/2023 (IIDS v.2.0 run date 06/21/2023; EID as of 06/20/2023).</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</si>
  <si>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</si>
  <si>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</si>
  <si>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05/01/2022 - 06/19/2023 . Data were received on 06/20/2023.</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</si>
  <si>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</si>
  <si>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</si>
  <si>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</si>
  <si>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</si>
  <si>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FY2023 Encounters data is updated through 06/20/2023 (IIDS v.2.0 run date 06/21/2023; EID as of 06/20/2023).</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</si>
  <si>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</si>
  <si>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</si>
  <si>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</si>
  <si>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</si>
  <si>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</si>
  <si>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</si>
  <si>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FY2023 ICE Arrests data are updated through 03/31/2022 (IIDS v.2.0 run date 04/25/2023; EID as of 04/24/2023).</t>
  </si>
  <si>
    <t>FY2023 ICE Detention data are updated through 03/31/2022 (IIDS v.2.0 run date 04/25/2023; EID as of 04/24/2023).</t>
  </si>
  <si>
    <t>FY2023 ICE Removals data are updated through 03/31/2022 (IIDS v.2.0 run date 04/25/2023; EID as of 04/24/2023).</t>
  </si>
  <si>
    <t>FY2018-FY2022 data are historical and remain static.</t>
  </si>
  <si>
    <t>For United States Citizens tables:</t>
  </si>
  <si>
    <t>FY2023  ICE Removals data are updated through 03/31/2022 (IIDS v.2.0 run date 04/25/2023; EID as of 04/24/2023).</t>
  </si>
  <si>
    <t>For Parents of United States Citizens tables:</t>
  </si>
  <si>
    <t>For Temporary Protected Status Countries tables:</t>
  </si>
  <si>
    <t>FY2023 ICE Arrests data are updated through 09/30/2022 (IIDS v.2.0 run date10/05/2022; EID as of 10/04/2022).</t>
  </si>
  <si>
    <t>FY2023 ICE Detention data are updated through 09/30/2022 (IIDS v.2.0 run date10/05/2022; EID as of 10/04/2022).</t>
  </si>
  <si>
    <t>FY2023 ICE Removals data are updated through 09/30/2022 (IIDS v.2.0 run date10/05/2022; EID as of 10/04/2022).</t>
  </si>
  <si>
    <t xml:space="preserve">FY2018- 2022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</si>
  <si>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</si>
  <si>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</si>
  <si>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</si>
  <si>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</si>
  <si>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</si>
  <si>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</si>
  <si>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</si>
  <si>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</si>
  <si>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ICE Removals include noncitizens processed for Expedited Removal (ER) or Voluntary Return (VR) that are turned over to ERO for detention.  Noncitizens processed for ER and not detained by ERO or VR after June 1st, 2013 and not detained by ERO are primarily processed by Border Patrol.  CBP should be contacted for those statistics.</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</si>
  <si>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</si>
  <si>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</si>
  <si>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</si>
  <si>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</si>
  <si>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</si>
  <si>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</si>
  <si>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</si>
  <si>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</si>
  <si>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Burma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</si>
</sst>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quot;$&quot;#,##0.00"/>
    <numFmt numFmtId="169" formatCode="0.0%"/>
    <numFmt numFmtId="170" formatCode="0.0"/>
    <numFmt numFmtId="171" formatCode="_(* #,##0.0_);_(* \(#,##0.0\);_(* &quot;-&quot;?_);_(@_)"/>
    <numFmt numFmtId="172" formatCode="#,##0.0_);\(#,##0.0\)"/>
    <numFmt numFmtId="173" formatCode="mmm\-yyyy"/>
    <numFmt numFmtId="174" formatCode="_(* #,##0_);_(* \(#,##0\);_(* &quot;-&quot;?_);_(@_)"/>
  </numFmts>
  <fonts count="51"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11"/>
      <color rgb="FFFF0000"/>
      <name val="Calibri"/>
      <family val="2"/>
      <scheme val="minor"/>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12"/>
      <color rgb="FFFF0000"/>
      <name val="Times New Roman"/>
      <family val="1"/>
    </font>
    <font>
      <sz val="12"/>
      <color theme="1"/>
      <name val="Calibri"/>
      <family val="2"/>
      <scheme val="minor"/>
    </font>
    <font>
      <sz val="12"/>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double">
        <color theme="1" tint="0.24994659260841701"/>
      </bottom>
      <diagonal/>
    </border>
    <border>
      <left/>
      <right style="thin">
        <color theme="1" tint="0.24994659260841701"/>
      </right>
      <top/>
      <bottom style="thin">
        <color theme="1" tint="0.24994659260841701"/>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10" fillId="0" borderId="0"/>
    <xf numFmtId="9" fontId="1" fillId="0" borderId="0" applyFont="0" applyFill="0" applyBorder="0" applyAlignment="0" applyProtection="0"/>
    <xf numFmtId="0" fontId="31" fillId="0" borderId="0"/>
    <xf numFmtId="44" fontId="1" fillId="0" borderId="0" applyFont="0" applyFill="0" applyBorder="0" applyAlignment="0" applyProtection="0"/>
  </cellStyleXfs>
  <cellXfs count="479">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6" borderId="0" xfId="3" applyFont="1" applyFill="1" applyAlignment="1">
      <alignment vertical="center" wrapText="1"/>
    </xf>
    <xf numFmtId="0" fontId="14" fillId="0" borderId="1" xfId="0" applyFont="1" applyBorder="1" applyAlignment="1">
      <alignment vertical="center"/>
    </xf>
    <xf numFmtId="0" fontId="13" fillId="7" borderId="1" xfId="0" applyFont="1" applyFill="1" applyBorder="1" applyAlignment="1">
      <alignment vertical="center"/>
    </xf>
    <xf numFmtId="3" fontId="14" fillId="0" borderId="1" xfId="0" applyNumberFormat="1" applyFont="1" applyBorder="1" applyAlignment="1">
      <alignment vertical="center"/>
    </xf>
    <xf numFmtId="3" fontId="13" fillId="7" borderId="1" xfId="0" applyNumberFormat="1" applyFont="1" applyFill="1" applyBorder="1" applyAlignment="1">
      <alignment vertical="center"/>
    </xf>
    <xf numFmtId="0" fontId="20" fillId="6" borderId="8" xfId="3" applyFont="1" applyFill="1" applyBorder="1" applyAlignment="1">
      <alignment vertical="center" wrapText="1"/>
    </xf>
    <xf numFmtId="0" fontId="25" fillId="6" borderId="5" xfId="3" applyFont="1" applyFill="1" applyBorder="1" applyAlignment="1">
      <alignment vertical="center" wrapText="1"/>
    </xf>
    <xf numFmtId="0" fontId="24" fillId="5" borderId="0" xfId="2" applyFont="1" applyFill="1" applyAlignment="1">
      <alignment vertical="top"/>
    </xf>
    <xf numFmtId="0" fontId="16" fillId="3" borderId="1" xfId="0" applyFont="1" applyFill="1" applyBorder="1" applyAlignment="1">
      <alignment horizontal="center" vertical="center" wrapText="1"/>
    </xf>
    <xf numFmtId="0" fontId="0" fillId="0" borderId="6" xfId="0" applyBorder="1"/>
    <xf numFmtId="3" fontId="0" fillId="0" borderId="0" xfId="0" applyNumberFormat="1"/>
    <xf numFmtId="0" fontId="8" fillId="3" borderId="9" xfId="0" applyFont="1" applyFill="1" applyBorder="1" applyAlignment="1">
      <alignment horizontal="left" vertical="top" wrapText="1"/>
    </xf>
    <xf numFmtId="0" fontId="8" fillId="3" borderId="10"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11" xfId="0" applyFont="1" applyBorder="1" applyAlignment="1">
      <alignment horizontal="left" vertical="top" wrapText="1"/>
    </xf>
    <xf numFmtId="0" fontId="6" fillId="2" borderId="11" xfId="0" applyFont="1" applyFill="1" applyBorder="1" applyAlignment="1">
      <alignment horizontal="left" vertical="top" wrapText="1"/>
    </xf>
    <xf numFmtId="49" fontId="30" fillId="2" borderId="11" xfId="0" applyNumberFormat="1" applyFont="1" applyFill="1" applyBorder="1" applyAlignment="1">
      <alignment vertical="top" wrapText="1"/>
    </xf>
    <xf numFmtId="49" fontId="30" fillId="0" borderId="11" xfId="0" applyNumberFormat="1" applyFont="1" applyBorder="1" applyAlignment="1">
      <alignment vertical="top" wrapText="1"/>
    </xf>
    <xf numFmtId="0" fontId="15" fillId="8" borderId="1" xfId="0" applyFont="1" applyFill="1" applyBorder="1" applyAlignment="1">
      <alignment horizontal="left" vertical="top"/>
    </xf>
    <xf numFmtId="168" fontId="14" fillId="0" borderId="1" xfId="7" applyNumberFormat="1" applyFont="1" applyBorder="1" applyAlignment="1">
      <alignment vertical="center"/>
    </xf>
    <xf numFmtId="168" fontId="13" fillId="7" borderId="1" xfId="7" applyNumberFormat="1" applyFont="1" applyFill="1" applyBorder="1" applyAlignment="1">
      <alignment vertical="center"/>
    </xf>
    <xf numFmtId="0" fontId="0" fillId="0" borderId="0" xfId="0" applyAlignment="1">
      <alignment horizontal="left"/>
    </xf>
    <xf numFmtId="0" fontId="27" fillId="3" borderId="15" xfId="0" applyFont="1" applyFill="1" applyBorder="1" applyAlignment="1">
      <alignment horizontal="center" vertical="center" wrapText="1"/>
    </xf>
    <xf numFmtId="0" fontId="28" fillId="4" borderId="15" xfId="0" applyFont="1" applyFill="1" applyBorder="1"/>
    <xf numFmtId="41" fontId="29" fillId="4" borderId="15" xfId="0" applyNumberFormat="1" applyFont="1" applyFill="1" applyBorder="1" applyAlignment="1">
      <alignment horizontal="center"/>
    </xf>
    <xf numFmtId="166" fontId="29" fillId="4" borderId="15" xfId="0" applyNumberFormat="1" applyFont="1" applyFill="1" applyBorder="1" applyAlignment="1">
      <alignment horizontal="center"/>
    </xf>
    <xf numFmtId="0" fontId="6" fillId="0" borderId="15" xfId="0" applyFont="1" applyBorder="1" applyAlignment="1">
      <alignment horizontal="left" indent="1"/>
    </xf>
    <xf numFmtId="3" fontId="6" fillId="0" borderId="15" xfId="0" applyNumberFormat="1" applyFont="1" applyBorder="1"/>
    <xf numFmtId="167" fontId="6" fillId="0" borderId="15" xfId="0" applyNumberFormat="1" applyFont="1" applyBorder="1"/>
    <xf numFmtId="0" fontId="28" fillId="9" borderId="15" xfId="0" applyFont="1" applyFill="1" applyBorder="1" applyAlignment="1">
      <alignment vertical="center"/>
    </xf>
    <xf numFmtId="3" fontId="28" fillId="9" borderId="15" xfId="0" applyNumberFormat="1" applyFont="1" applyFill="1" applyBorder="1" applyAlignment="1">
      <alignment vertical="center"/>
    </xf>
    <xf numFmtId="167" fontId="28" fillId="9" borderId="15" xfId="0" applyNumberFormat="1" applyFont="1" applyFill="1" applyBorder="1" applyAlignment="1">
      <alignment vertical="center"/>
    </xf>
    <xf numFmtId="169" fontId="0" fillId="0" borderId="1" xfId="5" applyNumberFormat="1" applyFont="1" applyBorder="1" applyAlignment="1">
      <alignment horizontal="right"/>
    </xf>
    <xf numFmtId="0" fontId="32" fillId="8" borderId="1" xfId="0" applyFont="1" applyFill="1" applyBorder="1" applyAlignment="1">
      <alignment horizontal="left"/>
    </xf>
    <xf numFmtId="0" fontId="0" fillId="0" borderId="1" xfId="0" applyBorder="1" applyAlignment="1">
      <alignment horizontal="left"/>
    </xf>
    <xf numFmtId="3" fontId="0" fillId="0" borderId="1" xfId="0" applyNumberFormat="1" applyBorder="1"/>
    <xf numFmtId="168" fontId="0" fillId="0" borderId="1" xfId="0" applyNumberFormat="1" applyBorder="1"/>
    <xf numFmtId="169" fontId="1" fillId="0" borderId="1" xfId="5" applyNumberFormat="1" applyFont="1" applyFill="1" applyBorder="1" applyAlignment="1">
      <alignment horizontal="right"/>
    </xf>
    <xf numFmtId="164" fontId="5" fillId="6" borderId="0" xfId="1" applyNumberFormat="1" applyFont="1" applyFill="1" applyBorder="1" applyAlignment="1">
      <alignment vertical="center" wrapText="1"/>
    </xf>
    <xf numFmtId="164" fontId="32" fillId="8" borderId="1" xfId="1" applyNumberFormat="1" applyFont="1" applyFill="1" applyBorder="1" applyAlignment="1">
      <alignment horizontal="left"/>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164" fontId="13" fillId="7" borderId="1" xfId="1" applyNumberFormat="1" applyFont="1" applyFill="1" applyBorder="1" applyAlignment="1">
      <alignment vertical="center"/>
    </xf>
    <xf numFmtId="164" fontId="0" fillId="0" borderId="0" xfId="1" applyNumberFormat="1" applyFont="1" applyAlignment="1">
      <alignment horizontal="left"/>
    </xf>
    <xf numFmtId="164" fontId="32" fillId="8" borderId="1" xfId="1" applyNumberFormat="1" applyFont="1" applyFill="1" applyBorder="1" applyAlignment="1">
      <alignment horizontal="right"/>
    </xf>
    <xf numFmtId="164" fontId="22" fillId="2" borderId="0" xfId="1" applyNumberFormat="1" applyFont="1" applyFill="1" applyBorder="1" applyAlignment="1">
      <alignment horizontal="left" vertical="center" wrapText="1"/>
    </xf>
    <xf numFmtId="164" fontId="0" fillId="0" borderId="0" xfId="1" applyNumberFormat="1" applyFont="1"/>
    <xf numFmtId="164" fontId="0" fillId="0" borderId="0" xfId="1" applyNumberFormat="1" applyFont="1" applyBorder="1"/>
    <xf numFmtId="169" fontId="5" fillId="6" borderId="0" xfId="5" applyNumberFormat="1" applyFont="1" applyFill="1" applyBorder="1" applyAlignment="1">
      <alignment vertical="center" wrapText="1"/>
    </xf>
    <xf numFmtId="169" fontId="32" fillId="8" borderId="1" xfId="5" applyNumberFormat="1" applyFont="1" applyFill="1" applyBorder="1" applyAlignment="1">
      <alignment horizontal="left"/>
    </xf>
    <xf numFmtId="169" fontId="13" fillId="7" borderId="1" xfId="5" applyNumberFormat="1" applyFont="1" applyFill="1" applyBorder="1" applyAlignment="1">
      <alignment vertical="center"/>
    </xf>
    <xf numFmtId="169" fontId="0" fillId="0" borderId="0" xfId="5" applyNumberFormat="1" applyFont="1" applyAlignment="1">
      <alignment horizontal="left"/>
    </xf>
    <xf numFmtId="169" fontId="32" fillId="8" borderId="1" xfId="5" applyNumberFormat="1" applyFont="1" applyFill="1" applyBorder="1" applyAlignment="1">
      <alignment horizontal="right"/>
    </xf>
    <xf numFmtId="169" fontId="0" fillId="0" borderId="0" xfId="5" applyNumberFormat="1" applyFont="1"/>
    <xf numFmtId="169" fontId="0" fillId="0" borderId="0" xfId="5" applyNumberFormat="1" applyFont="1" applyBorder="1"/>
    <xf numFmtId="0" fontId="24" fillId="5" borderId="0" xfId="2" applyFont="1" applyFill="1" applyAlignment="1">
      <alignment horizontal="left" vertical="top"/>
    </xf>
    <xf numFmtId="0" fontId="5" fillId="2" borderId="0" xfId="3" applyFont="1" applyFill="1" applyAlignment="1">
      <alignment vertical="center" wrapText="1"/>
    </xf>
    <xf numFmtId="0" fontId="22" fillId="2" borderId="0" xfId="0" applyFont="1" applyFill="1" applyAlignment="1">
      <alignment horizontal="left" vertical="center" wrapText="1"/>
    </xf>
    <xf numFmtId="0" fontId="21" fillId="6" borderId="0" xfId="3" applyFont="1" applyFill="1" applyAlignment="1">
      <alignment vertical="center" wrapText="1"/>
    </xf>
    <xf numFmtId="0" fontId="34" fillId="0" borderId="0" xfId="0" applyFont="1" applyAlignment="1">
      <alignment horizontal="left"/>
    </xf>
    <xf numFmtId="0" fontId="23" fillId="2" borderId="0" xfId="0" applyFont="1" applyFill="1" applyAlignment="1">
      <alignment horizontal="left" vertical="center" wrapText="1"/>
    </xf>
    <xf numFmtId="2" fontId="0" fillId="0" borderId="0" xfId="0" applyNumberFormat="1"/>
    <xf numFmtId="167" fontId="14" fillId="0" borderId="1" xfId="0" applyNumberFormat="1" applyFont="1" applyBorder="1" applyAlignment="1">
      <alignment vertical="center"/>
    </xf>
    <xf numFmtId="167" fontId="0" fillId="0" borderId="1" xfId="0" applyNumberFormat="1" applyBorder="1"/>
    <xf numFmtId="167" fontId="13" fillId="7" borderId="1" xfId="0" applyNumberFormat="1" applyFont="1" applyFill="1" applyBorder="1" applyAlignment="1">
      <alignment vertical="center"/>
    </xf>
    <xf numFmtId="3" fontId="5" fillId="6" borderId="0" xfId="3" applyNumberFormat="1" applyFont="1" applyFill="1" applyAlignment="1">
      <alignment vertical="center" wrapText="1"/>
    </xf>
    <xf numFmtId="3" fontId="34" fillId="0" borderId="0" xfId="0" applyNumberFormat="1" applyFont="1" applyAlignment="1">
      <alignment horizontal="left"/>
    </xf>
    <xf numFmtId="0" fontId="0" fillId="0" borderId="16" xfId="0" applyBorder="1"/>
    <xf numFmtId="0" fontId="36" fillId="0" borderId="16" xfId="0" applyFont="1" applyBorder="1" applyAlignment="1">
      <alignment horizontal="left"/>
    </xf>
    <xf numFmtId="164" fontId="2" fillId="5" borderId="1" xfId="1" applyNumberFormat="1" applyFont="1" applyFill="1" applyBorder="1" applyAlignment="1">
      <alignment horizontal="left"/>
    </xf>
    <xf numFmtId="164" fontId="26" fillId="2" borderId="1" xfId="1" applyNumberFormat="1" applyFont="1" applyFill="1" applyBorder="1" applyAlignment="1">
      <alignment horizontal="right"/>
    </xf>
    <xf numFmtId="0" fontId="2" fillId="0" borderId="1" xfId="0" applyFont="1" applyBorder="1"/>
    <xf numFmtId="0" fontId="5" fillId="0" borderId="0" xfId="3" applyFont="1" applyAlignment="1">
      <alignment vertical="center" wrapText="1"/>
    </xf>
    <xf numFmtId="0" fontId="37" fillId="0" borderId="0" xfId="0" applyFont="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36" fillId="0" borderId="0" xfId="0" applyFont="1"/>
    <xf numFmtId="2" fontId="38" fillId="10" borderId="17" xfId="0" applyNumberFormat="1" applyFont="1" applyFill="1" applyBorder="1" applyAlignment="1">
      <alignment horizontal="right" vertical="center"/>
    </xf>
    <xf numFmtId="0" fontId="38" fillId="10" borderId="17" xfId="0" applyFont="1" applyFill="1" applyBorder="1" applyAlignment="1">
      <alignment horizontal="right" vertical="center"/>
    </xf>
    <xf numFmtId="0" fontId="38" fillId="10" borderId="18" xfId="0" applyFont="1" applyFill="1" applyBorder="1" applyAlignment="1">
      <alignment vertical="center"/>
    </xf>
    <xf numFmtId="2" fontId="39" fillId="0" borderId="17" xfId="0" applyNumberFormat="1" applyFont="1" applyBorder="1" applyAlignment="1">
      <alignment horizontal="right" vertical="center"/>
    </xf>
    <xf numFmtId="0" fontId="39" fillId="0" borderId="17" xfId="0" applyFont="1" applyBorder="1" applyAlignment="1">
      <alignment horizontal="right" vertical="center"/>
    </xf>
    <xf numFmtId="0" fontId="39" fillId="0" borderId="18" xfId="0" applyFont="1" applyBorder="1" applyAlignment="1">
      <alignment vertical="center"/>
    </xf>
    <xf numFmtId="0" fontId="39" fillId="0" borderId="18" xfId="0" applyFont="1" applyBorder="1" applyAlignment="1">
      <alignment vertical="center" wrapText="1"/>
    </xf>
    <xf numFmtId="0" fontId="38" fillId="10" borderId="19" xfId="0" applyFont="1" applyFill="1" applyBorder="1" applyAlignment="1">
      <alignment vertical="center" wrapText="1"/>
    </xf>
    <xf numFmtId="0" fontId="38" fillId="10" borderId="15" xfId="0" applyFont="1" applyFill="1" applyBorder="1" applyAlignment="1">
      <alignment vertical="center"/>
    </xf>
    <xf numFmtId="0" fontId="36" fillId="0" borderId="0" xfId="0" applyFont="1" applyAlignment="1">
      <alignment horizontal="left" vertical="center"/>
    </xf>
    <xf numFmtId="0" fontId="38" fillId="0" borderId="0" xfId="0" applyFont="1" applyAlignment="1">
      <alignment horizontal="left" vertical="center"/>
    </xf>
    <xf numFmtId="0" fontId="38" fillId="0" borderId="6" xfId="0" applyFont="1" applyBorder="1" applyAlignment="1">
      <alignment horizontal="left" vertical="center"/>
    </xf>
    <xf numFmtId="0" fontId="0" fillId="0" borderId="0" xfId="0" applyAlignment="1">
      <alignment vertical="center"/>
    </xf>
    <xf numFmtId="0" fontId="38" fillId="10" borderId="19" xfId="0" applyFont="1" applyFill="1" applyBorder="1" applyAlignment="1">
      <alignment vertical="center"/>
    </xf>
    <xf numFmtId="0" fontId="38" fillId="10" borderId="20" xfId="0" applyFont="1" applyFill="1" applyBorder="1" applyAlignment="1">
      <alignment vertical="center"/>
    </xf>
    <xf numFmtId="0" fontId="38" fillId="10" borderId="21" xfId="0" applyFont="1" applyFill="1" applyBorder="1" applyAlignment="1">
      <alignment vertical="center"/>
    </xf>
    <xf numFmtId="14" fontId="0" fillId="0" borderId="0" xfId="0" applyNumberFormat="1" applyAlignment="1">
      <alignment horizontal="right"/>
    </xf>
    <xf numFmtId="14" fontId="0" fillId="0" borderId="0" xfId="0" applyNumberFormat="1"/>
    <xf numFmtId="0" fontId="35" fillId="0" borderId="0" xfId="0" applyFont="1"/>
    <xf numFmtId="14" fontId="35" fillId="0" borderId="0" xfId="0" applyNumberFormat="1" applyFont="1" applyAlignment="1">
      <alignment horizontal="right"/>
    </xf>
    <xf numFmtId="14" fontId="35" fillId="0" borderId="0" xfId="0" applyNumberFormat="1" applyFont="1"/>
    <xf numFmtId="0" fontId="30" fillId="0" borderId="0" xfId="0" applyFont="1" applyAlignment="1">
      <alignment horizontal="center" vertical="center"/>
    </xf>
    <xf numFmtId="14" fontId="30" fillId="0" borderId="0" xfId="0" applyNumberFormat="1" applyFont="1" applyAlignment="1">
      <alignment horizontal="right"/>
    </xf>
    <xf numFmtId="14" fontId="30" fillId="0" borderId="0" xfId="0" applyNumberFormat="1" applyFont="1" applyAlignment="1">
      <alignment horizontal="center" vertical="center"/>
    </xf>
    <xf numFmtId="0" fontId="30" fillId="0" borderId="0" xfId="0" applyFont="1"/>
    <xf numFmtId="0" fontId="30" fillId="0" borderId="0" xfId="0" applyFont="1" applyAlignment="1">
      <alignment horizontal="left"/>
    </xf>
    <xf numFmtId="49" fontId="30" fillId="0" borderId="0" xfId="0" applyNumberFormat="1" applyFont="1" applyAlignment="1">
      <alignment horizontal="right"/>
    </xf>
    <xf numFmtId="165" fontId="30" fillId="0" borderId="0" xfId="0" applyNumberFormat="1" applyFont="1" applyAlignment="1">
      <alignment horizontal="center"/>
    </xf>
    <xf numFmtId="0" fontId="12" fillId="0" borderId="0" xfId="0" applyFont="1" applyAlignment="1">
      <alignment vertical="center"/>
    </xf>
    <xf numFmtId="14" fontId="12" fillId="0" borderId="0" xfId="0" applyNumberFormat="1" applyFont="1" applyAlignment="1">
      <alignment vertical="center"/>
    </xf>
    <xf numFmtId="14" fontId="6" fillId="0" borderId="0" xfId="0" applyNumberFormat="1" applyFont="1" applyAlignment="1">
      <alignment horizontal="right"/>
    </xf>
    <xf numFmtId="3" fontId="6" fillId="0" borderId="0" xfId="0" applyNumberFormat="1" applyFont="1" applyAlignment="1">
      <alignment horizontal="right" vertical="center"/>
    </xf>
    <xf numFmtId="3" fontId="12" fillId="0" borderId="0" xfId="0" applyNumberFormat="1" applyFont="1" applyAlignment="1">
      <alignment horizontal="right" vertical="center"/>
    </xf>
    <xf numFmtId="165" fontId="12" fillId="0" borderId="0" xfId="0" applyNumberFormat="1" applyFont="1" applyAlignment="1">
      <alignment vertical="center"/>
    </xf>
    <xf numFmtId="0" fontId="40" fillId="0" borderId="0" xfId="0" applyFont="1" applyAlignment="1">
      <alignment horizontal="left"/>
    </xf>
    <xf numFmtId="0" fontId="6" fillId="0" borderId="0" xfId="0" applyFont="1"/>
    <xf numFmtId="1" fontId="11" fillId="4" borderId="8" xfId="0" applyNumberFormat="1" applyFont="1" applyFill="1" applyBorder="1" applyAlignment="1">
      <alignment horizontal="left" wrapText="1"/>
    </xf>
    <xf numFmtId="14" fontId="11" fillId="4" borderId="8" xfId="0" applyNumberFormat="1" applyFont="1" applyFill="1" applyBorder="1" applyAlignment="1">
      <alignment horizontal="right" wrapText="1"/>
    </xf>
    <xf numFmtId="14" fontId="11" fillId="4" borderId="8" xfId="0" applyNumberFormat="1" applyFont="1" applyFill="1" applyBorder="1" applyAlignment="1">
      <alignment horizontal="left" wrapText="1"/>
    </xf>
    <xf numFmtId="1" fontId="11" fillId="4" borderId="8" xfId="4" applyNumberFormat="1" applyFont="1" applyFill="1" applyBorder="1" applyAlignment="1">
      <alignment horizontal="left" wrapText="1"/>
    </xf>
    <xf numFmtId="3" fontId="7" fillId="3" borderId="5" xfId="1" applyNumberFormat="1" applyFont="1" applyFill="1" applyBorder="1" applyAlignment="1">
      <alignment horizontal="left" vertical="top" wrapText="1"/>
    </xf>
    <xf numFmtId="14" fontId="7" fillId="3" borderId="5" xfId="1" applyNumberFormat="1" applyFont="1" applyFill="1" applyBorder="1" applyAlignment="1">
      <alignment horizontal="right" wrapText="1"/>
    </xf>
    <xf numFmtId="14" fontId="7" fillId="3" borderId="5" xfId="1" applyNumberFormat="1" applyFont="1" applyFill="1" applyBorder="1" applyAlignment="1">
      <alignment horizontal="left" vertical="top" wrapText="1"/>
    </xf>
    <xf numFmtId="1" fontId="7" fillId="3" borderId="5" xfId="1" applyNumberFormat="1" applyFont="1" applyFill="1" applyBorder="1" applyAlignment="1">
      <alignment horizontal="left" vertical="top" wrapText="1"/>
    </xf>
    <xf numFmtId="3" fontId="7" fillId="3" borderId="5" xfId="1" applyNumberFormat="1" applyFont="1" applyFill="1" applyBorder="1" applyAlignment="1">
      <alignment vertical="top" wrapText="1"/>
    </xf>
    <xf numFmtId="0" fontId="7" fillId="3" borderId="5" xfId="4" applyFont="1" applyFill="1" applyBorder="1" applyAlignment="1">
      <alignment horizontal="left" vertical="top" wrapText="1"/>
    </xf>
    <xf numFmtId="0" fontId="19" fillId="3" borderId="5" xfId="4" applyFont="1" applyFill="1" applyBorder="1" applyAlignment="1">
      <alignment horizontal="left" vertical="top" wrapText="1"/>
    </xf>
    <xf numFmtId="3" fontId="7" fillId="3" borderId="1" xfId="1" applyNumberFormat="1" applyFont="1" applyFill="1" applyBorder="1" applyAlignment="1">
      <alignment vertical="top" wrapText="1"/>
    </xf>
    <xf numFmtId="0" fontId="7" fillId="3" borderId="1" xfId="4" applyFont="1" applyFill="1" applyBorder="1" applyAlignment="1">
      <alignment vertical="top" wrapText="1"/>
    </xf>
    <xf numFmtId="0" fontId="18" fillId="3" borderId="1" xfId="4" applyFont="1" applyFill="1" applyBorder="1" applyAlignment="1">
      <alignment vertical="top" wrapText="1"/>
    </xf>
    <xf numFmtId="14" fontId="24" fillId="5" borderId="0" xfId="2" applyNumberFormat="1" applyFont="1" applyFill="1" applyAlignment="1">
      <alignment horizontal="left" vertical="top"/>
    </xf>
    <xf numFmtId="14" fontId="5" fillId="6" borderId="0" xfId="3" applyNumberFormat="1" applyFont="1" applyFill="1" applyAlignment="1">
      <alignment horizontal="right" wrapText="1"/>
    </xf>
    <xf numFmtId="14" fontId="5" fillId="6" borderId="0" xfId="3" applyNumberFormat="1" applyFont="1" applyFill="1" applyAlignment="1">
      <alignment vertical="center" wrapText="1"/>
    </xf>
    <xf numFmtId="1" fontId="5" fillId="6" borderId="0" xfId="3" applyNumberFormat="1" applyFont="1" applyFill="1" applyAlignment="1">
      <alignment vertical="center" wrapText="1"/>
    </xf>
    <xf numFmtId="0" fontId="5" fillId="6" borderId="0" xfId="3" applyFont="1" applyFill="1" applyAlignment="1">
      <alignment horizontal="left" vertical="top" wrapText="1"/>
    </xf>
    <xf numFmtId="0" fontId="5" fillId="6" borderId="0" xfId="3" applyFont="1" applyFill="1" applyAlignment="1">
      <alignment horizontal="right" wrapText="1"/>
    </xf>
    <xf numFmtId="14" fontId="5" fillId="6" borderId="0" xfId="3" applyNumberFormat="1" applyFont="1" applyFill="1" applyAlignment="1">
      <alignment horizontal="left" vertical="top" wrapText="1"/>
    </xf>
    <xf numFmtId="14" fontId="24" fillId="5" borderId="0" xfId="2" applyNumberFormat="1" applyFont="1" applyFill="1" applyAlignment="1">
      <alignment horizontal="right"/>
    </xf>
    <xf numFmtId="3" fontId="7" fillId="3" borderId="5" xfId="1" applyNumberFormat="1" applyFont="1" applyFill="1" applyBorder="1" applyAlignment="1">
      <alignment horizontal="right" wrapText="1"/>
    </xf>
    <xf numFmtId="1" fontId="11" fillId="4" borderId="8" xfId="0" applyNumberFormat="1" applyFont="1" applyFill="1" applyBorder="1" applyAlignment="1">
      <alignment horizontal="left" vertical="top" wrapText="1"/>
    </xf>
    <xf numFmtId="14" fontId="11" fillId="4" borderId="8" xfId="4" applyNumberFormat="1" applyFont="1" applyFill="1" applyBorder="1" applyAlignment="1">
      <alignment horizontal="right" wrapText="1"/>
    </xf>
    <xf numFmtId="0" fontId="6" fillId="0" borderId="0" xfId="0" applyFont="1" applyAlignment="1">
      <alignment horizontal="left" vertical="top"/>
    </xf>
    <xf numFmtId="0" fontId="12" fillId="0" borderId="0" xfId="0" applyFont="1" applyAlignment="1">
      <alignment horizontal="right"/>
    </xf>
    <xf numFmtId="14" fontId="6" fillId="0" borderId="0" xfId="0" applyNumberFormat="1" applyFont="1" applyAlignment="1">
      <alignment horizontal="left" vertical="top"/>
    </xf>
    <xf numFmtId="14" fontId="12" fillId="0" borderId="0" xfId="0" applyNumberFormat="1" applyFont="1" applyAlignment="1">
      <alignment horizontal="left" vertical="top"/>
    </xf>
    <xf numFmtId="0" fontId="30" fillId="0" borderId="0" xfId="0" applyFont="1" applyAlignment="1">
      <alignment horizontal="left" vertical="top"/>
    </xf>
    <xf numFmtId="0" fontId="30" fillId="0" borderId="0" xfId="0" applyFont="1" applyAlignment="1">
      <alignment horizontal="right"/>
    </xf>
    <xf numFmtId="14" fontId="30" fillId="0" borderId="0" xfId="0" applyNumberFormat="1" applyFont="1" applyAlignment="1">
      <alignment horizontal="left" vertical="top"/>
    </xf>
    <xf numFmtId="0" fontId="35" fillId="0" borderId="0" xfId="0" applyFont="1" applyAlignment="1">
      <alignment horizontal="left" vertical="top"/>
    </xf>
    <xf numFmtId="0" fontId="35" fillId="0" borderId="0" xfId="0" applyFont="1" applyAlignment="1">
      <alignment horizontal="right"/>
    </xf>
    <xf numFmtId="14" fontId="35" fillId="0" borderId="0" xfId="0" applyNumberFormat="1" applyFont="1" applyAlignment="1">
      <alignment horizontal="left" vertical="top"/>
    </xf>
    <xf numFmtId="0" fontId="0" fillId="0" borderId="0" xfId="0" applyAlignment="1">
      <alignment horizontal="right"/>
    </xf>
    <xf numFmtId="14" fontId="0" fillId="0" borderId="0" xfId="0" applyNumberFormat="1" applyAlignment="1">
      <alignment horizontal="left" vertical="top"/>
    </xf>
    <xf numFmtId="0" fontId="0" fillId="0" borderId="22" xfId="0" applyBorder="1"/>
    <xf numFmtId="1" fontId="37" fillId="5" borderId="23" xfId="0" applyNumberFormat="1" applyFont="1" applyFill="1" applyBorder="1" applyAlignment="1">
      <alignment vertical="center" wrapText="1"/>
    </xf>
    <xf numFmtId="1" fontId="0" fillId="0" borderId="16" xfId="0" applyNumberFormat="1" applyBorder="1"/>
    <xf numFmtId="0" fontId="37" fillId="5" borderId="23" xfId="0" applyFont="1" applyFill="1" applyBorder="1" applyAlignment="1">
      <alignment vertical="center" wrapText="1"/>
    </xf>
    <xf numFmtId="0" fontId="16" fillId="3" borderId="3" xfId="0" applyFont="1" applyFill="1" applyBorder="1" applyAlignment="1">
      <alignment horizontal="center" vertical="center" wrapText="1"/>
    </xf>
    <xf numFmtId="0" fontId="36" fillId="0" borderId="0" xfId="0" applyFont="1" applyAlignment="1">
      <alignment horizontal="left"/>
    </xf>
    <xf numFmtId="0" fontId="9" fillId="2" borderId="0" xfId="0" applyFont="1" applyFill="1" applyAlignment="1">
      <alignment horizontal="left" vertical="center" wrapText="1"/>
    </xf>
    <xf numFmtId="1" fontId="0" fillId="0" borderId="0" xfId="0" applyNumberFormat="1"/>
    <xf numFmtId="3" fontId="35" fillId="0" borderId="0" xfId="0" applyNumberFormat="1" applyFont="1"/>
    <xf numFmtId="1" fontId="35" fillId="0" borderId="0" xfId="0" applyNumberFormat="1" applyFont="1"/>
    <xf numFmtId="3" fontId="30" fillId="0" borderId="0" xfId="0" applyNumberFormat="1" applyFont="1" applyAlignment="1">
      <alignment horizontal="center" vertical="center"/>
    </xf>
    <xf numFmtId="1" fontId="30" fillId="0" borderId="0" xfId="0" applyNumberFormat="1" applyFont="1" applyAlignment="1">
      <alignment horizontal="center" vertical="center"/>
    </xf>
    <xf numFmtId="1" fontId="30" fillId="0" borderId="0" xfId="0" applyNumberFormat="1" applyFont="1"/>
    <xf numFmtId="1" fontId="30" fillId="0" borderId="0" xfId="0" applyNumberFormat="1" applyFont="1" applyAlignment="1">
      <alignment horizontal="left"/>
    </xf>
    <xf numFmtId="1" fontId="12" fillId="0" borderId="0" xfId="0" applyNumberFormat="1" applyFont="1" applyAlignment="1">
      <alignment horizontal="right" vertical="center"/>
    </xf>
    <xf numFmtId="1" fontId="12" fillId="0" borderId="0" xfId="1" applyNumberFormat="1" applyFont="1" applyFill="1" applyBorder="1" applyAlignment="1">
      <alignment vertical="center"/>
    </xf>
    <xf numFmtId="14" fontId="11" fillId="4" borderId="8" xfId="0" applyNumberFormat="1" applyFont="1" applyFill="1" applyBorder="1" applyAlignment="1">
      <alignment horizontal="left" vertical="top" wrapText="1"/>
    </xf>
    <xf numFmtId="3" fontId="11" fillId="4" borderId="8" xfId="0" applyNumberFormat="1" applyFont="1" applyFill="1" applyBorder="1" applyAlignment="1">
      <alignment horizontal="left" wrapText="1"/>
    </xf>
    <xf numFmtId="1" fontId="7" fillId="3" borderId="5" xfId="4" applyNumberFormat="1" applyFont="1" applyFill="1" applyBorder="1" applyAlignment="1">
      <alignment horizontal="left" vertical="top" wrapText="1"/>
    </xf>
    <xf numFmtId="1" fontId="7" fillId="3" borderId="5" xfId="4" applyNumberFormat="1" applyFont="1" applyFill="1" applyBorder="1" applyAlignment="1">
      <alignment vertical="top" wrapText="1"/>
    </xf>
    <xf numFmtId="1" fontId="7" fillId="3" borderId="1" xfId="4" applyNumberFormat="1" applyFont="1" applyFill="1" applyBorder="1" applyAlignment="1">
      <alignment vertical="top" wrapText="1"/>
    </xf>
    <xf numFmtId="0" fontId="41" fillId="0" borderId="1" xfId="0" applyFont="1" applyBorder="1"/>
    <xf numFmtId="1" fontId="41" fillId="0" borderId="1" xfId="0" applyNumberFormat="1" applyFont="1" applyBorder="1"/>
    <xf numFmtId="3" fontId="41" fillId="0" borderId="1" xfId="0" applyNumberFormat="1" applyFont="1" applyBorder="1"/>
    <xf numFmtId="14" fontId="42" fillId="0" borderId="1" xfId="0" applyNumberFormat="1" applyFont="1" applyBorder="1"/>
    <xf numFmtId="0" fontId="42" fillId="0" borderId="1" xfId="0" applyFont="1" applyBorder="1" applyAlignment="1">
      <alignment horizontal="left" vertical="top"/>
    </xf>
    <xf numFmtId="14" fontId="42" fillId="0" borderId="1" xfId="0" applyNumberFormat="1" applyFont="1" applyBorder="1" applyAlignment="1">
      <alignment horizontal="right"/>
    </xf>
    <xf numFmtId="14" fontId="42" fillId="0" borderId="1" xfId="0" applyNumberFormat="1" applyFont="1" applyBorder="1" applyAlignment="1">
      <alignment horizontal="left" vertical="top"/>
    </xf>
    <xf numFmtId="0" fontId="42" fillId="0" borderId="3" xfId="0" applyFont="1" applyBorder="1" applyAlignment="1">
      <alignment horizontal="left" vertical="top"/>
    </xf>
    <xf numFmtId="0" fontId="42" fillId="0" borderId="1" xfId="0" applyFont="1" applyBorder="1" applyAlignment="1">
      <alignment horizontal="right"/>
    </xf>
    <xf numFmtId="0" fontId="42" fillId="0" borderId="1" xfId="0" applyFont="1" applyBorder="1" applyAlignment="1">
      <alignment horizontal="right" vertical="top"/>
    </xf>
    <xf numFmtId="0" fontId="2" fillId="2" borderId="0" xfId="0" applyFont="1" applyFill="1"/>
    <xf numFmtId="0" fontId="20"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9" fillId="2" borderId="6"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9" fillId="2" borderId="26" xfId="0" applyFont="1" applyFill="1" applyBorder="1" applyAlignment="1">
      <alignment horizontal="center" vertical="center"/>
    </xf>
    <xf numFmtId="0" fontId="9" fillId="2" borderId="0" xfId="0" applyFont="1" applyFill="1" applyAlignment="1">
      <alignment horizontal="center"/>
    </xf>
    <xf numFmtId="0" fontId="2" fillId="2" borderId="0" xfId="0" applyFont="1" applyFill="1" applyAlignment="1">
      <alignment horizontal="left"/>
    </xf>
    <xf numFmtId="0" fontId="9" fillId="2" borderId="0" xfId="0" applyFont="1" applyFill="1" applyAlignment="1">
      <alignment horizontal="left" vertical="center"/>
    </xf>
    <xf numFmtId="0" fontId="9" fillId="2" borderId="26" xfId="0" applyFont="1" applyFill="1" applyBorder="1" applyAlignment="1">
      <alignment horizontal="left" vertical="center"/>
    </xf>
    <xf numFmtId="0" fontId="9" fillId="2" borderId="0" xfId="0" applyFont="1" applyFill="1" applyAlignment="1">
      <alignment horizontal="left"/>
    </xf>
    <xf numFmtId="3" fontId="2" fillId="2" borderId="0" xfId="0" applyNumberFormat="1" applyFont="1" applyFill="1" applyAlignment="1">
      <alignment horizontal="left"/>
    </xf>
    <xf numFmtId="0" fontId="16" fillId="3" borderId="7" xfId="0" applyFont="1" applyFill="1" applyBorder="1" applyAlignment="1">
      <alignment horizontal="center" vertical="center" wrapText="1"/>
    </xf>
    <xf numFmtId="170" fontId="16" fillId="3" borderId="1" xfId="0" applyNumberFormat="1" applyFont="1" applyFill="1" applyBorder="1" applyAlignment="1">
      <alignment horizontal="center" vertical="center" wrapText="1"/>
    </xf>
    <xf numFmtId="0" fontId="16" fillId="3" borderId="1" xfId="0" applyFont="1" applyFill="1" applyBorder="1" applyAlignment="1">
      <alignment vertical="center" wrapText="1"/>
    </xf>
    <xf numFmtId="0" fontId="9" fillId="2" borderId="26" xfId="0" applyFont="1" applyFill="1" applyBorder="1" applyAlignment="1">
      <alignment horizontal="center"/>
    </xf>
    <xf numFmtId="3" fontId="2" fillId="2" borderId="0" xfId="0" applyNumberFormat="1" applyFont="1" applyFill="1"/>
    <xf numFmtId="0" fontId="2" fillId="5" borderId="29" xfId="0" applyFont="1" applyFill="1" applyBorder="1"/>
    <xf numFmtId="164" fontId="2" fillId="5" borderId="30" xfId="1" applyNumberFormat="1" applyFont="1" applyFill="1" applyBorder="1"/>
    <xf numFmtId="170" fontId="2" fillId="0" borderId="1" xfId="1" applyNumberFormat="1" applyFont="1" applyFill="1" applyBorder="1"/>
    <xf numFmtId="41" fontId="2" fillId="5" borderId="31" xfId="0" applyNumberFormat="1" applyFont="1" applyFill="1" applyBorder="1"/>
    <xf numFmtId="3" fontId="9" fillId="2" borderId="0" xfId="0" applyNumberFormat="1" applyFont="1" applyFill="1" applyAlignment="1">
      <alignment horizontal="center"/>
    </xf>
    <xf numFmtId="3" fontId="9" fillId="2" borderId="26"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0" fontId="2" fillId="2" borderId="0" xfId="1" applyNumberFormat="1" applyFont="1" applyFill="1" applyBorder="1"/>
    <xf numFmtId="164" fontId="2" fillId="2" borderId="3" xfId="1" applyNumberFormat="1" applyFont="1" applyFill="1" applyBorder="1" applyAlignment="1">
      <alignment horizontal="left"/>
    </xf>
    <xf numFmtId="164" fontId="2" fillId="0" borderId="32" xfId="1" applyNumberFormat="1" applyFont="1" applyFill="1" applyBorder="1" applyAlignment="1"/>
    <xf numFmtId="164" fontId="2" fillId="2" borderId="4" xfId="1" applyNumberFormat="1" applyFont="1" applyFill="1" applyBorder="1" applyAlignment="1">
      <alignment horizontal="left"/>
    </xf>
    <xf numFmtId="164" fontId="2" fillId="2" borderId="1" xfId="1" applyNumberFormat="1" applyFont="1" applyFill="1" applyBorder="1" applyAlignment="1">
      <alignment horizontal="left"/>
    </xf>
    <xf numFmtId="164" fontId="2" fillId="0" borderId="28" xfId="1" applyNumberFormat="1" applyFont="1" applyFill="1" applyBorder="1" applyAlignment="1"/>
    <xf numFmtId="164" fontId="2" fillId="2" borderId="6" xfId="1" applyNumberFormat="1" applyFont="1" applyFill="1" applyBorder="1" applyAlignment="1">
      <alignment horizontal="left"/>
    </xf>
    <xf numFmtId="164" fontId="2" fillId="2" borderId="0" xfId="1" applyNumberFormat="1" applyFont="1" applyFill="1" applyBorder="1" applyAlignment="1">
      <alignment horizontal="left"/>
    </xf>
    <xf numFmtId="0" fontId="2" fillId="2" borderId="0" xfId="0" applyFont="1" applyFill="1" applyAlignment="1">
      <alignment wrapText="1"/>
    </xf>
    <xf numFmtId="0" fontId="9" fillId="2" borderId="0" xfId="0" applyFont="1" applyFill="1" applyAlignment="1">
      <alignment horizontal="center" wrapText="1"/>
    </xf>
    <xf numFmtId="0" fontId="9" fillId="0" borderId="0" xfId="0" applyFont="1" applyAlignment="1">
      <alignment horizontal="center"/>
    </xf>
    <xf numFmtId="16" fontId="9" fillId="0" borderId="0" xfId="0" applyNumberFormat="1" applyFont="1" applyAlignment="1">
      <alignment horizontal="center"/>
    </xf>
    <xf numFmtId="16" fontId="9"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30" xfId="5" applyFont="1" applyFill="1" applyBorder="1"/>
    <xf numFmtId="0" fontId="2" fillId="5" borderId="30" xfId="0" applyFont="1" applyFill="1" applyBorder="1"/>
    <xf numFmtId="41" fontId="2" fillId="5" borderId="30" xfId="1" applyNumberFormat="1" applyFont="1" applyFill="1" applyBorder="1"/>
    <xf numFmtId="41" fontId="2" fillId="5" borderId="30" xfId="0" applyNumberFormat="1" applyFont="1" applyFill="1" applyBorder="1"/>
    <xf numFmtId="41" fontId="2" fillId="5" borderId="36" xfId="1" applyNumberFormat="1" applyFont="1" applyFill="1" applyBorder="1"/>
    <xf numFmtId="164" fontId="2" fillId="0" borderId="3" xfId="1" applyNumberFormat="1" applyFont="1" applyFill="1" applyBorder="1" applyAlignment="1">
      <alignment horizontal="left"/>
    </xf>
    <xf numFmtId="9" fontId="2" fillId="2" borderId="3" xfId="5" applyFont="1" applyFill="1" applyBorder="1" applyAlignment="1">
      <alignment horizontal="right"/>
    </xf>
    <xf numFmtId="41" fontId="2" fillId="0" borderId="3" xfId="1" applyNumberFormat="1" applyFont="1" applyFill="1" applyBorder="1" applyAlignment="1">
      <alignment horizontal="left"/>
    </xf>
    <xf numFmtId="41" fontId="2" fillId="2" borderId="37" xfId="1" applyNumberFormat="1" applyFont="1" applyFill="1" applyBorder="1" applyAlignment="1">
      <alignment horizontal="left"/>
    </xf>
    <xf numFmtId="3" fontId="9"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1" xfId="1" applyNumberFormat="1" applyFont="1" applyFill="1" applyBorder="1" applyAlignment="1">
      <alignment horizontal="left"/>
    </xf>
    <xf numFmtId="0" fontId="2" fillId="0" borderId="6" xfId="0" applyFont="1" applyBorder="1"/>
    <xf numFmtId="0" fontId="9" fillId="2" borderId="0" xfId="0" applyFont="1" applyFill="1" applyAlignment="1">
      <alignment vertical="center" wrapText="1"/>
    </xf>
    <xf numFmtId="0" fontId="9" fillId="2" borderId="26" xfId="0" applyFont="1" applyFill="1" applyBorder="1"/>
    <xf numFmtId="0" fontId="9" fillId="2" borderId="0" xfId="0" applyFont="1" applyFill="1"/>
    <xf numFmtId="16" fontId="9" fillId="2" borderId="0" xfId="0" applyNumberFormat="1" applyFont="1" applyFill="1"/>
    <xf numFmtId="16" fontId="2" fillId="2" borderId="0" xfId="0" applyNumberFormat="1" applyFont="1" applyFill="1"/>
    <xf numFmtId="0" fontId="16" fillId="3" borderId="40" xfId="0" applyFont="1" applyFill="1" applyBorder="1" applyAlignment="1">
      <alignment vertical="center" wrapText="1"/>
    </xf>
    <xf numFmtId="0" fontId="9" fillId="0" borderId="26" xfId="0" applyFont="1" applyBorder="1" applyAlignment="1">
      <alignment horizontal="center"/>
    </xf>
    <xf numFmtId="164" fontId="2" fillId="4" borderId="31" xfId="1" applyNumberFormat="1" applyFont="1" applyFill="1" applyBorder="1" applyAlignment="1"/>
    <xf numFmtId="164" fontId="2" fillId="0" borderId="31" xfId="1" applyNumberFormat="1" applyFont="1" applyFill="1" applyBorder="1" applyAlignment="1"/>
    <xf numFmtId="3" fontId="9" fillId="0" borderId="26" xfId="0" applyNumberFormat="1" applyFont="1" applyBorder="1" applyAlignment="1">
      <alignment horizontal="center"/>
    </xf>
    <xf numFmtId="0" fontId="9" fillId="2" borderId="42" xfId="0" applyFont="1" applyFill="1" applyBorder="1" applyAlignment="1">
      <alignment horizontal="center"/>
    </xf>
    <xf numFmtId="16" fontId="9" fillId="2" borderId="0" xfId="0" applyNumberFormat="1" applyFont="1" applyFill="1" applyAlignment="1">
      <alignment horizontal="center"/>
    </xf>
    <xf numFmtId="0" fontId="2" fillId="2" borderId="26" xfId="0" applyFont="1" applyFill="1" applyBorder="1"/>
    <xf numFmtId="0" fontId="16" fillId="3" borderId="4" xfId="0" applyFont="1" applyFill="1" applyBorder="1" applyAlignment="1">
      <alignment horizontal="center" vertical="center" wrapText="1"/>
    </xf>
    <xf numFmtId="0" fontId="9" fillId="5" borderId="29" xfId="0" applyFont="1" applyFill="1" applyBorder="1"/>
    <xf numFmtId="41" fontId="2" fillId="5" borderId="30" xfId="0" applyNumberFormat="1" applyFont="1" applyFill="1" applyBorder="1" applyAlignment="1">
      <alignment horizontal="right"/>
    </xf>
    <xf numFmtId="164" fontId="2" fillId="5" borderId="30" xfId="1" applyNumberFormat="1" applyFont="1" applyFill="1" applyBorder="1" applyAlignment="1">
      <alignment horizontal="right"/>
    </xf>
    <xf numFmtId="3" fontId="2" fillId="2" borderId="26" xfId="0" applyNumberFormat="1" applyFont="1" applyFill="1" applyBorder="1"/>
    <xf numFmtId="164" fontId="9" fillId="11" borderId="3" xfId="1" applyNumberFormat="1" applyFont="1" applyFill="1" applyBorder="1" applyAlignment="1">
      <alignment horizontal="left"/>
    </xf>
    <xf numFmtId="164" fontId="2" fillId="11" borderId="3" xfId="1" applyNumberFormat="1" applyFont="1" applyFill="1" applyBorder="1" applyAlignment="1">
      <alignment horizontal="right"/>
    </xf>
    <xf numFmtId="164" fontId="2" fillId="2" borderId="0" xfId="0" applyNumberFormat="1" applyFont="1" applyFill="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 xfId="1" applyNumberFormat="1" applyFont="1" applyFill="1" applyBorder="1" applyAlignment="1">
      <alignment horizontal="right"/>
    </xf>
    <xf numFmtId="164" fontId="46" fillId="11" borderId="1" xfId="1" applyNumberFormat="1" applyFont="1" applyFill="1" applyBorder="1" applyAlignment="1">
      <alignment horizontal="right"/>
    </xf>
    <xf numFmtId="164" fontId="9" fillId="11" borderId="1" xfId="1" applyNumberFormat="1" applyFont="1" applyFill="1" applyBorder="1" applyAlignment="1">
      <alignment horizontal="left"/>
    </xf>
    <xf numFmtId="164" fontId="2" fillId="11"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9" fillId="2" borderId="43" xfId="0" applyFont="1" applyFill="1" applyBorder="1" applyAlignment="1">
      <alignment horizontal="center"/>
    </xf>
    <xf numFmtId="16" fontId="9" fillId="2" borderId="26" xfId="0" applyNumberFormat="1" applyFont="1" applyFill="1" applyBorder="1" applyAlignment="1">
      <alignment horizontal="center"/>
    </xf>
    <xf numFmtId="0" fontId="2" fillId="5" borderId="4"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9" fillId="2" borderId="0" xfId="0" applyNumberFormat="1" applyFont="1" applyFill="1" applyAlignment="1">
      <alignment horizontal="center"/>
    </xf>
    <xf numFmtId="4" fontId="9" fillId="2" borderId="0" xfId="0" applyNumberFormat="1" applyFont="1" applyFill="1" applyAlignment="1">
      <alignment horizontal="center"/>
    </xf>
    <xf numFmtId="4" fontId="9" fillId="2" borderId="26" xfId="0" applyNumberFormat="1" applyFont="1" applyFill="1" applyBorder="1" applyAlignment="1">
      <alignment horizontal="center"/>
    </xf>
    <xf numFmtId="4" fontId="9"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4" xfId="1" applyNumberFormat="1" applyFont="1" applyFill="1" applyBorder="1" applyAlignment="1">
      <alignment horizontal="right"/>
    </xf>
    <xf numFmtId="4" fontId="9" fillId="0" borderId="0" xfId="0" applyNumberFormat="1" applyFont="1"/>
    <xf numFmtId="0" fontId="9"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6" xfId="0" applyNumberFormat="1" applyFont="1" applyFill="1" applyBorder="1"/>
    <xf numFmtId="4" fontId="2" fillId="2" borderId="0" xfId="0" applyNumberFormat="1" applyFont="1" applyFill="1"/>
    <xf numFmtId="0" fontId="2" fillId="0" borderId="26" xfId="0" applyFont="1" applyBorder="1"/>
    <xf numFmtId="16" fontId="2" fillId="0" borderId="26"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9" fillId="0" borderId="0" xfId="1" applyNumberFormat="1" applyFont="1" applyFill="1" applyBorder="1" applyAlignment="1">
      <alignment horizontal="left"/>
    </xf>
    <xf numFmtId="0" fontId="16" fillId="3" borderId="5" xfId="0" applyFont="1" applyFill="1" applyBorder="1" applyAlignment="1">
      <alignment horizontal="center" vertical="center" wrapText="1"/>
    </xf>
    <xf numFmtId="164" fontId="2" fillId="2" borderId="5"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44" xfId="0" applyFont="1" applyFill="1" applyBorder="1" applyAlignment="1">
      <alignment horizontal="center" vertical="center"/>
    </xf>
    <xf numFmtId="0" fontId="2" fillId="4" borderId="45" xfId="0" applyFont="1" applyFill="1" applyBorder="1" applyAlignment="1">
      <alignment horizontal="center" vertical="center"/>
    </xf>
    <xf numFmtId="4" fontId="0" fillId="0" borderId="0" xfId="0" applyNumberFormat="1"/>
    <xf numFmtId="0" fontId="16" fillId="0" borderId="0" xfId="0" applyFont="1" applyAlignment="1">
      <alignment horizontal="center" vertical="center" wrapText="1"/>
    </xf>
    <xf numFmtId="16" fontId="16"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8" fillId="0" borderId="0" xfId="0" applyFont="1"/>
    <xf numFmtId="0" fontId="48" fillId="9" borderId="27" xfId="0" applyFont="1" applyFill="1" applyBorder="1"/>
    <xf numFmtId="0" fontId="48" fillId="9" borderId="34" xfId="0" applyFont="1" applyFill="1" applyBorder="1"/>
    <xf numFmtId="0" fontId="48" fillId="9" borderId="28" xfId="0" applyFont="1" applyFill="1" applyBorder="1"/>
    <xf numFmtId="0" fontId="48" fillId="12" borderId="27" xfId="0" applyFont="1" applyFill="1" applyBorder="1"/>
    <xf numFmtId="0" fontId="48" fillId="12" borderId="34" xfId="0" applyFont="1" applyFill="1" applyBorder="1"/>
    <xf numFmtId="0" fontId="48" fillId="12" borderId="28" xfId="0" applyFont="1" applyFill="1" applyBorder="1"/>
    <xf numFmtId="0" fontId="48" fillId="13" borderId="27" xfId="0" applyFont="1" applyFill="1" applyBorder="1"/>
    <xf numFmtId="0" fontId="48" fillId="13" borderId="34" xfId="0" applyFont="1" applyFill="1" applyBorder="1"/>
    <xf numFmtId="0" fontId="48" fillId="14" borderId="27" xfId="0" applyFont="1" applyFill="1" applyBorder="1"/>
    <xf numFmtId="0" fontId="48" fillId="14" borderId="34" xfId="0" applyFont="1" applyFill="1" applyBorder="1"/>
    <xf numFmtId="0" fontId="48" fillId="14" borderId="28" xfId="0" applyFont="1" applyFill="1" applyBorder="1"/>
    <xf numFmtId="0" fontId="48" fillId="9" borderId="1" xfId="0" applyFont="1" applyFill="1" applyBorder="1" applyAlignment="1">
      <alignment horizontal="center"/>
    </xf>
    <xf numFmtId="0" fontId="48" fillId="12"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0" borderId="1" xfId="0" applyFont="1" applyBorder="1"/>
    <xf numFmtId="172" fontId="49" fillId="2" borderId="1" xfId="1" applyNumberFormat="1" applyFont="1" applyFill="1" applyBorder="1" applyAlignment="1">
      <alignment horizontal="left"/>
    </xf>
    <xf numFmtId="171" fontId="49" fillId="2" borderId="1" xfId="1" applyNumberFormat="1" applyFont="1" applyFill="1" applyBorder="1" applyAlignment="1">
      <alignment horizontal="left"/>
    </xf>
    <xf numFmtId="171" fontId="49" fillId="0" borderId="1" xfId="1" applyNumberFormat="1" applyFont="1" applyFill="1" applyBorder="1" applyAlignment="1">
      <alignment horizontal="left"/>
    </xf>
    <xf numFmtId="0" fontId="48" fillId="0" borderId="46" xfId="0" applyFont="1" applyBorder="1"/>
    <xf numFmtId="172" fontId="49" fillId="2" borderId="46" xfId="1" applyNumberFormat="1" applyFont="1" applyFill="1" applyBorder="1" applyAlignment="1">
      <alignment horizontal="left"/>
    </xf>
    <xf numFmtId="171" fontId="49" fillId="2" borderId="46" xfId="1" applyNumberFormat="1" applyFont="1" applyFill="1" applyBorder="1" applyAlignment="1">
      <alignment horizontal="left"/>
    </xf>
    <xf numFmtId="0" fontId="47" fillId="5" borderId="3" xfId="0" applyFont="1" applyFill="1" applyBorder="1"/>
    <xf numFmtId="172" fontId="49" fillId="2" borderId="3" xfId="1" applyNumberFormat="1" applyFont="1" applyFill="1" applyBorder="1" applyAlignment="1">
      <alignment horizontal="left"/>
    </xf>
    <xf numFmtId="171" fontId="49" fillId="2" borderId="3" xfId="1" applyNumberFormat="1" applyFont="1" applyFill="1" applyBorder="1" applyAlignment="1">
      <alignment horizontal="left"/>
    </xf>
    <xf numFmtId="0" fontId="33" fillId="0" borderId="0" xfId="0" applyFont="1"/>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164" fontId="49" fillId="2" borderId="46" xfId="1" applyNumberFormat="1" applyFont="1" applyFill="1" applyBorder="1" applyAlignment="1">
      <alignment horizontal="left"/>
    </xf>
    <xf numFmtId="164" fontId="49" fillId="2" borderId="3" xfId="1" applyNumberFormat="1" applyFont="1" applyFill="1" applyBorder="1" applyAlignment="1">
      <alignment horizontal="left"/>
    </xf>
    <xf numFmtId="164" fontId="48" fillId="2" borderId="3" xfId="1" applyNumberFormat="1" applyFont="1" applyFill="1" applyBorder="1" applyAlignment="1">
      <alignment horizontal="left"/>
    </xf>
    <xf numFmtId="3" fontId="6" fillId="0" borderId="0" xfId="0" applyNumberFormat="1" applyFont="1"/>
    <xf numFmtId="14" fontId="6" fillId="0" borderId="0" xfId="0" applyNumberFormat="1" applyFont="1"/>
    <xf numFmtId="0" fontId="27" fillId="3" borderId="9" xfId="0" applyFont="1" applyFill="1" applyBorder="1" applyAlignment="1">
      <alignment horizontal="center" vertical="center" wrapText="1"/>
    </xf>
    <xf numFmtId="173" fontId="27" fillId="15" borderId="25" xfId="0" applyNumberFormat="1" applyFont="1" applyFill="1" applyBorder="1" applyAlignment="1">
      <alignment horizontal="center" vertical="center" wrapText="1"/>
    </xf>
    <xf numFmtId="173" fontId="27" fillId="3" borderId="25" xfId="0" applyNumberFormat="1" applyFont="1" applyFill="1" applyBorder="1" applyAlignment="1">
      <alignment horizontal="center" vertical="center" wrapText="1"/>
    </xf>
    <xf numFmtId="173" fontId="27" fillId="3" borderId="10" xfId="0" applyNumberFormat="1" applyFont="1" applyFill="1" applyBorder="1" applyAlignment="1">
      <alignment horizontal="center" vertical="center" wrapText="1"/>
    </xf>
    <xf numFmtId="164" fontId="28" fillId="11" borderId="4"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1" xfId="1" applyNumberFormat="1" applyFont="1" applyFill="1" applyBorder="1" applyAlignment="1">
      <alignment horizontal="right"/>
    </xf>
    <xf numFmtId="169" fontId="6" fillId="2" borderId="1" xfId="1" applyNumberFormat="1" applyFont="1" applyFill="1" applyBorder="1" applyAlignment="1">
      <alignment horizontal="right"/>
    </xf>
    <xf numFmtId="169" fontId="6" fillId="2" borderId="11" xfId="1" applyNumberFormat="1" applyFont="1" applyFill="1" applyBorder="1" applyAlignment="1">
      <alignment horizontal="right"/>
    </xf>
    <xf numFmtId="174" fontId="6" fillId="2" borderId="1" xfId="1" applyNumberFormat="1" applyFont="1" applyFill="1" applyBorder="1" applyAlignment="1">
      <alignment horizontal="right"/>
    </xf>
    <xf numFmtId="174" fontId="6" fillId="2" borderId="11" xfId="1" applyNumberFormat="1" applyFont="1" applyFill="1" applyBorder="1" applyAlignment="1">
      <alignment horizontal="right"/>
    </xf>
    <xf numFmtId="164" fontId="28" fillId="11" borderId="47" xfId="1" applyNumberFormat="1" applyFont="1" applyFill="1" applyBorder="1" applyAlignment="1">
      <alignment horizontal="left"/>
    </xf>
    <xf numFmtId="171" fontId="6" fillId="2" borderId="46" xfId="1" applyNumberFormat="1" applyFont="1" applyFill="1" applyBorder="1" applyAlignment="1">
      <alignment horizontal="right"/>
    </xf>
    <xf numFmtId="171" fontId="6" fillId="2" borderId="14" xfId="1" applyNumberFormat="1" applyFont="1" applyFill="1" applyBorder="1" applyAlignment="1">
      <alignment horizontal="right"/>
    </xf>
    <xf numFmtId="3" fontId="6" fillId="2" borderId="11" xfId="1" applyNumberFormat="1" applyFont="1" applyFill="1" applyBorder="1" applyAlignment="1">
      <alignment horizontal="right"/>
    </xf>
    <xf numFmtId="3" fontId="6" fillId="2" borderId="14"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4" xfId="1" applyNumberFormat="1" applyFont="1" applyFill="1" applyBorder="1" applyAlignment="1">
      <alignment horizontal="right"/>
    </xf>
    <xf numFmtId="1" fontId="6" fillId="2" borderId="11" xfId="1" applyNumberFormat="1" applyFont="1" applyFill="1" applyBorder="1" applyAlignment="1"/>
    <xf numFmtId="1" fontId="6" fillId="2" borderId="14" xfId="1" applyNumberFormat="1" applyFont="1" applyFill="1" applyBorder="1" applyAlignment="1"/>
    <xf numFmtId="41" fontId="6" fillId="16" borderId="1" xfId="1" applyNumberFormat="1" applyFont="1" applyFill="1" applyBorder="1" applyAlignment="1">
      <alignment horizontal="right"/>
    </xf>
    <xf numFmtId="41" fontId="6" fillId="2" borderId="46" xfId="1" applyNumberFormat="1" applyFont="1" applyFill="1" applyBorder="1" applyAlignment="1">
      <alignment horizontal="right"/>
    </xf>
    <xf numFmtId="164" fontId="28"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4" fillId="5" borderId="48" xfId="2" applyFont="1" applyFill="1" applyBorder="1" applyAlignment="1">
      <alignment horizontal="center" vertical="top"/>
    </xf>
    <xf numFmtId="0" fontId="6" fillId="0" borderId="26" xfId="0" applyFont="1" applyBorder="1" applyAlignment="1">
      <alignment vertical="center"/>
    </xf>
    <xf numFmtId="0" fontId="6" fillId="0" borderId="11" xfId="0" applyFont="1" applyBorder="1" applyAlignment="1">
      <alignment vertical="center"/>
    </xf>
    <xf numFmtId="49" fontId="30" fillId="0" borderId="11" xfId="0" applyNumberFormat="1" applyFont="1" applyBorder="1" applyAlignment="1">
      <alignment horizontal="left" vertical="top" wrapText="1"/>
    </xf>
    <xf numFmtId="0" fontId="6" fillId="0" borderId="11" xfId="0" applyFont="1" applyBorder="1" applyAlignment="1">
      <alignment wrapText="1"/>
    </xf>
    <xf numFmtId="0" fontId="6" fillId="0" borderId="11" xfId="0" applyFont="1" applyBorder="1" applyAlignment="1">
      <alignment vertical="center" wrapText="1"/>
    </xf>
    <xf numFmtId="0" fontId="6" fillId="2" borderId="49" xfId="0" applyFont="1" applyFill="1" applyBorder="1" applyAlignment="1">
      <alignment horizontal="left" vertical="top" wrapText="1"/>
    </xf>
    <xf numFmtId="0" fontId="6" fillId="2" borderId="14" xfId="0" applyFont="1" applyFill="1" applyBorder="1" applyAlignment="1">
      <alignment horizontal="left" vertical="top" wrapText="1"/>
    </xf>
    <xf numFmtId="0" fontId="22" fillId="2" borderId="0" xfId="0" applyFont="1" applyFill="1" applyAlignment="1">
      <alignment horizontal="left" wrapText="1"/>
    </xf>
    <xf numFmtId="0" fontId="23" fillId="2" borderId="0" xfId="0" applyFont="1" applyFill="1" applyAlignment="1">
      <alignment horizontal="left" vertical="center" wrapText="1"/>
    </xf>
    <xf numFmtId="0" fontId="24" fillId="0" borderId="0" xfId="2" applyFont="1" applyAlignment="1">
      <alignment horizontal="center" vertical="top"/>
    </xf>
    <xf numFmtId="0" fontId="20" fillId="6" borderId="0" xfId="3" applyFont="1" applyFill="1" applyAlignment="1">
      <alignment horizontal="center" vertical="center" wrapText="1"/>
    </xf>
    <xf numFmtId="0" fontId="24" fillId="5" borderId="0" xfId="2" applyFont="1" applyFill="1" applyAlignment="1">
      <alignment horizontal="center" vertical="top"/>
    </xf>
    <xf numFmtId="0" fontId="33" fillId="0" borderId="0" xfId="0" applyFont="1" applyAlignment="1">
      <alignment horizontal="center"/>
    </xf>
    <xf numFmtId="0" fontId="34" fillId="0" borderId="0" xfId="0" applyFont="1" applyAlignment="1">
      <alignment horizontal="left"/>
    </xf>
    <xf numFmtId="0" fontId="22" fillId="2" borderId="0" xfId="0" applyFont="1" applyFill="1" applyAlignment="1">
      <alignment horizontal="left" vertical="center" wrapText="1"/>
    </xf>
    <xf numFmtId="164" fontId="2" fillId="2" borderId="5"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9" fillId="0" borderId="0" xfId="0" applyFont="1" applyAlignment="1">
      <alignment horizontal="left" vertical="center"/>
    </xf>
    <xf numFmtId="0" fontId="9" fillId="0" borderId="6" xfId="0" applyFont="1" applyBorder="1" applyAlignment="1">
      <alignment horizontal="left" vertical="center"/>
    </xf>
    <xf numFmtId="0" fontId="2" fillId="4" borderId="33" xfId="0" applyFont="1" applyFill="1" applyBorder="1" applyAlignment="1">
      <alignment horizontal="center" vertical="center"/>
    </xf>
    <xf numFmtId="0" fontId="2" fillId="4" borderId="34" xfId="0" applyFont="1" applyFill="1" applyBorder="1" applyAlignment="1">
      <alignment horizontal="center" vertical="center"/>
    </xf>
    <xf numFmtId="0" fontId="2" fillId="4" borderId="35" xfId="0" applyFont="1" applyFill="1" applyBorder="1" applyAlignment="1">
      <alignment horizontal="center" vertical="center"/>
    </xf>
    <xf numFmtId="0" fontId="9" fillId="2" borderId="6" xfId="0" applyFont="1" applyFill="1" applyBorder="1" applyAlignment="1">
      <alignment horizontal="left" vertical="center"/>
    </xf>
    <xf numFmtId="0" fontId="9" fillId="2" borderId="0" xfId="0" applyFont="1" applyFill="1" applyAlignment="1">
      <alignment horizontal="left" vertical="center"/>
    </xf>
    <xf numFmtId="164" fontId="2" fillId="2" borderId="1" xfId="1" applyNumberFormat="1" applyFont="1" applyFill="1" applyBorder="1" applyAlignment="1">
      <alignment horizontal="left"/>
    </xf>
    <xf numFmtId="0" fontId="9" fillId="4" borderId="33" xfId="0" applyFont="1" applyFill="1" applyBorder="1" applyAlignment="1">
      <alignment horizontal="center" vertical="center"/>
    </xf>
    <xf numFmtId="0" fontId="9" fillId="4" borderId="34" xfId="0" applyFont="1" applyFill="1" applyBorder="1" applyAlignment="1">
      <alignment horizontal="center" vertical="center"/>
    </xf>
    <xf numFmtId="0" fontId="9" fillId="4" borderId="35" xfId="0" applyFont="1" applyFill="1" applyBorder="1" applyAlignment="1">
      <alignment horizontal="center" vertical="center"/>
    </xf>
    <xf numFmtId="0" fontId="9" fillId="2" borderId="6" xfId="0" applyFont="1" applyFill="1" applyBorder="1" applyAlignment="1">
      <alignment horizontal="left" vertical="center" wrapText="1"/>
    </xf>
    <xf numFmtId="0" fontId="9" fillId="2" borderId="0" xfId="0" applyFont="1" applyFill="1" applyAlignment="1">
      <alignment horizontal="left" vertical="center" wrapText="1"/>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0" fontId="16" fillId="3" borderId="1" xfId="0" applyFont="1" applyFill="1" applyBorder="1" applyAlignment="1">
      <alignment horizontal="center" vertical="center" wrapText="1"/>
    </xf>
    <xf numFmtId="0" fontId="16" fillId="3" borderId="38"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2" fillId="5" borderId="30" xfId="0" applyFont="1" applyFill="1" applyBorder="1" applyAlignment="1">
      <alignment horizontal="left"/>
    </xf>
    <xf numFmtId="0" fontId="2" fillId="5" borderId="41" xfId="0" applyFont="1" applyFill="1" applyBorder="1" applyAlignment="1">
      <alignment horizontal="center"/>
    </xf>
    <xf numFmtId="0" fontId="2" fillId="5" borderId="31" xfId="0" applyFont="1" applyFill="1" applyBorder="1" applyAlignment="1">
      <alignment horizontal="center"/>
    </xf>
    <xf numFmtId="164" fontId="2" fillId="2" borderId="3" xfId="1" applyNumberFormat="1" applyFont="1" applyFill="1" applyBorder="1" applyAlignment="1">
      <alignment horizontal="left"/>
    </xf>
    <xf numFmtId="164" fontId="2" fillId="2" borderId="38" xfId="1" applyNumberFormat="1" applyFont="1" applyFill="1" applyBorder="1" applyAlignment="1">
      <alignment horizontal="left" wrapText="1"/>
    </xf>
    <xf numFmtId="164" fontId="2" fillId="2" borderId="40" xfId="1" applyNumberFormat="1" applyFont="1" applyFill="1" applyBorder="1" applyAlignment="1">
      <alignment horizontal="left" wrapText="1"/>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9" fillId="2" borderId="26" xfId="0" applyFont="1" applyFill="1" applyBorder="1" applyAlignment="1">
      <alignment horizontal="left" vertical="center"/>
    </xf>
    <xf numFmtId="0" fontId="9" fillId="2" borderId="6" xfId="0" applyFont="1" applyFill="1" applyBorder="1" applyAlignment="1">
      <alignment vertical="center" wrapText="1"/>
    </xf>
    <xf numFmtId="0" fontId="9" fillId="2" borderId="0" xfId="0" applyFont="1" applyFill="1" applyAlignment="1">
      <alignment vertical="center" wrapText="1"/>
    </xf>
    <xf numFmtId="0" fontId="9" fillId="0" borderId="0" xfId="0" applyFont="1" applyAlignment="1">
      <alignment vertical="center" wrapText="1"/>
    </xf>
    <xf numFmtId="0" fontId="2" fillId="2" borderId="1" xfId="0" applyFont="1" applyFill="1" applyBorder="1"/>
    <xf numFmtId="0" fontId="2" fillId="2" borderId="24" xfId="0" applyFont="1" applyFill="1" applyBorder="1"/>
    <xf numFmtId="0" fontId="43" fillId="2" borderId="0" xfId="0" applyFont="1" applyFill="1" applyAlignment="1">
      <alignment horizontal="left" vertical="center"/>
    </xf>
    <xf numFmtId="0" fontId="45" fillId="4" borderId="9" xfId="0" applyFont="1" applyFill="1" applyBorder="1" applyAlignment="1">
      <alignment horizontal="center" vertical="center"/>
    </xf>
    <xf numFmtId="0" fontId="45" fillId="4" borderId="25" xfId="0" applyFont="1" applyFill="1" applyBorder="1" applyAlignment="1">
      <alignment horizontal="center" vertical="center"/>
    </xf>
    <xf numFmtId="0" fontId="45" fillId="4" borderId="10" xfId="0" applyFont="1" applyFill="1" applyBorder="1" applyAlignment="1">
      <alignment horizontal="center" vertical="center"/>
    </xf>
    <xf numFmtId="0" fontId="16" fillId="3" borderId="27" xfId="0" applyFont="1" applyFill="1" applyBorder="1" applyAlignment="1">
      <alignment horizontal="center" vertical="center" wrapText="1"/>
    </xf>
    <xf numFmtId="0" fontId="16" fillId="3" borderId="28" xfId="0" applyFont="1" applyFill="1" applyBorder="1" applyAlignment="1">
      <alignment horizontal="center" vertical="center" wrapText="1"/>
    </xf>
    <xf numFmtId="0" fontId="24" fillId="0" borderId="0" xfId="2" applyFont="1" applyAlignment="1">
      <alignment horizontal="left" vertical="top"/>
    </xf>
    <xf numFmtId="0" fontId="20" fillId="6" borderId="0" xfId="3" applyFont="1" applyFill="1" applyAlignment="1">
      <alignment horizontal="left" vertical="center" wrapText="1"/>
    </xf>
    <xf numFmtId="0" fontId="24" fillId="5" borderId="0" xfId="2" applyFont="1" applyFill="1" applyAlignment="1">
      <alignment horizontal="left" vertical="top"/>
    </xf>
    <xf numFmtId="0" fontId="48" fillId="14" borderId="38" xfId="0" applyFont="1" applyFill="1" applyBorder="1" applyAlignment="1">
      <alignment horizontal="center"/>
    </xf>
    <xf numFmtId="0" fontId="48" fillId="14" borderId="40" xfId="0" applyFont="1" applyFill="1" applyBorder="1" applyAlignment="1">
      <alignment horizontal="center"/>
    </xf>
    <xf numFmtId="0" fontId="48" fillId="13" borderId="27" xfId="0" applyFont="1" applyFill="1" applyBorder="1" applyAlignment="1">
      <alignment horizontal="center"/>
    </xf>
    <xf numFmtId="0" fontId="48" fillId="13" borderId="28" xfId="0" applyFont="1" applyFill="1" applyBorder="1" applyAlignment="1">
      <alignment horizontal="center"/>
    </xf>
    <xf numFmtId="0" fontId="48" fillId="13" borderId="38" xfId="0" applyFont="1" applyFill="1" applyBorder="1" applyAlignment="1">
      <alignment horizontal="center"/>
    </xf>
    <xf numFmtId="0" fontId="48" fillId="13" borderId="40" xfId="0" applyFont="1" applyFill="1" applyBorder="1" applyAlignment="1">
      <alignment horizontal="center"/>
    </xf>
    <xf numFmtId="0" fontId="48" fillId="12" borderId="27" xfId="0" applyFont="1" applyFill="1" applyBorder="1" applyAlignment="1">
      <alignment horizontal="center"/>
    </xf>
    <xf numFmtId="0" fontId="48" fillId="12" borderId="28" xfId="0" applyFont="1" applyFill="1" applyBorder="1" applyAlignment="1">
      <alignment horizontal="center"/>
    </xf>
    <xf numFmtId="0" fontId="47" fillId="5" borderId="1" xfId="0" applyFont="1" applyFill="1" applyBorder="1" applyAlignment="1">
      <alignment horizontal="center" vertical="center"/>
    </xf>
    <xf numFmtId="0" fontId="48" fillId="9" borderId="27" xfId="0" applyFont="1" applyFill="1" applyBorder="1" applyAlignment="1">
      <alignment horizontal="center"/>
    </xf>
    <xf numFmtId="0" fontId="48" fillId="9" borderId="28" xfId="0" applyFont="1" applyFill="1" applyBorder="1" applyAlignment="1">
      <alignment horizontal="center"/>
    </xf>
    <xf numFmtId="0" fontId="47" fillId="4" borderId="1" xfId="0" applyFont="1" applyFill="1" applyBorder="1" applyAlignment="1">
      <alignment horizontal="center" vertical="center"/>
    </xf>
    <xf numFmtId="0" fontId="50" fillId="0" borderId="0" xfId="0" applyFont="1" applyAlignment="1">
      <alignment wrapText="1"/>
    </xf>
    <xf numFmtId="0" fontId="28" fillId="0" borderId="0" xfId="0" applyFont="1" applyAlignment="1">
      <alignment wrapText="1"/>
    </xf>
    <xf numFmtId="3" fontId="7" fillId="3" borderId="1" xfId="1" applyNumberFormat="1" applyFont="1" applyFill="1" applyBorder="1" applyAlignment="1">
      <alignment horizontal="left" vertical="top" wrapText="1"/>
    </xf>
    <xf numFmtId="1" fontId="24" fillId="5" borderId="0" xfId="2" applyNumberFormat="1" applyFont="1" applyFill="1" applyAlignment="1">
      <alignment horizontal="left" vertical="top"/>
    </xf>
    <xf numFmtId="0" fontId="17" fillId="2" borderId="1" xfId="0" applyFont="1" applyFill="1" applyBorder="1" applyAlignment="1">
      <alignment horizontal="center" vertical="center"/>
    </xf>
    <xf numFmtId="1" fontId="7" fillId="3" borderId="1" xfId="4" applyNumberFormat="1" applyFont="1" applyFill="1" applyBorder="1" applyAlignment="1">
      <alignment horizontal="left" vertical="top" wrapText="1"/>
    </xf>
    <xf numFmtId="0" fontId="30" fillId="0" borderId="0" xfId="0" applyFont="1" applyAlignment="1">
      <alignment horizontal="left" wrapText="1"/>
    </xf>
    <xf numFmtId="0" fontId="2" fillId="0" borderId="0" xfId="0" applyFont="1" applyAlignment="1">
      <alignment vertical="top" wrapText="1"/>
    </xf>
    <xf numFmtId="0" fontId="38" fillId="10" borderId="21" xfId="0" applyFont="1" applyFill="1" applyBorder="1" applyAlignment="1">
      <alignment horizontal="center" vertical="center"/>
    </xf>
    <xf numFmtId="0" fontId="38" fillId="10" borderId="20" xfId="0" applyFont="1" applyFill="1" applyBorder="1" applyAlignment="1">
      <alignment horizontal="center" vertical="center"/>
    </xf>
    <xf numFmtId="0" fontId="38" fillId="10" borderId="19" xfId="0" applyFont="1" applyFill="1" applyBorder="1" applyAlignment="1">
      <alignment horizontal="center" vertical="center"/>
    </xf>
    <xf numFmtId="0" fontId="0" fillId="0" borderId="21" xfId="0" applyBorder="1" applyAlignment="1">
      <alignment horizontal="left" vertical="top" wrapText="1"/>
    </xf>
    <xf numFmtId="0" fontId="0" fillId="0" borderId="20" xfId="0" applyBorder="1" applyAlignment="1">
      <alignment horizontal="left" vertical="top" wrapText="1"/>
    </xf>
    <xf numFmtId="0" fontId="0" fillId="0" borderId="19" xfId="0" applyBorder="1" applyAlignment="1">
      <alignment horizontal="left" vertical="top" wrapText="1"/>
    </xf>
    <xf numFmtId="0" fontId="36" fillId="0" borderId="0" xfId="0" applyFont="1" applyAlignment="1">
      <alignment horizontal="left" vertical="center"/>
    </xf>
    <xf numFmtId="0" fontId="37" fillId="0" borderId="6" xfId="0" applyFont="1" applyBorder="1" applyAlignment="1">
      <alignment horizontal="left" vertical="top" wrapText="1"/>
    </xf>
    <xf numFmtId="0" fontId="37" fillId="0" borderId="0" xfId="0" applyFont="1" applyAlignment="1">
      <alignment horizontal="left" vertical="top" wrapText="1"/>
    </xf>
    <xf numFmtId="0" fontId="38" fillId="10" borderId="6" xfId="0" applyFont="1" applyFill="1" applyBorder="1" applyAlignment="1">
      <alignment horizontal="center" vertical="center"/>
    </xf>
    <xf numFmtId="0" fontId="38" fillId="10" borderId="0" xfId="0" applyFont="1" applyFill="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wrapText="1"/>
    </xf>
    <xf numFmtId="0" fontId="6" fillId="2" borderId="4" xfId="0" applyFont="1" applyFill="1" applyBorder="1" applyAlignment="1">
      <alignment horizontal="center" vertical="top" wrapText="1"/>
    </xf>
    <xf numFmtId="0" fontId="6" fillId="0" borderId="4" xfId="0" applyFont="1" applyBorder="1" applyAlignment="1">
      <alignment horizontal="center" vertical="top"/>
    </xf>
    <xf numFmtId="0" fontId="6" fillId="0" borderId="4" xfId="0" applyFont="1" applyBorder="1" applyAlignment="1">
      <alignment horizontal="center" vertical="top" wrapText="1"/>
    </xf>
    <xf numFmtId="0" fontId="48" fillId="0" borderId="12" xfId="0" applyFont="1" applyBorder="1" applyAlignment="1">
      <alignment horizontal="center" vertical="top" wrapText="1"/>
    </xf>
    <xf numFmtId="0" fontId="48" fillId="0" borderId="7" xfId="0" applyFont="1" applyBorder="1" applyAlignment="1">
      <alignment horizontal="center" vertical="top" wrapText="1"/>
    </xf>
    <xf numFmtId="0" fontId="48" fillId="0" borderId="2" xfId="0" applyFont="1" applyBorder="1" applyAlignment="1">
      <alignment horizontal="center" vertical="top" wrapText="1"/>
    </xf>
    <xf numFmtId="0" fontId="48" fillId="0" borderId="12" xfId="0" applyFont="1" applyBorder="1" applyAlignment="1">
      <alignment vertical="top" wrapText="1"/>
    </xf>
    <xf numFmtId="0" fontId="48" fillId="0" borderId="7" xfId="0" applyFont="1" applyBorder="1" applyAlignment="1">
      <alignment vertical="top" wrapText="1"/>
    </xf>
    <xf numFmtId="0" fontId="48" fillId="0" borderId="13" xfId="0" applyFont="1" applyBorder="1" applyAlignment="1">
      <alignment vertical="top" wrapText="1"/>
    </xf>
    <xf numFmtId="0" fontId="6" fillId="0" borderId="4" xfId="0" applyFont="1" applyBorder="1" applyAlignment="1">
      <alignment horizontal="left" vertical="top" wrapText="1"/>
    </xf>
  </cellXfs>
  <cellStyles count="8">
    <cellStyle name="Comma" xfId="1" builtinId="3"/>
    <cellStyle name="Currency" xfId="7" builtinId="4"/>
    <cellStyle name="Normal" xfId="0" builtinId="0"/>
    <cellStyle name="Normal 2" xfId="4" xr:uid="{00000000-0005-0000-0000-000002000000}"/>
    <cellStyle name="Normal 2 2" xfId="6" xr:uid="{A4A51A68-C48F-49A0-AF6C-5F5C7DBA2DBD}"/>
    <cellStyle name="Normal 5" xfId="2" xr:uid="{00000000-0005-0000-0000-000003000000}"/>
    <cellStyle name="Normal_FLQuickRefGuide_4.27.09" xfId="3" xr:uid="{00000000-0005-0000-0000-000004000000}"/>
    <cellStyle name="Percent" xfId="5" builtinId="5"/>
  </cellStyles>
  <dxfs count="70">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19" formatCode="m/d/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 formatCode="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979078-9373-4113-92CA-CF172D80BD65}" name="Table_Facility_List_Staging_8_26_2013.accdb_11432" displayName="Table_Facility_List_Staging_8_26_2013.accdb_11432" ref="A7:AG130" headerRowDxfId="68" dataDxfId="66" totalsRowDxfId="64" headerRowBorderDxfId="67" tableBorderDxfId="65">
  <autoFilter ref="A7:AG130" xr:uid="{61BD7780-12DE-4870-B406-61B4C7C077E2}"/>
  <sortState xmlns:xlrd2="http://schemas.microsoft.com/office/spreadsheetml/2017/richdata2" ref="A8:AG130">
    <sortCondition ref="A7:A130"/>
  </sortState>
  <tableColumns count="33">
    <tableColumn id="2" xr3:uid="{10895AFD-F49E-40D9-948E-B701846377BB}" name="Name" dataDxfId="63" totalsRowDxfId="62"/>
    <tableColumn id="3" xr3:uid="{F0A027AE-C0F3-469D-9CE3-2988A7B03D71}" name="Address" dataDxfId="61" totalsRowDxfId="60"/>
    <tableColumn id="4" xr3:uid="{AB4D3FF5-9D0C-4E97-98F7-D39BD18F01A3}" name="City" dataDxfId="59" totalsRowDxfId="58"/>
    <tableColumn id="6" xr3:uid="{059B87C0-E12A-44CD-A2A5-864048BB5BB5}" name="State" dataDxfId="57"/>
    <tableColumn id="7" xr3:uid="{79165F63-6970-4F80-878B-0E5A0D9BD41A}" name="Zip" dataDxfId="56" totalsRowDxfId="55"/>
    <tableColumn id="9" xr3:uid="{741B3489-8AE9-477B-A5DE-D53AA18EFFFE}" name="AOR" dataDxfId="54" totalsRowDxfId="53"/>
    <tableColumn id="12" xr3:uid="{C87EE11E-73CC-46C5-8160-F9EC01F8A46A}" name="Type Detailed" dataDxfId="52" totalsRowDxfId="51"/>
    <tableColumn id="81" xr3:uid="{71754BA6-FBA5-4C05-BFB0-282A758F6B66}" name="Male/Female" dataDxfId="50" totalsRowDxfId="49"/>
    <tableColumn id="43" xr3:uid="{38BC0168-0264-46AE-BC38-977CAC477010}" name="FY23 ALOS" dataDxfId="48" totalsRowDxfId="47"/>
    <tableColumn id="67" xr3:uid="{5695D2F7-7B27-45C9-932B-74B6C86AD0B3}" name="Level A" dataDxfId="46" totalsRowDxfId="45"/>
    <tableColumn id="68" xr3:uid="{762AADEE-0375-46A4-8233-21EE47AF78AD}" name="Level B" dataDxfId="44" totalsRowDxfId="43"/>
    <tableColumn id="69" xr3:uid="{32C650B4-DB42-4844-A215-9A5CE105D873}" name="Level C" dataDxfId="42" totalsRowDxfId="41"/>
    <tableColumn id="70" xr3:uid="{78827C0A-AA86-455C-ACCB-3E49DC7A75E2}" name="Level D" dataDxfId="40" totalsRowDxfId="39"/>
    <tableColumn id="71" xr3:uid="{3012DB96-584B-4D22-8516-5873FCB359C9}" name="Male Crim" dataDxfId="38" totalsRowDxfId="37"/>
    <tableColumn id="72" xr3:uid="{8ACA202C-1C63-4272-8BCC-2536B7815E1D}" name="Male Non-Crim" dataDxfId="36" totalsRowDxfId="35"/>
    <tableColumn id="73" xr3:uid="{FF726A5C-C4DB-4B9A-90B8-EC9F564877E5}" name="Female Crim" dataDxfId="34" totalsRowDxfId="33"/>
    <tableColumn id="74" xr3:uid="{E9290274-E90B-4782-AC01-273DFEB6B6DC}" name="Female Non-Crim" dataDxfId="32" totalsRowDxfId="31"/>
    <tableColumn id="75" xr3:uid="{F77A62A0-AA8E-42A7-8F25-1B689F37B8E4}" name="ICE Threat Level 1" dataDxfId="30" totalsRowDxfId="29"/>
    <tableColumn id="76" xr3:uid="{4FFC1CB6-F098-4D6B-A904-E5B7164A0EC6}" name="ICE Threat Level 2" dataDxfId="28" totalsRowDxfId="27"/>
    <tableColumn id="77" xr3:uid="{42AE1F13-1AEC-4085-A24F-0E5B7E4B203B}" name="ICE Threat Level 3" dataDxfId="26" totalsRowDxfId="25"/>
    <tableColumn id="78" xr3:uid="{D96A840E-624E-4E3F-857A-F9A7636ABF82}" name="No ICE Threat Level" dataDxfId="24" totalsRowDxfId="23"/>
    <tableColumn id="79" xr3:uid="{05AE5A1E-118B-4B61-9E9E-A5B04CE85585}" name="Mandatory" dataDxfId="22" totalsRowDxfId="21"/>
    <tableColumn id="86" xr3:uid="{8CD16A7D-17BC-4DFF-9F76-A918D2D46B53}" name="Guaranteed Minimum" dataDxfId="20" totalsRowDxfId="19"/>
    <tableColumn id="124" xr3:uid="{A0CF3BB1-585B-4492-B42B-131ACD035C0D}" name="Last Inspection Type" dataDxfId="18" totalsRowDxfId="17"/>
    <tableColumn id="10" xr3:uid="{36586CDC-FC3C-4EC2-AF85-E08A6B66BB25}" name="ODO Inspection End Date" dataDxfId="16" totalsRowDxfId="15"/>
    <tableColumn id="1" xr3:uid="{3CCDCF62-EC37-4DB0-A69F-4DC71248B473}" name="ODO Last Inspection Standard" dataDxfId="14" totalsRowDxfId="13"/>
    <tableColumn id="8" xr3:uid="{1DC150B5-A0C2-4456-875B-661B810E20D1}" name="ODO Final Rating" dataDxfId="12" totalsRowDxfId="11"/>
    <tableColumn id="129" xr3:uid="{ED5A89C6-5593-4246-B901-CA1A361DEAEA}" name="Last Nakamoto Inspection Standard" dataDxfId="10" totalsRowDxfId="9"/>
    <tableColumn id="93" xr3:uid="{3113D64C-A15D-4095-AA04-8E729453B939}" name="Last Nakamoto Inspection Rating - Final" dataDxfId="8"/>
    <tableColumn id="95" xr3:uid="{F0099AAF-A63D-4222-A3CD-DE6E04695BBB}" name="Last Nakamoto Inspection Date" dataDxfId="7" totalsRowDxfId="6"/>
    <tableColumn id="125" xr3:uid="{DEB54A46-F1FD-4FC1-A2A4-8B2B1B9B6BB1}" name="Second to Last Nakamoto Inspection Type" dataDxfId="5" totalsRowDxfId="4"/>
    <tableColumn id="131" xr3:uid="{808F7F2B-13B5-4429-BA8C-0C233BB86DAC}" name="Second to Last Nakamoto Inspection Standard" dataDxfId="3" totalsRowDxfId="2"/>
    <tableColumn id="97" xr3:uid="{9B426976-5F3A-4B8A-B85B-59B2AD05D064}" name="Second to Last Nakamoto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Normal="100" workbookViewId="0"/>
  </sheetViews>
  <sheetFormatPr defaultColWidth="0" defaultRowHeight="14.5" zeroHeight="1" x14ac:dyDescent="0.35"/>
  <cols>
    <col min="1" max="1" width="110.453125" customWidth="1"/>
    <col min="2" max="16384" width="8.81640625" hidden="1"/>
  </cols>
  <sheetData>
    <row r="1" spans="1:1" ht="119.15" customHeight="1" x14ac:dyDescent="0.35">
      <c r="A1" s="9" t="s">
        <v>458</v>
      </c>
    </row>
    <row r="2" spans="1:1" ht="51.75" customHeight="1" x14ac:dyDescent="0.35">
      <c r="A2" s="8" t="s">
        <v>44</v>
      </c>
    </row>
    <row r="3" spans="1:1" ht="76.400000000000006" customHeight="1" x14ac:dyDescent="0.35">
      <c r="A3" s="8" t="s">
        <v>491</v>
      </c>
    </row>
    <row r="4" spans="1:1" ht="22.5" customHeight="1" x14ac:dyDescent="0.35">
      <c r="A4" s="8" t="s">
        <v>457</v>
      </c>
    </row>
    <row r="5" spans="1:1" ht="36.75" customHeight="1" x14ac:dyDescent="0.35">
      <c r="A5" s="8" t="s">
        <v>430</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1EB6-2683-49EC-9A8E-76C469C11D13}">
  <sheetPr>
    <tabColor theme="0"/>
  </sheetPr>
  <dimension ref="A1:BC152"/>
  <sheetViews>
    <sheetView showGridLines="0" topLeftCell="A14" zoomScaleNormal="100" zoomScalePageLayoutView="110" workbookViewId="0">
      <selection sqref="A1:G1"/>
    </sheetView>
  </sheetViews>
  <sheetFormatPr defaultRowHeight="15" x14ac:dyDescent="0.35"/>
  <cols>
    <col min="1" max="1" width="17.54296875" bestFit="1" customWidth="1"/>
    <col min="2" max="2" width="9.81640625" bestFit="1" customWidth="1"/>
    <col min="3" max="3" width="16.54296875" bestFit="1" customWidth="1"/>
    <col min="4" max="4" width="11.6328125" customWidth="1"/>
    <col min="5" max="5" width="20.54296875" customWidth="1"/>
    <col min="6" max="6" width="13.36328125" style="50" customWidth="1"/>
    <col min="7" max="7" width="15.81640625" style="57" customWidth="1"/>
    <col min="8" max="8" width="19.54296875" customWidth="1"/>
    <col min="9" max="9" width="15" customWidth="1"/>
    <col min="12" max="12" width="8.7265625" style="3"/>
  </cols>
  <sheetData>
    <row r="1" spans="1:55" ht="38.5" customHeight="1" x14ac:dyDescent="0.35">
      <c r="A1" s="387" t="s">
        <v>43</v>
      </c>
      <c r="B1" s="387"/>
      <c r="C1" s="387"/>
      <c r="D1" s="387"/>
      <c r="E1" s="387"/>
      <c r="F1" s="387"/>
      <c r="G1" s="387"/>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5" customHeight="1" x14ac:dyDescent="0.35">
      <c r="A2" s="388" t="s">
        <v>44</v>
      </c>
      <c r="B2" s="388"/>
      <c r="C2" s="388"/>
      <c r="D2" s="388"/>
      <c r="E2" s="388"/>
      <c r="F2" s="388"/>
      <c r="G2" s="388"/>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35">
      <c r="A3" s="388"/>
      <c r="B3" s="388"/>
      <c r="C3" s="388"/>
      <c r="D3" s="388"/>
      <c r="E3" s="388"/>
      <c r="F3" s="388"/>
      <c r="G3" s="388"/>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 x14ac:dyDescent="0.35">
      <c r="A4" s="389" t="s">
        <v>505</v>
      </c>
      <c r="B4" s="389"/>
      <c r="C4" s="389"/>
      <c r="D4" s="389"/>
      <c r="E4" s="389"/>
      <c r="F4" s="389"/>
      <c r="G4" s="389"/>
      <c r="H4" s="59"/>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 x14ac:dyDescent="0.35">
      <c r="A5" s="58"/>
      <c r="B5" s="58"/>
      <c r="C5" s="58"/>
      <c r="D5" s="58"/>
      <c r="E5" s="58"/>
      <c r="F5" s="58"/>
      <c r="G5" s="58"/>
      <c r="H5" s="59"/>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35">
      <c r="A6" s="60"/>
      <c r="B6" s="60"/>
      <c r="C6" s="60"/>
      <c r="D6" s="3"/>
      <c r="E6" s="3"/>
      <c r="F6" s="41"/>
      <c r="G6" s="51"/>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35">
      <c r="A7" s="385" t="s">
        <v>495</v>
      </c>
      <c r="B7" s="385"/>
      <c r="C7" s="385"/>
      <c r="D7" s="61"/>
      <c r="E7" s="3"/>
      <c r="F7" s="41"/>
      <c r="G7" s="51"/>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35">
      <c r="A8" s="21" t="s">
        <v>493</v>
      </c>
      <c r="B8" s="21" t="s">
        <v>432</v>
      </c>
      <c r="C8" s="21" t="s">
        <v>494</v>
      </c>
      <c r="D8" s="3"/>
      <c r="E8" s="390" t="s">
        <v>697</v>
      </c>
      <c r="F8" s="390"/>
      <c r="G8" s="390"/>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35">
      <c r="A9" s="4" t="s">
        <v>70</v>
      </c>
      <c r="B9" s="38">
        <v>4407</v>
      </c>
      <c r="C9" s="39">
        <v>12075.179999999207</v>
      </c>
      <c r="D9" s="3"/>
      <c r="E9" s="36" t="s">
        <v>499</v>
      </c>
      <c r="F9" s="42" t="s">
        <v>432</v>
      </c>
      <c r="G9" s="52" t="s">
        <v>500</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35">
      <c r="A10" s="4" t="s">
        <v>434</v>
      </c>
      <c r="B10" s="6">
        <v>200737</v>
      </c>
      <c r="C10" s="22">
        <v>192707.51999986204</v>
      </c>
      <c r="D10" s="3"/>
      <c r="E10" s="37" t="s">
        <v>501</v>
      </c>
      <c r="F10" s="43">
        <v>50041</v>
      </c>
      <c r="G10" s="35">
        <v>0.99199999999999999</v>
      </c>
      <c r="H10" s="3"/>
      <c r="I10" s="68"/>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35">
      <c r="A11" s="4" t="s">
        <v>497</v>
      </c>
      <c r="B11" s="38">
        <v>9352</v>
      </c>
      <c r="C11" s="39">
        <v>1683.3600000001079</v>
      </c>
      <c r="D11" s="3"/>
      <c r="E11" s="37" t="s">
        <v>502</v>
      </c>
      <c r="F11" s="44">
        <v>399</v>
      </c>
      <c r="G11" s="40">
        <v>8.0000000000000002E-3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35">
      <c r="A12" s="4" t="s">
        <v>698</v>
      </c>
      <c r="B12" s="38">
        <v>50</v>
      </c>
      <c r="C12" s="39">
        <v>225</v>
      </c>
      <c r="D12" s="3"/>
      <c r="E12" s="5" t="s">
        <v>0</v>
      </c>
      <c r="F12" s="45">
        <v>50440</v>
      </c>
      <c r="G12" s="53">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35">
      <c r="A13" s="4" t="s">
        <v>496</v>
      </c>
      <c r="B13" s="6">
        <v>1421</v>
      </c>
      <c r="C13" s="22">
        <v>0</v>
      </c>
      <c r="D13" s="61"/>
      <c r="E13" s="62" t="s">
        <v>699</v>
      </c>
      <c r="F13" s="62"/>
      <c r="G13" s="62"/>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35">
      <c r="A14" s="5" t="s">
        <v>0</v>
      </c>
      <c r="B14" s="7">
        <v>215967</v>
      </c>
      <c r="C14" s="23">
        <v>206691.05999969668</v>
      </c>
      <c r="D14" s="3"/>
      <c r="E14" s="391" t="s">
        <v>503</v>
      </c>
      <c r="F14" s="391"/>
      <c r="G14" s="391"/>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35">
      <c r="A15" s="386" t="s">
        <v>794</v>
      </c>
      <c r="B15" s="386"/>
      <c r="C15" s="386"/>
      <c r="D15" s="3"/>
      <c r="E15" s="391"/>
      <c r="F15" s="391"/>
      <c r="G15" s="391"/>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42" customHeight="1" x14ac:dyDescent="0.35">
      <c r="A16" s="386" t="s">
        <v>507</v>
      </c>
      <c r="B16" s="386"/>
      <c r="C16" s="386"/>
      <c r="D16" s="3"/>
      <c r="E16" s="69"/>
      <c r="F16" s="62"/>
      <c r="G16" s="62"/>
      <c r="H16" s="3"/>
      <c r="I16" s="3"/>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x14ac:dyDescent="0.35">
      <c r="A17" s="63"/>
      <c r="B17" s="63"/>
      <c r="C17" s="63"/>
      <c r="D17" s="3"/>
      <c r="E17" s="24"/>
      <c r="F17" s="46"/>
      <c r="G17" s="54"/>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29.5" customHeight="1" x14ac:dyDescent="0.35">
      <c r="A18" s="385" t="s">
        <v>506</v>
      </c>
      <c r="B18" s="385"/>
      <c r="C18" s="385"/>
      <c r="D18" s="3"/>
      <c r="E18" s="390" t="s">
        <v>700</v>
      </c>
      <c r="F18" s="390"/>
      <c r="G18" s="390"/>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x14ac:dyDescent="0.35">
      <c r="A19" s="21" t="s">
        <v>431</v>
      </c>
      <c r="B19" s="21" t="s">
        <v>432</v>
      </c>
      <c r="C19" s="21" t="s">
        <v>47</v>
      </c>
      <c r="D19" s="3"/>
      <c r="E19" s="36" t="s">
        <v>499</v>
      </c>
      <c r="F19" s="47" t="s">
        <v>432</v>
      </c>
      <c r="G19" s="55" t="s">
        <v>500</v>
      </c>
      <c r="H19" s="68"/>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x14ac:dyDescent="0.35">
      <c r="A20" s="4" t="s">
        <v>433</v>
      </c>
      <c r="B20" s="6">
        <v>76861</v>
      </c>
      <c r="C20" s="65">
        <v>650.50804699392404</v>
      </c>
      <c r="D20" s="3"/>
      <c r="E20" s="37" t="s">
        <v>501</v>
      </c>
      <c r="F20" s="43">
        <v>6972</v>
      </c>
      <c r="G20" s="35">
        <v>0.94599999999999995</v>
      </c>
      <c r="H20" s="3"/>
      <c r="I20" s="68"/>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35">
      <c r="A21" s="4" t="s">
        <v>460</v>
      </c>
      <c r="B21" s="6">
        <v>113</v>
      </c>
      <c r="C21" s="65">
        <v>979.84955752212386</v>
      </c>
      <c r="D21" s="3"/>
      <c r="E21" s="37" t="s">
        <v>502</v>
      </c>
      <c r="F21" s="43">
        <v>399</v>
      </c>
      <c r="G21" s="35">
        <v>5.3999999999999999E-2</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35">
      <c r="A22" s="4" t="s">
        <v>459</v>
      </c>
      <c r="B22" s="38">
        <v>138875</v>
      </c>
      <c r="C22" s="66">
        <v>440.83719171917193</v>
      </c>
      <c r="D22" s="3"/>
      <c r="E22" s="5" t="s">
        <v>0</v>
      </c>
      <c r="F22" s="45">
        <v>7371</v>
      </c>
      <c r="G22" s="53">
        <v>1</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35">
      <c r="A23" s="4" t="s">
        <v>461</v>
      </c>
      <c r="B23">
        <v>118</v>
      </c>
      <c r="C23" s="66">
        <v>942.47457627118649</v>
      </c>
      <c r="D23" s="3"/>
      <c r="E23" s="391" t="s">
        <v>699</v>
      </c>
      <c r="F23" s="391"/>
      <c r="G23" s="391"/>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35">
      <c r="A24" s="5" t="s">
        <v>0</v>
      </c>
      <c r="B24" s="7">
        <v>215967</v>
      </c>
      <c r="C24" s="67">
        <v>516.01355299652266</v>
      </c>
      <c r="D24" s="3"/>
      <c r="E24" s="391" t="s">
        <v>503</v>
      </c>
      <c r="F24" s="391"/>
      <c r="G24" s="391"/>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x14ac:dyDescent="0.35">
      <c r="A25" s="386" t="str">
        <f>A15</f>
        <v>Data from BI Inc. Participants Report, 6.17.2023</v>
      </c>
      <c r="B25" s="386"/>
      <c r="C25" s="386"/>
      <c r="D25" s="3"/>
      <c r="E25" s="60"/>
      <c r="F25" s="48"/>
      <c r="G25" s="51"/>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35">
      <c r="A26" s="386" t="s">
        <v>793</v>
      </c>
      <c r="B26" s="386"/>
      <c r="C26" s="386"/>
      <c r="D26" s="68"/>
      <c r="F26" s="49"/>
      <c r="G26" s="56"/>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35">
      <c r="A27" s="392"/>
      <c r="B27" s="392"/>
      <c r="C27" s="392"/>
      <c r="D27" s="68"/>
      <c r="E27" s="3"/>
      <c r="F27" s="41"/>
      <c r="G27" s="51"/>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35">
      <c r="A28" s="392"/>
      <c r="B28" s="392"/>
      <c r="C28" s="392"/>
      <c r="D28" s="3"/>
      <c r="E28" s="3"/>
      <c r="F28" s="41"/>
      <c r="G28" s="51"/>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39" customHeight="1" thickBot="1" x14ac:dyDescent="0.4">
      <c r="A29" s="392" t="s">
        <v>792</v>
      </c>
      <c r="B29" s="392"/>
      <c r="C29" s="392"/>
      <c r="D29" s="3"/>
      <c r="E29" s="3"/>
      <c r="F29" s="41"/>
      <c r="G29" s="51"/>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0.5" thickBot="1" x14ac:dyDescent="0.4">
      <c r="A30" s="25" t="s">
        <v>463</v>
      </c>
      <c r="B30" s="25" t="s">
        <v>432</v>
      </c>
      <c r="C30" s="25" t="s">
        <v>464</v>
      </c>
      <c r="D30" s="3"/>
      <c r="E30" s="3"/>
      <c r="F30" s="41"/>
      <c r="G30" s="51"/>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16" thickBot="1" x14ac:dyDescent="0.4">
      <c r="A31" s="26" t="s">
        <v>0</v>
      </c>
      <c r="B31" s="27">
        <v>215967</v>
      </c>
      <c r="C31" s="28">
        <v>516.01355299652266</v>
      </c>
      <c r="D31" s="3"/>
      <c r="E31" s="3"/>
      <c r="F31" s="41"/>
      <c r="G31" s="51"/>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5.5" thickBot="1" x14ac:dyDescent="0.4">
      <c r="A32" s="32" t="s">
        <v>435</v>
      </c>
      <c r="B32" s="33">
        <v>5122</v>
      </c>
      <c r="C32" s="34">
        <v>633.52791878172593</v>
      </c>
      <c r="D32" s="13"/>
      <c r="E32" s="3"/>
      <c r="F32" s="41"/>
      <c r="G32" s="51"/>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 thickBot="1" x14ac:dyDescent="0.4">
      <c r="A33" s="29" t="s">
        <v>70</v>
      </c>
      <c r="B33" s="30">
        <v>280</v>
      </c>
      <c r="C33" s="31">
        <v>566.80714285714282</v>
      </c>
      <c r="E33" s="64"/>
      <c r="F33" s="41"/>
      <c r="G33" s="51"/>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 thickBot="1" x14ac:dyDescent="0.4">
      <c r="A34" s="29" t="s">
        <v>434</v>
      </c>
      <c r="B34" s="30">
        <v>4510</v>
      </c>
      <c r="C34" s="31">
        <v>535.16718403547668</v>
      </c>
      <c r="E34" s="64"/>
      <c r="F34" s="41"/>
      <c r="G34" s="51"/>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 thickBot="1" x14ac:dyDescent="0.4">
      <c r="A35" s="29" t="s">
        <v>498</v>
      </c>
      <c r="B35" s="30">
        <v>1</v>
      </c>
      <c r="C35" s="31">
        <v>660</v>
      </c>
      <c r="E35" s="64"/>
      <c r="F35" s="41"/>
      <c r="G35" s="51"/>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 thickBot="1" x14ac:dyDescent="0.4">
      <c r="A36" s="29" t="s">
        <v>19</v>
      </c>
      <c r="B36" s="30">
        <v>331</v>
      </c>
      <c r="C36" s="31">
        <v>2030.0906344410876</v>
      </c>
      <c r="E36" s="64"/>
      <c r="F36" s="41"/>
      <c r="G36" s="51"/>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5.5" thickBot="1" x14ac:dyDescent="0.4">
      <c r="A37" s="32" t="s">
        <v>436</v>
      </c>
      <c r="B37" s="33">
        <v>3501</v>
      </c>
      <c r="C37" s="34">
        <v>650.2724935732648</v>
      </c>
      <c r="E37" s="64"/>
      <c r="F37" s="41"/>
      <c r="G37" s="51"/>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 thickBot="1" x14ac:dyDescent="0.4">
      <c r="A38" s="29" t="s">
        <v>70</v>
      </c>
      <c r="B38" s="30">
        <v>65</v>
      </c>
      <c r="C38" s="31">
        <v>425.7076923076923</v>
      </c>
      <c r="E38" s="64"/>
      <c r="F38" s="41"/>
      <c r="G38" s="51"/>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 thickBot="1" x14ac:dyDescent="0.4">
      <c r="A39" s="29" t="s">
        <v>434</v>
      </c>
      <c r="B39" s="30">
        <v>3352</v>
      </c>
      <c r="C39" s="31">
        <v>629.94988066825772</v>
      </c>
      <c r="E39" s="64"/>
      <c r="F39" s="41"/>
      <c r="G39" s="51"/>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 thickBot="1" x14ac:dyDescent="0.4">
      <c r="A40" s="29" t="s">
        <v>19</v>
      </c>
      <c r="B40" s="30">
        <v>84</v>
      </c>
      <c r="C40" s="31">
        <v>1635.0119047619048</v>
      </c>
      <c r="E40" s="64"/>
      <c r="F40" s="41"/>
      <c r="G40" s="51"/>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5.5" thickBot="1" x14ac:dyDescent="0.4">
      <c r="A41" s="32" t="s">
        <v>437</v>
      </c>
      <c r="B41" s="33">
        <v>7512</v>
      </c>
      <c r="C41" s="34">
        <v>406.44129392971246</v>
      </c>
      <c r="D41" s="13"/>
      <c r="E41" s="64"/>
      <c r="F41" s="41"/>
      <c r="G41" s="51"/>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 thickBot="1" x14ac:dyDescent="0.4">
      <c r="A42" s="29" t="s">
        <v>70</v>
      </c>
      <c r="B42" s="30">
        <v>90</v>
      </c>
      <c r="C42" s="31">
        <v>304.13333333333333</v>
      </c>
      <c r="E42" s="64"/>
      <c r="F42" s="41"/>
      <c r="G42" s="51"/>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 thickBot="1" x14ac:dyDescent="0.4">
      <c r="A43" s="29" t="s">
        <v>434</v>
      </c>
      <c r="B43" s="30">
        <v>7419</v>
      </c>
      <c r="C43" s="31">
        <v>407.40342364200029</v>
      </c>
      <c r="E43" s="64"/>
      <c r="F43" s="41"/>
      <c r="G43" s="51"/>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 thickBot="1" x14ac:dyDescent="0.4">
      <c r="A44" s="29" t="s">
        <v>19</v>
      </c>
      <c r="B44" s="30">
        <v>3</v>
      </c>
      <c r="C44" s="31">
        <v>1096.3333333333333</v>
      </c>
      <c r="E44" s="64"/>
      <c r="F44" s="41"/>
      <c r="G44" s="51"/>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5.5" thickBot="1" x14ac:dyDescent="0.4">
      <c r="A45" s="32" t="s">
        <v>438</v>
      </c>
      <c r="B45" s="33">
        <v>621</v>
      </c>
      <c r="C45" s="34">
        <v>887.47504025764897</v>
      </c>
      <c r="E45" s="64"/>
      <c r="F45" s="41"/>
      <c r="G45" s="51"/>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 thickBot="1" x14ac:dyDescent="0.4">
      <c r="A46" s="29" t="s">
        <v>70</v>
      </c>
      <c r="B46" s="30">
        <v>8</v>
      </c>
      <c r="C46" s="31">
        <v>658.75</v>
      </c>
      <c r="E46" s="64"/>
      <c r="F46" s="41"/>
      <c r="G46" s="51"/>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 thickBot="1" x14ac:dyDescent="0.4">
      <c r="A47" s="29" t="s">
        <v>434</v>
      </c>
      <c r="B47" s="30">
        <v>332</v>
      </c>
      <c r="C47" s="31">
        <v>280.29216867469881</v>
      </c>
      <c r="E47" s="64"/>
      <c r="F47" s="41"/>
      <c r="G47" s="51"/>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 thickBot="1" x14ac:dyDescent="0.4">
      <c r="A48" s="29" t="s">
        <v>19</v>
      </c>
      <c r="B48" s="30">
        <v>281</v>
      </c>
      <c r="C48" s="31">
        <v>1611.3701067615659</v>
      </c>
      <c r="E48" s="64"/>
      <c r="F48" s="41"/>
      <c r="G48" s="51"/>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5.5" thickBot="1" x14ac:dyDescent="0.4">
      <c r="A49" s="32" t="s">
        <v>439</v>
      </c>
      <c r="B49" s="33">
        <v>13811</v>
      </c>
      <c r="C49" s="34">
        <v>663.15914850481499</v>
      </c>
      <c r="E49" s="64"/>
      <c r="F49" s="41"/>
      <c r="G49" s="51"/>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 thickBot="1" x14ac:dyDescent="0.4">
      <c r="A50" s="29" t="s">
        <v>70</v>
      </c>
      <c r="B50" s="30">
        <v>218</v>
      </c>
      <c r="C50" s="31">
        <v>551.38990825688074</v>
      </c>
      <c r="E50" s="64"/>
      <c r="F50" s="41"/>
      <c r="G50" s="51"/>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 thickBot="1" x14ac:dyDescent="0.4">
      <c r="A51" s="29" t="s">
        <v>434</v>
      </c>
      <c r="B51" s="30">
        <v>12762</v>
      </c>
      <c r="C51" s="31">
        <v>564.86271744240719</v>
      </c>
      <c r="E51" s="64"/>
      <c r="F51" s="41"/>
      <c r="G51" s="51"/>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 thickBot="1" x14ac:dyDescent="0.4">
      <c r="A52" s="29" t="s">
        <v>498</v>
      </c>
      <c r="B52" s="30">
        <v>2</v>
      </c>
      <c r="C52" s="31">
        <v>122</v>
      </c>
      <c r="E52" s="64"/>
      <c r="F52" s="41"/>
      <c r="G52" s="51"/>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 thickBot="1" x14ac:dyDescent="0.4">
      <c r="A53" s="29" t="s">
        <v>19</v>
      </c>
      <c r="B53" s="30">
        <v>829</v>
      </c>
      <c r="C53" s="31">
        <v>2207.0759951749096</v>
      </c>
      <c r="E53" s="64"/>
      <c r="F53" s="41"/>
      <c r="G53" s="51"/>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5.5" thickBot="1" x14ac:dyDescent="0.4">
      <c r="A54" s="32" t="s">
        <v>440</v>
      </c>
      <c r="B54" s="33">
        <v>1706</v>
      </c>
      <c r="C54" s="34">
        <v>611.45955451348186</v>
      </c>
      <c r="D54" s="13"/>
      <c r="E54" s="64"/>
      <c r="F54" s="41"/>
      <c r="G54" s="51"/>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 thickBot="1" x14ac:dyDescent="0.4">
      <c r="A55" s="29" t="s">
        <v>70</v>
      </c>
      <c r="B55" s="30">
        <v>78</v>
      </c>
      <c r="C55" s="31">
        <v>317.69230769230768</v>
      </c>
      <c r="E55" s="64"/>
      <c r="F55" s="41"/>
      <c r="G55" s="51"/>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 thickBot="1" x14ac:dyDescent="0.4">
      <c r="A56" s="29" t="s">
        <v>434</v>
      </c>
      <c r="B56" s="30">
        <v>1623</v>
      </c>
      <c r="C56" s="31">
        <v>623.18607516943928</v>
      </c>
      <c r="E56" s="64"/>
      <c r="F56" s="41"/>
      <c r="G56" s="51"/>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 thickBot="1" x14ac:dyDescent="0.4">
      <c r="A57" s="29" t="s">
        <v>19</v>
      </c>
      <c r="B57" s="30">
        <v>5</v>
      </c>
      <c r="C57" s="31">
        <v>1387.8</v>
      </c>
      <c r="E57" s="64"/>
      <c r="F57" s="41"/>
      <c r="G57" s="51"/>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5.5" thickBot="1" x14ac:dyDescent="0.4">
      <c r="A58" s="32" t="s">
        <v>441</v>
      </c>
      <c r="B58" s="33">
        <v>2841</v>
      </c>
      <c r="C58" s="34">
        <v>514.7261527631116</v>
      </c>
      <c r="E58" s="64"/>
      <c r="F58" s="41"/>
      <c r="G58" s="51"/>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 thickBot="1" x14ac:dyDescent="0.4">
      <c r="A59" s="29" t="s">
        <v>70</v>
      </c>
      <c r="B59" s="30">
        <v>17</v>
      </c>
      <c r="C59" s="31">
        <v>298</v>
      </c>
      <c r="E59" s="64"/>
      <c r="F59" s="41"/>
      <c r="G59" s="51"/>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 thickBot="1" x14ac:dyDescent="0.4">
      <c r="A60" s="29" t="s">
        <v>434</v>
      </c>
      <c r="B60" s="30">
        <v>2683</v>
      </c>
      <c r="C60" s="31">
        <v>457.44166977264257</v>
      </c>
      <c r="E60" s="64"/>
      <c r="F60" s="41"/>
      <c r="G60" s="51"/>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 thickBot="1" x14ac:dyDescent="0.4">
      <c r="A61" s="29" t="s">
        <v>498</v>
      </c>
      <c r="B61" s="30">
        <v>1</v>
      </c>
      <c r="C61" s="31">
        <v>567</v>
      </c>
      <c r="E61" s="64"/>
      <c r="F61" s="41"/>
      <c r="G61" s="51"/>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 thickBot="1" x14ac:dyDescent="0.4">
      <c r="A62" s="29" t="s">
        <v>698</v>
      </c>
      <c r="B62" s="30">
        <v>50</v>
      </c>
      <c r="C62" s="31">
        <v>693.46</v>
      </c>
      <c r="E62" s="64"/>
      <c r="F62" s="41"/>
      <c r="G62" s="51"/>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 thickBot="1" x14ac:dyDescent="0.4">
      <c r="A63" s="29" t="s">
        <v>19</v>
      </c>
      <c r="B63" s="30">
        <v>90</v>
      </c>
      <c r="C63" s="31">
        <v>2163.5</v>
      </c>
      <c r="E63" s="64"/>
      <c r="F63" s="41"/>
      <c r="G63" s="51"/>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5.5" thickBot="1" x14ac:dyDescent="0.4">
      <c r="A64" s="32" t="s">
        <v>504</v>
      </c>
      <c r="B64" s="33">
        <v>9795</v>
      </c>
      <c r="C64" s="34">
        <v>850.0043899948954</v>
      </c>
      <c r="E64" s="64"/>
      <c r="F64" s="41"/>
      <c r="G64" s="51"/>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 thickBot="1" x14ac:dyDescent="0.4">
      <c r="A65" s="29" t="s">
        <v>70</v>
      </c>
      <c r="B65" s="30">
        <v>56</v>
      </c>
      <c r="C65" s="31">
        <v>603.375</v>
      </c>
      <c r="E65" s="64"/>
      <c r="F65" s="41"/>
      <c r="G65" s="51"/>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 thickBot="1" x14ac:dyDescent="0.4">
      <c r="A66" s="29" t="s">
        <v>434</v>
      </c>
      <c r="B66" s="30">
        <v>9057</v>
      </c>
      <c r="C66" s="31">
        <v>735.74362371646237</v>
      </c>
      <c r="E66" s="64"/>
      <c r="F66" s="41"/>
      <c r="G66" s="51"/>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 thickBot="1" x14ac:dyDescent="0.4">
      <c r="A67" s="29" t="s">
        <v>19</v>
      </c>
      <c r="B67" s="30">
        <v>682</v>
      </c>
      <c r="C67" s="31">
        <v>2387.6451612903224</v>
      </c>
      <c r="E67" s="64"/>
      <c r="F67" s="41"/>
      <c r="G67" s="51"/>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5.5" thickBot="1" x14ac:dyDescent="0.4">
      <c r="A68" s="32" t="s">
        <v>442</v>
      </c>
      <c r="B68" s="33">
        <v>3988</v>
      </c>
      <c r="C68" s="34">
        <v>318.18154463390169</v>
      </c>
      <c r="E68" s="64"/>
      <c r="F68" s="41"/>
      <c r="G68" s="51"/>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 thickBot="1" x14ac:dyDescent="0.4">
      <c r="A69" s="29" t="s">
        <v>70</v>
      </c>
      <c r="B69" s="30">
        <v>96</v>
      </c>
      <c r="C69" s="31">
        <v>221.61458333333334</v>
      </c>
      <c r="E69" s="64"/>
      <c r="F69" s="41"/>
      <c r="G69" s="51"/>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 thickBot="1" x14ac:dyDescent="0.4">
      <c r="A70" s="29" t="s">
        <v>434</v>
      </c>
      <c r="B70" s="30">
        <v>3632</v>
      </c>
      <c r="C70" s="31">
        <v>247.34058370044053</v>
      </c>
      <c r="E70" s="64"/>
      <c r="F70" s="41"/>
      <c r="G70" s="51"/>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7.5" customHeight="1" thickBot="1" x14ac:dyDescent="0.4">
      <c r="A71" s="29" t="s">
        <v>19</v>
      </c>
      <c r="B71" s="30">
        <v>260</v>
      </c>
      <c r="C71" s="31">
        <v>1343.4307692307693</v>
      </c>
      <c r="E71" s="64"/>
      <c r="F71" s="41"/>
      <c r="G71" s="51"/>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5.5" thickBot="1" x14ac:dyDescent="0.4">
      <c r="A72" s="32" t="s">
        <v>492</v>
      </c>
      <c r="B72" s="33">
        <v>23316</v>
      </c>
      <c r="C72" s="34">
        <v>257.29121633213242</v>
      </c>
      <c r="E72" s="64"/>
      <c r="F72" s="41"/>
      <c r="G72" s="51"/>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 thickBot="1" x14ac:dyDescent="0.4">
      <c r="A73" s="29" t="s">
        <v>70</v>
      </c>
      <c r="B73" s="30">
        <v>115</v>
      </c>
      <c r="C73" s="31">
        <v>372.82608695652175</v>
      </c>
      <c r="E73" s="64"/>
      <c r="F73" s="41"/>
      <c r="G73" s="51"/>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 thickBot="1" x14ac:dyDescent="0.4">
      <c r="A74" s="29" t="s">
        <v>434</v>
      </c>
      <c r="B74" s="30">
        <v>22560</v>
      </c>
      <c r="C74" s="31">
        <v>257.25456560283686</v>
      </c>
      <c r="E74" s="64"/>
      <c r="F74" s="41"/>
      <c r="G74" s="51"/>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 thickBot="1" x14ac:dyDescent="0.4">
      <c r="A75" s="29" t="s">
        <v>498</v>
      </c>
      <c r="B75" s="30">
        <v>635</v>
      </c>
      <c r="C75" s="31">
        <v>235.28188976377953</v>
      </c>
      <c r="E75" s="64"/>
      <c r="F75" s="41"/>
      <c r="G75" s="51"/>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 thickBot="1" x14ac:dyDescent="0.4">
      <c r="A76" s="29" t="s">
        <v>19</v>
      </c>
      <c r="B76" s="30">
        <v>6</v>
      </c>
      <c r="C76" s="31">
        <v>510</v>
      </c>
      <c r="E76" s="64"/>
      <c r="F76" s="41"/>
      <c r="G76" s="51"/>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5.5" thickBot="1" x14ac:dyDescent="0.4">
      <c r="A77" s="32" t="s">
        <v>443</v>
      </c>
      <c r="B77" s="33">
        <v>3162</v>
      </c>
      <c r="C77" s="34">
        <v>359.85800126502215</v>
      </c>
      <c r="D77" s="13"/>
      <c r="E77" s="64"/>
      <c r="F77" s="41"/>
      <c r="G77" s="51"/>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 thickBot="1" x14ac:dyDescent="0.4">
      <c r="A78" s="29" t="s">
        <v>70</v>
      </c>
      <c r="B78" s="30">
        <v>314</v>
      </c>
      <c r="C78" s="31">
        <v>494.85031847133757</v>
      </c>
      <c r="E78" s="64"/>
      <c r="F78" s="41"/>
      <c r="G78" s="51"/>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 thickBot="1" x14ac:dyDescent="0.4">
      <c r="A79" s="29" t="s">
        <v>434</v>
      </c>
      <c r="B79" s="30">
        <v>2842</v>
      </c>
      <c r="C79" s="31">
        <v>344.05559465165379</v>
      </c>
      <c r="E79" s="64"/>
      <c r="F79" s="41"/>
      <c r="G79" s="51"/>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 thickBot="1" x14ac:dyDescent="0.4">
      <c r="A80" s="29" t="s">
        <v>498</v>
      </c>
      <c r="B80" s="30">
        <v>2</v>
      </c>
      <c r="C80" s="31">
        <v>215.5</v>
      </c>
      <c r="E80" s="64"/>
      <c r="F80" s="41"/>
      <c r="G80" s="51"/>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 thickBot="1" x14ac:dyDescent="0.4">
      <c r="A81" s="29" t="s">
        <v>19</v>
      </c>
      <c r="B81" s="30">
        <v>4</v>
      </c>
      <c r="C81" s="31">
        <v>1062.75</v>
      </c>
      <c r="E81" s="64"/>
      <c r="F81" s="41"/>
      <c r="G81" s="51"/>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5.5" thickBot="1" x14ac:dyDescent="0.4">
      <c r="A82" s="32" t="s">
        <v>444</v>
      </c>
      <c r="B82" s="33">
        <v>11515</v>
      </c>
      <c r="C82" s="34">
        <v>536.45349544072951</v>
      </c>
      <c r="E82" s="64"/>
      <c r="F82" s="41"/>
      <c r="G82" s="51"/>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 thickBot="1" x14ac:dyDescent="0.4">
      <c r="A83" s="29" t="s">
        <v>70</v>
      </c>
      <c r="B83" s="30">
        <v>445</v>
      </c>
      <c r="C83" s="31">
        <v>387.31460674157302</v>
      </c>
      <c r="E83" s="64"/>
      <c r="F83" s="41"/>
      <c r="G83" s="51"/>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 thickBot="1" x14ac:dyDescent="0.4">
      <c r="A84" s="29" t="s">
        <v>434</v>
      </c>
      <c r="B84" s="30">
        <v>9724</v>
      </c>
      <c r="C84" s="31">
        <v>392.02231591937476</v>
      </c>
      <c r="E84" s="64"/>
      <c r="F84" s="41"/>
      <c r="G84" s="51"/>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 thickBot="1" x14ac:dyDescent="0.4">
      <c r="A85" s="29" t="s">
        <v>498</v>
      </c>
      <c r="B85" s="30">
        <v>8</v>
      </c>
      <c r="C85" s="31">
        <v>334.5</v>
      </c>
      <c r="E85" s="64"/>
      <c r="F85" s="41"/>
      <c r="G85" s="51"/>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 thickBot="1" x14ac:dyDescent="0.4">
      <c r="A86" s="29" t="s">
        <v>19</v>
      </c>
      <c r="B86" s="30">
        <v>1338</v>
      </c>
      <c r="C86" s="31">
        <v>1636.9252615844543</v>
      </c>
      <c r="E86" s="64"/>
      <c r="F86" s="41"/>
      <c r="G86" s="51"/>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5.5" thickBot="1" x14ac:dyDescent="0.4">
      <c r="A87" s="32" t="s">
        <v>445</v>
      </c>
      <c r="B87" s="33">
        <v>19190</v>
      </c>
      <c r="C87" s="34">
        <v>406.07733194372071</v>
      </c>
      <c r="E87" s="64"/>
      <c r="F87" s="41"/>
      <c r="G87" s="51"/>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 thickBot="1" x14ac:dyDescent="0.4">
      <c r="A88" s="29" t="s">
        <v>70</v>
      </c>
      <c r="B88" s="30">
        <v>439</v>
      </c>
      <c r="C88" s="31">
        <v>365.62414578587698</v>
      </c>
      <c r="E88" s="64"/>
      <c r="F88" s="41"/>
      <c r="G88" s="51"/>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 thickBot="1" x14ac:dyDescent="0.4">
      <c r="A89" s="29" t="s">
        <v>434</v>
      </c>
      <c r="B89" s="30">
        <v>18729</v>
      </c>
      <c r="C89" s="31">
        <v>406.10748037802341</v>
      </c>
      <c r="E89" s="64"/>
      <c r="F89" s="41"/>
      <c r="G89" s="51"/>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 thickBot="1" x14ac:dyDescent="0.4">
      <c r="A90" s="29" t="s">
        <v>498</v>
      </c>
      <c r="B90" s="30">
        <v>1</v>
      </c>
      <c r="C90" s="31">
        <v>1136</v>
      </c>
      <c r="E90" s="64"/>
      <c r="F90" s="41"/>
      <c r="G90" s="51"/>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 thickBot="1" x14ac:dyDescent="0.4">
      <c r="A91" s="29" t="s">
        <v>19</v>
      </c>
      <c r="B91" s="30">
        <v>21</v>
      </c>
      <c r="C91" s="31">
        <v>1190.0952380952381</v>
      </c>
      <c r="E91" s="64"/>
      <c r="F91" s="41"/>
      <c r="G91" s="51"/>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5.5" thickBot="1" x14ac:dyDescent="0.4">
      <c r="A92" s="32" t="s">
        <v>446</v>
      </c>
      <c r="B92" s="33">
        <v>4736</v>
      </c>
      <c r="C92" s="34">
        <v>586.64421452702697</v>
      </c>
      <c r="E92" s="64"/>
      <c r="F92" s="41"/>
      <c r="G92" s="51"/>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 thickBot="1" x14ac:dyDescent="0.4">
      <c r="A93" s="29" t="s">
        <v>70</v>
      </c>
      <c r="B93" s="30">
        <v>89</v>
      </c>
      <c r="C93" s="31">
        <v>442.61797752808991</v>
      </c>
      <c r="E93" s="64"/>
      <c r="F93" s="41"/>
      <c r="G93" s="51"/>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 thickBot="1" x14ac:dyDescent="0.4">
      <c r="A94" s="29" t="s">
        <v>434</v>
      </c>
      <c r="B94" s="30">
        <v>4576</v>
      </c>
      <c r="C94" s="31">
        <v>572.01311188811189</v>
      </c>
      <c r="E94" s="64"/>
      <c r="F94" s="41"/>
      <c r="G94" s="51"/>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 thickBot="1" x14ac:dyDescent="0.4">
      <c r="A95" s="29" t="s">
        <v>498</v>
      </c>
      <c r="B95" s="30">
        <v>1</v>
      </c>
      <c r="C95" s="31">
        <v>658</v>
      </c>
      <c r="E95" s="64"/>
      <c r="F95" s="41"/>
      <c r="G95" s="51"/>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 thickBot="1" x14ac:dyDescent="0.4">
      <c r="A96" s="29" t="s">
        <v>19</v>
      </c>
      <c r="B96" s="30">
        <v>70</v>
      </c>
      <c r="C96" s="31">
        <v>1725.2</v>
      </c>
      <c r="E96" s="64"/>
      <c r="F96" s="41"/>
      <c r="G96" s="51"/>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5.5" thickBot="1" x14ac:dyDescent="0.4">
      <c r="A97" s="32" t="s">
        <v>447</v>
      </c>
      <c r="B97" s="33">
        <v>9549</v>
      </c>
      <c r="C97" s="34">
        <v>501.06566132579326</v>
      </c>
      <c r="E97" s="64"/>
      <c r="F97" s="41"/>
      <c r="G97" s="51"/>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 thickBot="1" x14ac:dyDescent="0.4">
      <c r="A98" s="29" t="s">
        <v>70</v>
      </c>
      <c r="B98" s="30">
        <v>315</v>
      </c>
      <c r="C98" s="31">
        <v>574.46031746031747</v>
      </c>
      <c r="E98" s="64"/>
      <c r="F98" s="41"/>
      <c r="G98" s="51"/>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 thickBot="1" x14ac:dyDescent="0.4">
      <c r="A99" s="29" t="s">
        <v>434</v>
      </c>
      <c r="B99" s="30">
        <v>9022</v>
      </c>
      <c r="C99" s="31">
        <v>464.2035025493239</v>
      </c>
      <c r="E99" s="64"/>
      <c r="F99" s="41"/>
      <c r="G99" s="51"/>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 thickBot="1" x14ac:dyDescent="0.4">
      <c r="A100" s="29" t="s">
        <v>498</v>
      </c>
      <c r="B100" s="30">
        <v>5</v>
      </c>
      <c r="C100" s="31">
        <v>229.4</v>
      </c>
      <c r="E100" s="64"/>
      <c r="F100" s="41"/>
      <c r="G100" s="51"/>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 thickBot="1" x14ac:dyDescent="0.4">
      <c r="A101" s="29" t="s">
        <v>19</v>
      </c>
      <c r="B101" s="30">
        <v>207</v>
      </c>
      <c r="C101" s="31">
        <v>2002.5603864734298</v>
      </c>
      <c r="E101" s="64"/>
      <c r="F101" s="41"/>
      <c r="G101" s="51"/>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5.5" thickBot="1" x14ac:dyDescent="0.4">
      <c r="A102" s="32" t="s">
        <v>448</v>
      </c>
      <c r="B102" s="33">
        <v>14614</v>
      </c>
      <c r="C102" s="34">
        <v>776.12207472286843</v>
      </c>
      <c r="E102" s="64"/>
      <c r="F102" s="41"/>
      <c r="G102" s="51"/>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 thickBot="1" x14ac:dyDescent="0.4">
      <c r="A103" s="29" t="s">
        <v>70</v>
      </c>
      <c r="B103" s="30">
        <v>200</v>
      </c>
      <c r="C103" s="31">
        <v>431.95</v>
      </c>
      <c r="E103" s="64"/>
      <c r="F103" s="41"/>
      <c r="G103" s="51"/>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 thickBot="1" x14ac:dyDescent="0.4">
      <c r="A104" s="29" t="s">
        <v>434</v>
      </c>
      <c r="B104" s="30">
        <v>13055</v>
      </c>
      <c r="C104" s="31">
        <v>617.8274990425125</v>
      </c>
      <c r="E104" s="64"/>
      <c r="F104" s="41"/>
      <c r="G104" s="51"/>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 thickBot="1" x14ac:dyDescent="0.4">
      <c r="A105" s="29" t="s">
        <v>498</v>
      </c>
      <c r="B105" s="30">
        <v>8</v>
      </c>
      <c r="C105" s="31">
        <v>1103.75</v>
      </c>
      <c r="E105" s="64"/>
      <c r="F105" s="41"/>
      <c r="G105" s="51"/>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 thickBot="1" x14ac:dyDescent="0.4">
      <c r="A106" s="29" t="s">
        <v>19</v>
      </c>
      <c r="B106" s="30">
        <v>1351</v>
      </c>
      <c r="C106" s="31">
        <v>2354.7668393782383</v>
      </c>
      <c r="E106" s="64"/>
      <c r="F106" s="41"/>
      <c r="G106" s="51"/>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5.5" thickBot="1" x14ac:dyDescent="0.4">
      <c r="A107" s="32" t="s">
        <v>449</v>
      </c>
      <c r="B107" s="33">
        <v>9811</v>
      </c>
      <c r="C107" s="34">
        <v>430.93456324533685</v>
      </c>
      <c r="E107" s="64"/>
      <c r="F107" s="41"/>
      <c r="G107" s="51"/>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 thickBot="1" x14ac:dyDescent="0.4">
      <c r="A108" s="29" t="s">
        <v>70</v>
      </c>
      <c r="B108" s="30">
        <v>19</v>
      </c>
      <c r="C108" s="31">
        <v>419.26315789473682</v>
      </c>
      <c r="E108" s="64"/>
      <c r="F108" s="41"/>
      <c r="G108" s="51"/>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 thickBot="1" x14ac:dyDescent="0.4">
      <c r="A109" s="29" t="s">
        <v>434</v>
      </c>
      <c r="B109" s="30">
        <v>9767</v>
      </c>
      <c r="C109" s="31">
        <v>427.90478140677794</v>
      </c>
      <c r="E109" s="64"/>
      <c r="F109" s="41"/>
      <c r="G109" s="51"/>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 thickBot="1" x14ac:dyDescent="0.4">
      <c r="A110" s="29" t="s">
        <v>19</v>
      </c>
      <c r="B110" s="30">
        <v>25</v>
      </c>
      <c r="C110" s="31">
        <v>1623.48</v>
      </c>
      <c r="E110" s="64"/>
      <c r="F110" s="41"/>
      <c r="G110" s="51"/>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5.5" thickBot="1" x14ac:dyDescent="0.4">
      <c r="A111" s="32" t="s">
        <v>450</v>
      </c>
      <c r="B111" s="33">
        <v>8175</v>
      </c>
      <c r="C111" s="34">
        <v>186.43094801223242</v>
      </c>
      <c r="E111" s="64"/>
      <c r="F111" s="41"/>
      <c r="G111" s="51"/>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 thickBot="1" x14ac:dyDescent="0.4">
      <c r="A112" s="29" t="s">
        <v>70</v>
      </c>
      <c r="B112" s="30">
        <v>81</v>
      </c>
      <c r="C112" s="31">
        <v>376.76543209876542</v>
      </c>
      <c r="E112" s="64"/>
      <c r="F112" s="41"/>
      <c r="G112" s="51"/>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 thickBot="1" x14ac:dyDescent="0.4">
      <c r="A113" s="29" t="s">
        <v>434</v>
      </c>
      <c r="B113" s="30">
        <v>8009</v>
      </c>
      <c r="C113" s="31">
        <v>184.37320514421276</v>
      </c>
      <c r="E113" s="64"/>
      <c r="F113" s="41"/>
      <c r="G113" s="51"/>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 thickBot="1" x14ac:dyDescent="0.4">
      <c r="A114" s="29" t="s">
        <v>498</v>
      </c>
      <c r="B114" s="30">
        <v>85</v>
      </c>
      <c r="C114" s="31">
        <v>198.94117647058823</v>
      </c>
      <c r="E114" s="64"/>
      <c r="F114" s="41"/>
      <c r="G114" s="51"/>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5.5" thickBot="1" x14ac:dyDescent="0.4">
      <c r="A115" s="32" t="s">
        <v>451</v>
      </c>
      <c r="B115" s="33">
        <v>7620</v>
      </c>
      <c r="C115" s="34">
        <v>561.66141732283461</v>
      </c>
      <c r="E115" s="64"/>
      <c r="F115" s="41"/>
      <c r="G115" s="51"/>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 thickBot="1" x14ac:dyDescent="0.4">
      <c r="A116" s="29" t="s">
        <v>70</v>
      </c>
      <c r="B116" s="30">
        <v>61</v>
      </c>
      <c r="C116" s="31">
        <v>680.18032786885249</v>
      </c>
      <c r="E116" s="64"/>
      <c r="F116" s="41"/>
      <c r="G116" s="51"/>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 thickBot="1" x14ac:dyDescent="0.4">
      <c r="A117" s="29" t="s">
        <v>434</v>
      </c>
      <c r="B117" s="30">
        <v>7438</v>
      </c>
      <c r="C117" s="31">
        <v>538.01304114009145</v>
      </c>
      <c r="E117" s="64"/>
      <c r="F117" s="41"/>
      <c r="G117" s="51"/>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 thickBot="1" x14ac:dyDescent="0.4">
      <c r="A118" s="29" t="s">
        <v>19</v>
      </c>
      <c r="B118" s="30">
        <v>121</v>
      </c>
      <c r="C118" s="31">
        <v>1955.6033057851239</v>
      </c>
      <c r="E118" s="64"/>
      <c r="F118" s="41"/>
      <c r="G118" s="51"/>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5.5" thickBot="1" x14ac:dyDescent="0.4">
      <c r="A119" s="32" t="s">
        <v>452</v>
      </c>
      <c r="B119" s="33">
        <v>15087</v>
      </c>
      <c r="C119" s="34">
        <v>216.07602571750513</v>
      </c>
      <c r="E119" s="64"/>
      <c r="F119" s="41"/>
      <c r="G119" s="51"/>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 thickBot="1" x14ac:dyDescent="0.4">
      <c r="A120" s="29" t="s">
        <v>70</v>
      </c>
      <c r="B120" s="30">
        <v>74</v>
      </c>
      <c r="C120" s="31">
        <v>224.28378378378378</v>
      </c>
      <c r="E120" s="64"/>
      <c r="F120" s="41"/>
      <c r="G120" s="51"/>
      <c r="H120" s="3"/>
      <c r="I120" s="3"/>
      <c r="J120" s="3"/>
      <c r="K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row>
    <row r="121" spans="1:55" ht="16" thickBot="1" x14ac:dyDescent="0.4">
      <c r="A121" s="29" t="s">
        <v>434</v>
      </c>
      <c r="B121" s="30">
        <v>14268</v>
      </c>
      <c r="C121" s="31">
        <v>212.32513316512475</v>
      </c>
      <c r="E121" s="64"/>
      <c r="F121" s="41"/>
      <c r="G121" s="51"/>
      <c r="H121" s="3"/>
      <c r="I121" s="3"/>
      <c r="J121" s="3"/>
      <c r="K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row>
    <row r="122" spans="1:55" ht="16" thickBot="1" x14ac:dyDescent="0.4">
      <c r="A122" s="29" t="s">
        <v>498</v>
      </c>
      <c r="B122" s="30">
        <v>631</v>
      </c>
      <c r="C122" s="31">
        <v>237.33914421553089</v>
      </c>
      <c r="E122" s="64"/>
      <c r="F122" s="41"/>
      <c r="G122" s="51"/>
      <c r="H122" s="3"/>
      <c r="I122" s="3"/>
      <c r="J122" s="3"/>
      <c r="K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row>
    <row r="123" spans="1:55" ht="16" thickBot="1" x14ac:dyDescent="0.4">
      <c r="A123" s="29" t="s">
        <v>19</v>
      </c>
      <c r="B123" s="30">
        <v>114</v>
      </c>
      <c r="C123" s="31">
        <v>562.50877192982455</v>
      </c>
      <c r="E123" s="64"/>
      <c r="F123" s="41"/>
      <c r="G123" s="51"/>
      <c r="H123" s="3"/>
      <c r="I123" s="3"/>
      <c r="J123" s="3"/>
      <c r="K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row>
    <row r="124" spans="1:55" ht="15.5" thickBot="1" x14ac:dyDescent="0.4">
      <c r="A124" s="32" t="s">
        <v>453</v>
      </c>
      <c r="B124" s="33">
        <v>6057</v>
      </c>
      <c r="C124" s="34">
        <v>373.97853722965164</v>
      </c>
      <c r="E124" s="64"/>
      <c r="F124" s="41"/>
      <c r="G124" s="51"/>
      <c r="H124" s="3"/>
      <c r="I124" s="3"/>
      <c r="J124" s="3"/>
      <c r="K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row>
    <row r="125" spans="1:55" ht="16" thickBot="1" x14ac:dyDescent="0.4">
      <c r="A125" s="29" t="s">
        <v>70</v>
      </c>
      <c r="B125" s="30">
        <v>143</v>
      </c>
      <c r="C125" s="31">
        <v>907.7342657342657</v>
      </c>
      <c r="E125" s="64"/>
      <c r="F125" s="41"/>
      <c r="G125" s="51"/>
      <c r="H125" s="3"/>
      <c r="I125" s="3"/>
      <c r="J125" s="3"/>
      <c r="K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row>
    <row r="126" spans="1:55" ht="16" thickBot="1" x14ac:dyDescent="0.4">
      <c r="A126" s="29" t="s">
        <v>434</v>
      </c>
      <c r="B126" s="30">
        <v>5780</v>
      </c>
      <c r="C126" s="31">
        <v>324.54065743944636</v>
      </c>
      <c r="E126" s="64"/>
      <c r="F126" s="41"/>
      <c r="G126" s="51"/>
      <c r="H126" s="3"/>
      <c r="I126" s="3"/>
      <c r="J126" s="3"/>
      <c r="K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row>
    <row r="127" spans="1:55" ht="16" thickBot="1" x14ac:dyDescent="0.4">
      <c r="A127" s="29" t="s">
        <v>498</v>
      </c>
      <c r="B127" s="30">
        <v>24</v>
      </c>
      <c r="C127" s="31">
        <v>1091.5833333333333</v>
      </c>
      <c r="E127" s="64"/>
      <c r="F127" s="41"/>
      <c r="L127"/>
    </row>
    <row r="128" spans="1:55" ht="16" thickBot="1" x14ac:dyDescent="0.4">
      <c r="A128" s="29" t="s">
        <v>19</v>
      </c>
      <c r="B128" s="30">
        <v>110</v>
      </c>
      <c r="C128" s="31">
        <v>2121.2636363636366</v>
      </c>
      <c r="E128" s="64"/>
      <c r="F128" s="41"/>
    </row>
    <row r="129" spans="1:6" ht="15.5" thickBot="1" x14ac:dyDescent="0.4">
      <c r="A129" s="32" t="s">
        <v>454</v>
      </c>
      <c r="B129" s="33">
        <v>19351</v>
      </c>
      <c r="C129" s="34">
        <v>763.93163144023561</v>
      </c>
      <c r="E129" s="64"/>
      <c r="F129" s="41"/>
    </row>
    <row r="130" spans="1:6" ht="16" thickBot="1" x14ac:dyDescent="0.4">
      <c r="A130" s="29" t="s">
        <v>70</v>
      </c>
      <c r="B130" s="30">
        <v>687</v>
      </c>
      <c r="C130" s="31">
        <v>472.91557496360991</v>
      </c>
      <c r="E130" s="64"/>
      <c r="F130" s="41"/>
    </row>
    <row r="131" spans="1:6" ht="16" thickBot="1" x14ac:dyDescent="0.4">
      <c r="A131" s="29" t="s">
        <v>434</v>
      </c>
      <c r="B131" s="30">
        <v>15951</v>
      </c>
      <c r="C131" s="31">
        <v>551.96019058366244</v>
      </c>
      <c r="E131" s="64"/>
      <c r="F131" s="41"/>
    </row>
    <row r="132" spans="1:6" ht="16" thickBot="1" x14ac:dyDescent="0.4">
      <c r="A132" s="29" t="s">
        <v>498</v>
      </c>
      <c r="B132" s="30">
        <v>3</v>
      </c>
      <c r="C132" s="31">
        <v>96.333333333333329</v>
      </c>
      <c r="E132" s="64"/>
      <c r="F132" s="41"/>
    </row>
    <row r="133" spans="1:6" ht="16" thickBot="1" x14ac:dyDescent="0.4">
      <c r="A133" s="29" t="s">
        <v>19</v>
      </c>
      <c r="B133" s="30">
        <v>2710</v>
      </c>
      <c r="C133" s="31">
        <v>2086.1040590405905</v>
      </c>
      <c r="E133" s="64"/>
      <c r="F133" s="41"/>
    </row>
    <row r="134" spans="1:6" ht="15.5" thickBot="1" x14ac:dyDescent="0.4">
      <c r="A134" s="32" t="s">
        <v>455</v>
      </c>
      <c r="B134" s="33">
        <v>7055</v>
      </c>
      <c r="C134" s="34">
        <v>706.8592487597449</v>
      </c>
      <c r="E134" s="64"/>
      <c r="F134" s="41"/>
    </row>
    <row r="135" spans="1:6" ht="16" thickBot="1" x14ac:dyDescent="0.4">
      <c r="A135" s="29" t="s">
        <v>70</v>
      </c>
      <c r="B135" s="30">
        <v>117</v>
      </c>
      <c r="C135" s="31">
        <v>251.67521367521368</v>
      </c>
      <c r="E135" s="64"/>
    </row>
    <row r="136" spans="1:6" ht="16" thickBot="1" x14ac:dyDescent="0.4">
      <c r="A136" s="29" t="s">
        <v>434</v>
      </c>
      <c r="B136" s="30">
        <v>6515</v>
      </c>
      <c r="C136" s="31">
        <v>618.31327705295473</v>
      </c>
      <c r="E136" s="64"/>
    </row>
    <row r="137" spans="1:6" ht="16" thickBot="1" x14ac:dyDescent="0.4">
      <c r="A137" s="29" t="s">
        <v>498</v>
      </c>
      <c r="B137" s="30">
        <v>8</v>
      </c>
      <c r="C137" s="31">
        <v>749.875</v>
      </c>
      <c r="E137" s="64"/>
    </row>
    <row r="138" spans="1:6" ht="16" thickBot="1" x14ac:dyDescent="0.4">
      <c r="A138" s="29" t="s">
        <v>19</v>
      </c>
      <c r="B138" s="30">
        <v>415</v>
      </c>
      <c r="C138" s="31">
        <v>2224.4240963855423</v>
      </c>
      <c r="E138" s="64"/>
    </row>
    <row r="139" spans="1:6" ht="15.5" thickBot="1" x14ac:dyDescent="0.4">
      <c r="A139" s="32" t="s">
        <v>456</v>
      </c>
      <c r="B139" s="33">
        <v>3278</v>
      </c>
      <c r="C139" s="34">
        <v>956.91519219036002</v>
      </c>
      <c r="E139" s="64"/>
    </row>
    <row r="140" spans="1:6" ht="16" thickBot="1" x14ac:dyDescent="0.4">
      <c r="A140" s="29" t="s">
        <v>70</v>
      </c>
      <c r="B140" s="30">
        <v>90</v>
      </c>
      <c r="C140" s="31">
        <v>853.27777777777783</v>
      </c>
      <c r="E140" s="64"/>
    </row>
    <row r="141" spans="1:6" ht="16" thickBot="1" x14ac:dyDescent="0.4">
      <c r="A141" s="29" t="s">
        <v>434</v>
      </c>
      <c r="B141" s="30">
        <v>2909</v>
      </c>
      <c r="C141" s="31">
        <v>819.85871433482293</v>
      </c>
      <c r="E141" s="64"/>
    </row>
    <row r="142" spans="1:6" ht="16" thickBot="1" x14ac:dyDescent="0.4">
      <c r="A142" s="29" t="s">
        <v>498</v>
      </c>
      <c r="B142" s="30">
        <v>1</v>
      </c>
      <c r="C142" s="31">
        <v>357</v>
      </c>
      <c r="E142" s="64"/>
    </row>
    <row r="143" spans="1:6" ht="16" thickBot="1" x14ac:dyDescent="0.4">
      <c r="A143" s="29" t="s">
        <v>19</v>
      </c>
      <c r="B143" s="30">
        <v>278</v>
      </c>
      <c r="C143" s="31">
        <v>2426.7877697841727</v>
      </c>
      <c r="E143" s="64"/>
    </row>
    <row r="144" spans="1:6" ht="15.5" thickBot="1" x14ac:dyDescent="0.4">
      <c r="A144" s="32" t="s">
        <v>490</v>
      </c>
      <c r="B144" s="33">
        <v>4554</v>
      </c>
      <c r="C144" s="34">
        <v>566.86144049187533</v>
      </c>
      <c r="E144" s="64"/>
    </row>
    <row r="145" spans="1:12" ht="16" thickBot="1" x14ac:dyDescent="0.4">
      <c r="A145" s="29" t="s">
        <v>70</v>
      </c>
      <c r="B145" s="30">
        <v>310</v>
      </c>
      <c r="C145" s="31">
        <v>511.31612903225806</v>
      </c>
      <c r="E145" s="64"/>
    </row>
    <row r="146" spans="1:12" ht="16" thickBot="1" x14ac:dyDescent="0.4">
      <c r="A146" s="29" t="s">
        <v>434</v>
      </c>
      <c r="B146" s="30">
        <v>4222</v>
      </c>
      <c r="C146" s="31">
        <v>566.73330175272383</v>
      </c>
      <c r="E146" s="64"/>
    </row>
    <row r="147" spans="1:12" ht="16" thickBot="1" x14ac:dyDescent="0.4">
      <c r="A147" s="29" t="s">
        <v>498</v>
      </c>
      <c r="B147" s="30">
        <v>5</v>
      </c>
      <c r="C147" s="31">
        <v>945.2</v>
      </c>
      <c r="E147" s="64"/>
    </row>
    <row r="148" spans="1:12" ht="16" thickBot="1" x14ac:dyDescent="0.4">
      <c r="A148" s="29" t="s">
        <v>19</v>
      </c>
      <c r="B148" s="30">
        <v>17</v>
      </c>
      <c r="C148" s="31">
        <v>1500.2941176470588</v>
      </c>
      <c r="E148" s="64"/>
    </row>
    <row r="149" spans="1:12" x14ac:dyDescent="0.35">
      <c r="C149" s="64"/>
      <c r="D149" s="50"/>
      <c r="E149" s="57"/>
      <c r="F149"/>
      <c r="G149"/>
      <c r="J149" s="3"/>
      <c r="L149"/>
    </row>
    <row r="150" spans="1:12" x14ac:dyDescent="0.35">
      <c r="C150" s="64"/>
      <c r="D150" s="50"/>
      <c r="E150" s="57"/>
      <c r="F150"/>
      <c r="G150"/>
      <c r="J150" s="3"/>
      <c r="L150"/>
    </row>
    <row r="151" spans="1:12" x14ac:dyDescent="0.35">
      <c r="C151" s="64"/>
      <c r="D151" s="50"/>
      <c r="E151" s="57"/>
      <c r="F151"/>
      <c r="G151"/>
      <c r="J151" s="3"/>
      <c r="L151"/>
    </row>
    <row r="152" spans="1:12" x14ac:dyDescent="0.35">
      <c r="C152" s="64"/>
      <c r="D152" s="50"/>
      <c r="E152" s="57"/>
      <c r="F152"/>
      <c r="G152"/>
      <c r="J152" s="3"/>
      <c r="L152"/>
    </row>
  </sheetData>
  <mergeCells count="18">
    <mergeCell ref="A16:C16"/>
    <mergeCell ref="A18:C18"/>
    <mergeCell ref="E18:G18"/>
    <mergeCell ref="E24:G24"/>
    <mergeCell ref="A29:C29"/>
    <mergeCell ref="E23:G23"/>
    <mergeCell ref="A28:C28"/>
    <mergeCell ref="A27:C27"/>
    <mergeCell ref="A25:C25"/>
    <mergeCell ref="A26:C26"/>
    <mergeCell ref="A7:C7"/>
    <mergeCell ref="A15:C15"/>
    <mergeCell ref="A1:G1"/>
    <mergeCell ref="A2:G3"/>
    <mergeCell ref="A4:G4"/>
    <mergeCell ref="E8:G8"/>
    <mergeCell ref="E14:G14"/>
    <mergeCell ref="E15:G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E66B7-1E0E-4D82-B547-798EB2BEA2B9}">
  <dimension ref="A1:AX140"/>
  <sheetViews>
    <sheetView showGridLines="0" zoomScaleNormal="100" zoomScaleSheetLayoutView="70" zoomScalePageLayoutView="90" workbookViewId="0">
      <selection sqref="A1:D1"/>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184" customFormat="1" ht="27.75" customHeight="1" x14ac:dyDescent="0.3">
      <c r="A1" s="433" t="s">
        <v>43</v>
      </c>
      <c r="B1" s="433"/>
      <c r="C1" s="433"/>
      <c r="D1" s="433"/>
    </row>
    <row r="2" spans="1:50" s="186" customFormat="1" ht="45.75" customHeight="1" x14ac:dyDescent="0.3">
      <c r="A2" s="434" t="s">
        <v>44</v>
      </c>
      <c r="B2" s="434"/>
      <c r="C2" s="434"/>
      <c r="D2" s="434"/>
      <c r="E2" s="434"/>
      <c r="F2" s="434"/>
      <c r="G2" s="434"/>
      <c r="H2" s="434"/>
      <c r="I2" s="434"/>
      <c r="J2" s="434"/>
      <c r="K2" s="434"/>
      <c r="L2" s="434"/>
      <c r="M2" s="434"/>
      <c r="N2" s="434"/>
      <c r="O2" s="434"/>
      <c r="P2" s="434"/>
      <c r="Q2" s="185"/>
      <c r="R2" s="185"/>
      <c r="S2" s="185"/>
      <c r="T2" s="185"/>
      <c r="U2" s="185"/>
      <c r="V2" s="185"/>
    </row>
    <row r="3" spans="1:50" ht="31.5" customHeight="1" x14ac:dyDescent="0.35">
      <c r="A3" s="435" t="s">
        <v>796</v>
      </c>
      <c r="B3" s="435"/>
      <c r="C3" s="435"/>
      <c r="D3" s="435"/>
      <c r="E3" s="187"/>
      <c r="F3" s="187"/>
      <c r="G3" s="187"/>
      <c r="H3" s="187"/>
      <c r="I3" s="187"/>
      <c r="J3" s="187"/>
      <c r="K3" s="187"/>
      <c r="L3" s="187"/>
      <c r="M3" s="187"/>
      <c r="N3" s="187"/>
      <c r="O3" s="187"/>
      <c r="P3" s="187"/>
      <c r="Q3" s="187"/>
      <c r="R3" s="187"/>
      <c r="S3" s="187"/>
      <c r="T3" s="187"/>
      <c r="U3" s="187"/>
      <c r="V3" s="187"/>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84" customFormat="1" ht="30.75" customHeight="1" x14ac:dyDescent="0.3">
      <c r="A4" s="427"/>
      <c r="B4" s="427"/>
      <c r="C4" s="427"/>
      <c r="D4" s="427"/>
      <c r="E4" s="427"/>
      <c r="F4" s="427"/>
      <c r="G4" s="427"/>
      <c r="H4" s="427"/>
      <c r="I4" s="427"/>
      <c r="J4" s="427"/>
      <c r="K4" s="427"/>
      <c r="L4" s="427"/>
      <c r="M4" s="427"/>
      <c r="N4" s="427"/>
      <c r="O4" s="427"/>
      <c r="P4" s="427"/>
      <c r="Q4" s="427"/>
      <c r="R4" s="427"/>
      <c r="S4" s="427"/>
      <c r="T4" s="427"/>
      <c r="U4" s="427"/>
      <c r="V4" s="427"/>
      <c r="W4" s="188"/>
      <c r="X4" s="188"/>
      <c r="Y4" s="188"/>
      <c r="Z4" s="188"/>
    </row>
    <row r="5" spans="1:50" s="186" customFormat="1" ht="7.5" customHeight="1" thickBot="1" x14ac:dyDescent="0.35">
      <c r="A5" s="189"/>
      <c r="B5" s="189"/>
      <c r="C5" s="189"/>
      <c r="D5" s="189"/>
      <c r="E5" s="189"/>
      <c r="F5" s="189"/>
      <c r="G5" s="189"/>
      <c r="H5" s="189"/>
      <c r="I5" s="189"/>
      <c r="J5" s="189"/>
      <c r="K5" s="189"/>
      <c r="L5" s="189"/>
      <c r="M5" s="189"/>
      <c r="N5" s="189"/>
      <c r="O5" s="189"/>
      <c r="P5" s="189"/>
      <c r="Q5" s="189"/>
      <c r="R5" s="189"/>
      <c r="S5" s="189"/>
      <c r="T5" s="189"/>
      <c r="U5" s="189"/>
      <c r="V5" s="189"/>
      <c r="W5" s="190"/>
      <c r="X5" s="190"/>
      <c r="Y5" s="190"/>
      <c r="Z5" s="190"/>
    </row>
    <row r="6" spans="1:50" s="186" customFormat="1" ht="16.5" customHeight="1" x14ac:dyDescent="0.3">
      <c r="A6" s="428"/>
      <c r="B6" s="429"/>
      <c r="C6" s="429"/>
      <c r="D6" s="429"/>
      <c r="E6" s="429"/>
      <c r="F6" s="429"/>
      <c r="G6" s="429"/>
      <c r="H6" s="429"/>
      <c r="I6" s="429"/>
      <c r="J6" s="429"/>
      <c r="K6" s="429"/>
      <c r="L6" s="429"/>
      <c r="M6" s="429"/>
      <c r="N6" s="429"/>
      <c r="O6" s="429"/>
      <c r="P6" s="429"/>
      <c r="Q6" s="429"/>
      <c r="R6" s="429"/>
      <c r="S6" s="429"/>
      <c r="T6" s="429"/>
      <c r="U6" s="429"/>
      <c r="V6" s="430"/>
      <c r="W6" s="190"/>
      <c r="X6" s="190"/>
      <c r="Y6" s="190"/>
      <c r="Z6" s="190"/>
    </row>
    <row r="7" spans="1:50" s="184" customFormat="1" ht="16.5" customHeight="1" x14ac:dyDescent="0.3">
      <c r="A7" s="191"/>
      <c r="B7" s="192"/>
      <c r="C7" s="192"/>
      <c r="D7" s="192"/>
      <c r="E7" s="192"/>
      <c r="F7" s="192"/>
      <c r="G7" s="192"/>
      <c r="H7" s="192"/>
      <c r="J7" s="193"/>
      <c r="K7" s="193"/>
      <c r="L7" s="193"/>
      <c r="N7" s="192"/>
      <c r="O7" s="192"/>
      <c r="P7" s="192"/>
      <c r="Q7" s="192"/>
      <c r="R7" s="192"/>
      <c r="S7" s="192"/>
      <c r="T7" s="192"/>
      <c r="U7" s="192"/>
      <c r="V7" s="194"/>
      <c r="W7" s="195"/>
      <c r="X7" s="195"/>
      <c r="Y7" s="195"/>
      <c r="Z7" s="195"/>
    </row>
    <row r="8" spans="1:50" s="196" customFormat="1" ht="30.65" customHeight="1" x14ac:dyDescent="0.3">
      <c r="A8" s="406" t="s">
        <v>797</v>
      </c>
      <c r="B8" s="407"/>
      <c r="C8" s="407"/>
      <c r="D8" s="407"/>
      <c r="E8" s="159"/>
      <c r="F8" s="159"/>
      <c r="G8" s="407" t="s">
        <v>798</v>
      </c>
      <c r="H8" s="407"/>
      <c r="I8" s="407"/>
      <c r="J8" s="407"/>
      <c r="K8" s="407"/>
      <c r="M8" s="407" t="s">
        <v>799</v>
      </c>
      <c r="N8" s="407"/>
      <c r="O8" s="407"/>
      <c r="P8" s="407"/>
      <c r="Q8" s="407"/>
      <c r="T8" s="197"/>
      <c r="U8" s="197"/>
      <c r="V8" s="198"/>
      <c r="W8" s="199"/>
      <c r="X8" s="199"/>
      <c r="Y8" s="199"/>
      <c r="Z8" s="199"/>
      <c r="AB8" s="200"/>
      <c r="AC8" s="200"/>
    </row>
    <row r="9" spans="1:50" s="184" customFormat="1" ht="28.4" customHeight="1" x14ac:dyDescent="0.3">
      <c r="A9" s="201" t="s">
        <v>800</v>
      </c>
      <c r="B9" s="11" t="s">
        <v>801</v>
      </c>
      <c r="C9" s="11" t="s">
        <v>802</v>
      </c>
      <c r="D9" s="11" t="s">
        <v>0</v>
      </c>
      <c r="E9" s="192"/>
      <c r="F9" s="192"/>
      <c r="G9" s="431" t="s">
        <v>803</v>
      </c>
      <c r="H9" s="432"/>
      <c r="I9" s="202" t="s">
        <v>801</v>
      </c>
      <c r="J9" s="202" t="s">
        <v>802</v>
      </c>
      <c r="K9" s="202" t="s">
        <v>0</v>
      </c>
      <c r="M9" s="410" t="s">
        <v>804</v>
      </c>
      <c r="N9" s="410"/>
      <c r="O9" s="203" t="s">
        <v>805</v>
      </c>
      <c r="P9" s="192"/>
      <c r="Q9" s="192"/>
      <c r="R9" s="192"/>
      <c r="S9" s="192"/>
      <c r="T9" s="192"/>
      <c r="U9" s="195"/>
      <c r="V9" s="204"/>
      <c r="W9" s="195"/>
      <c r="X9" s="195"/>
      <c r="Y9" s="195"/>
      <c r="Z9" s="195"/>
      <c r="AA9" s="195"/>
      <c r="AB9" s="205"/>
      <c r="AC9" s="205"/>
    </row>
    <row r="10" spans="1:50" s="184" customFormat="1" ht="16.5" customHeight="1" thickBot="1" x14ac:dyDescent="0.35">
      <c r="A10" s="206" t="s">
        <v>0</v>
      </c>
      <c r="B10" s="207">
        <v>0</v>
      </c>
      <c r="C10" s="207">
        <f>SUM(C11:C14)</f>
        <v>29613</v>
      </c>
      <c r="D10" s="207">
        <f>SUM(D11:D14)</f>
        <v>29613</v>
      </c>
      <c r="E10" s="192"/>
      <c r="F10" s="192"/>
      <c r="G10" s="425" t="s">
        <v>806</v>
      </c>
      <c r="H10" s="425"/>
      <c r="I10" s="208">
        <v>0</v>
      </c>
      <c r="J10" s="208">
        <v>30.978209910515901</v>
      </c>
      <c r="K10" s="208">
        <v>30.978209910515901</v>
      </c>
      <c r="M10" s="413" t="s">
        <v>0</v>
      </c>
      <c r="N10" s="413"/>
      <c r="O10" s="209">
        <f>SUM(O11:O12)</f>
        <v>7817</v>
      </c>
      <c r="P10" s="192"/>
      <c r="Q10" s="192"/>
      <c r="R10" s="192"/>
      <c r="S10" s="192"/>
      <c r="T10" s="192"/>
      <c r="U10" s="210"/>
      <c r="V10" s="211"/>
      <c r="W10" s="210"/>
      <c r="X10" s="195"/>
      <c r="Y10" s="195"/>
      <c r="Z10" s="195"/>
      <c r="AA10" s="195"/>
      <c r="AB10" s="205"/>
      <c r="AC10" s="205"/>
    </row>
    <row r="11" spans="1:50" s="184" customFormat="1" ht="13.4" customHeight="1" thickTop="1" x14ac:dyDescent="0.3">
      <c r="A11" s="212" t="s">
        <v>807</v>
      </c>
      <c r="B11" s="213">
        <v>0</v>
      </c>
      <c r="C11" s="213">
        <v>16595</v>
      </c>
      <c r="D11" s="214">
        <f>SUM(B11:C11)</f>
        <v>16595</v>
      </c>
      <c r="E11" s="192"/>
      <c r="F11" s="192"/>
      <c r="G11" s="426"/>
      <c r="H11" s="426"/>
      <c r="I11" s="215"/>
      <c r="J11" s="215"/>
      <c r="K11" s="215"/>
      <c r="M11" s="416" t="s">
        <v>801</v>
      </c>
      <c r="N11" s="416"/>
      <c r="O11" s="217">
        <v>0</v>
      </c>
      <c r="P11" s="192"/>
      <c r="Q11" s="192"/>
      <c r="R11" s="192"/>
      <c r="S11" s="192"/>
      <c r="T11" s="192"/>
      <c r="U11" s="210"/>
      <c r="V11" s="211"/>
      <c r="W11" s="210"/>
      <c r="X11" s="195"/>
      <c r="Y11" s="195"/>
      <c r="Z11" s="195"/>
      <c r="AA11" s="195"/>
      <c r="AB11" s="205"/>
      <c r="AC11" s="205"/>
    </row>
    <row r="12" spans="1:50" s="184" customFormat="1" ht="13.4" customHeight="1" x14ac:dyDescent="0.3">
      <c r="A12" s="218" t="s">
        <v>808</v>
      </c>
      <c r="B12" s="213">
        <v>0</v>
      </c>
      <c r="C12" s="213">
        <v>8512</v>
      </c>
      <c r="D12" s="214">
        <f>SUM(B12:C12)</f>
        <v>8512</v>
      </c>
      <c r="E12" s="192"/>
      <c r="F12" s="192"/>
      <c r="M12" s="402" t="s">
        <v>802</v>
      </c>
      <c r="N12" s="402"/>
      <c r="O12" s="220">
        <v>7817</v>
      </c>
      <c r="P12" s="192"/>
      <c r="Q12" s="192"/>
      <c r="R12" s="192"/>
      <c r="S12" s="192"/>
      <c r="T12" s="192"/>
      <c r="U12" s="210"/>
      <c r="V12" s="211"/>
      <c r="W12" s="210"/>
      <c r="X12" s="195"/>
      <c r="Y12" s="195"/>
      <c r="Z12" s="195"/>
      <c r="AA12" s="195"/>
      <c r="AB12" s="205"/>
      <c r="AC12" s="205"/>
    </row>
    <row r="13" spans="1:50" s="184" customFormat="1" ht="13.4" customHeight="1" x14ac:dyDescent="0.3">
      <c r="A13" s="218" t="s">
        <v>809</v>
      </c>
      <c r="B13" s="213">
        <v>0</v>
      </c>
      <c r="C13" s="213">
        <v>3304</v>
      </c>
      <c r="D13" s="214">
        <f>SUM(B13:C13)</f>
        <v>3304</v>
      </c>
      <c r="E13" s="192"/>
      <c r="F13" s="192"/>
      <c r="G13" s="192"/>
      <c r="H13" s="192"/>
      <c r="I13" s="192"/>
      <c r="J13" s="192"/>
      <c r="K13" s="192"/>
      <c r="R13" s="192"/>
      <c r="S13" s="192"/>
      <c r="T13" s="192"/>
      <c r="U13" s="210"/>
      <c r="V13" s="211"/>
      <c r="W13" s="210"/>
      <c r="X13" s="195"/>
      <c r="Y13" s="195"/>
      <c r="Z13" s="195"/>
      <c r="AA13" s="195"/>
      <c r="AB13" s="205"/>
      <c r="AC13" s="205"/>
    </row>
    <row r="14" spans="1:50" s="184" customFormat="1" ht="13.4" customHeight="1" x14ac:dyDescent="0.3">
      <c r="A14" s="218" t="s">
        <v>810</v>
      </c>
      <c r="B14" s="213">
        <v>0</v>
      </c>
      <c r="C14" s="213">
        <v>1202</v>
      </c>
      <c r="D14" s="214">
        <f>SUM(B14:C14)</f>
        <v>1202</v>
      </c>
      <c r="E14" s="192"/>
      <c r="F14" s="192"/>
      <c r="G14" s="192"/>
      <c r="H14" s="192"/>
      <c r="I14" s="192"/>
      <c r="J14" s="192"/>
      <c r="K14" s="192"/>
      <c r="L14" s="192"/>
      <c r="M14" s="192"/>
      <c r="N14" s="192"/>
      <c r="O14" s="192"/>
      <c r="P14" s="192"/>
      <c r="Q14" s="192"/>
      <c r="R14" s="192"/>
      <c r="S14" s="192"/>
      <c r="T14" s="192"/>
      <c r="U14" s="210"/>
      <c r="V14" s="211"/>
      <c r="W14" s="210"/>
      <c r="X14" s="195"/>
      <c r="Y14" s="195"/>
      <c r="Z14" s="195"/>
      <c r="AA14" s="195"/>
      <c r="AB14" s="205"/>
      <c r="AC14" s="205"/>
    </row>
    <row r="15" spans="1:50" s="184" customFormat="1" ht="16.5" customHeight="1" x14ac:dyDescent="0.3">
      <c r="A15" s="221"/>
      <c r="B15" s="222"/>
      <c r="C15" s="222"/>
      <c r="D15" s="222"/>
      <c r="E15" s="222"/>
      <c r="F15" s="222"/>
      <c r="G15" s="192"/>
      <c r="H15" s="192"/>
      <c r="I15" s="192"/>
      <c r="J15" s="192"/>
      <c r="K15" s="192"/>
      <c r="L15" s="192"/>
      <c r="M15" s="192"/>
      <c r="N15" s="192"/>
      <c r="O15" s="192"/>
      <c r="P15" s="192"/>
      <c r="Q15" s="192"/>
      <c r="R15" s="192"/>
      <c r="S15" s="192"/>
      <c r="T15" s="192"/>
      <c r="U15" s="192"/>
      <c r="V15" s="194"/>
      <c r="W15" s="195"/>
      <c r="X15" s="195"/>
      <c r="Y15" s="195"/>
      <c r="Z15" s="195"/>
      <c r="AA15" s="195"/>
      <c r="AB15" s="205"/>
      <c r="AC15" s="205"/>
      <c r="AK15" s="205"/>
      <c r="AL15" s="205"/>
    </row>
    <row r="16" spans="1:50" s="184" customFormat="1" ht="16.5" customHeight="1" x14ac:dyDescent="0.3">
      <c r="A16" s="403"/>
      <c r="B16" s="404"/>
      <c r="C16" s="404"/>
      <c r="D16" s="404"/>
      <c r="E16" s="404"/>
      <c r="F16" s="404"/>
      <c r="G16" s="404"/>
      <c r="H16" s="404"/>
      <c r="I16" s="404"/>
      <c r="J16" s="404"/>
      <c r="K16" s="404"/>
      <c r="L16" s="404"/>
      <c r="M16" s="404"/>
      <c r="N16" s="404"/>
      <c r="O16" s="404"/>
      <c r="P16" s="404"/>
      <c r="Q16" s="404"/>
      <c r="R16" s="404"/>
      <c r="S16" s="404"/>
      <c r="T16" s="404"/>
      <c r="U16" s="404"/>
      <c r="V16" s="405"/>
      <c r="W16" s="195"/>
      <c r="X16" s="205"/>
      <c r="Y16" s="195"/>
      <c r="Z16" s="195"/>
      <c r="AK16" s="205"/>
    </row>
    <row r="17" spans="1:38" s="184" customFormat="1" ht="16.5" customHeight="1" x14ac:dyDescent="0.3">
      <c r="A17" s="191"/>
      <c r="B17" s="192"/>
      <c r="C17" s="192"/>
      <c r="D17" s="192"/>
      <c r="E17" s="192"/>
      <c r="F17" s="192"/>
      <c r="G17" s="192"/>
      <c r="H17" s="192"/>
      <c r="I17" s="192"/>
      <c r="J17" s="192"/>
      <c r="K17" s="192"/>
      <c r="L17" s="192"/>
      <c r="M17" s="192"/>
      <c r="N17" s="192"/>
      <c r="O17" s="192"/>
      <c r="P17" s="192"/>
      <c r="Q17" s="192"/>
      <c r="R17" s="192"/>
      <c r="S17" s="192"/>
      <c r="T17" s="192"/>
      <c r="U17" s="192"/>
      <c r="V17" s="194"/>
      <c r="W17" s="195"/>
      <c r="X17" s="195"/>
      <c r="Y17" s="195"/>
      <c r="Z17" s="195"/>
      <c r="AF17" s="205"/>
      <c r="AK17" s="205"/>
    </row>
    <row r="18" spans="1:38" s="223" customFormat="1" ht="27.65" customHeight="1" x14ac:dyDescent="0.3">
      <c r="A18" s="419" t="s">
        <v>811</v>
      </c>
      <c r="B18" s="420"/>
      <c r="C18" s="420"/>
      <c r="D18" s="420"/>
      <c r="E18" s="420"/>
      <c r="F18" s="420"/>
      <c r="I18" s="401" t="s">
        <v>812</v>
      </c>
      <c r="J18" s="401"/>
      <c r="K18" s="401"/>
      <c r="L18" s="401"/>
      <c r="M18" s="401"/>
      <c r="N18" s="401"/>
      <c r="O18" s="401"/>
      <c r="P18" s="401"/>
      <c r="Q18" s="401"/>
      <c r="R18" s="401"/>
      <c r="S18" s="401"/>
      <c r="T18" s="401"/>
      <c r="U18" s="401"/>
      <c r="V18" s="421"/>
      <c r="W18" s="224"/>
      <c r="X18" s="224"/>
      <c r="Y18" s="224"/>
      <c r="AE18" s="184"/>
      <c r="AF18" s="205"/>
      <c r="AG18" s="184"/>
      <c r="AH18" s="184"/>
      <c r="AI18" s="184"/>
      <c r="AJ18" s="184"/>
      <c r="AK18" s="184"/>
      <c r="AL18" s="205"/>
    </row>
    <row r="19" spans="1:38" s="186" customFormat="1" ht="28.75" customHeight="1" x14ac:dyDescent="0.3">
      <c r="A19" s="11" t="s">
        <v>813</v>
      </c>
      <c r="B19" s="11" t="s">
        <v>74</v>
      </c>
      <c r="C19" s="11" t="s">
        <v>814</v>
      </c>
      <c r="D19" s="11" t="s">
        <v>58</v>
      </c>
      <c r="E19" s="11" t="s">
        <v>815</v>
      </c>
      <c r="F19" s="11" t="s">
        <v>0</v>
      </c>
      <c r="I19" s="11" t="s">
        <v>816</v>
      </c>
      <c r="J19" s="11" t="s">
        <v>817</v>
      </c>
      <c r="K19" s="11" t="s">
        <v>818</v>
      </c>
      <c r="L19" s="11" t="s">
        <v>819</v>
      </c>
      <c r="M19" s="11" t="s">
        <v>820</v>
      </c>
      <c r="N19" s="11" t="s">
        <v>821</v>
      </c>
      <c r="O19" s="11" t="s">
        <v>822</v>
      </c>
      <c r="P19" s="11" t="s">
        <v>823</v>
      </c>
      <c r="Q19" s="11" t="s">
        <v>824</v>
      </c>
      <c r="R19" s="11" t="s">
        <v>825</v>
      </c>
      <c r="S19" s="11" t="s">
        <v>826</v>
      </c>
      <c r="T19" s="11" t="s">
        <v>827</v>
      </c>
      <c r="U19" s="11" t="s">
        <v>828</v>
      </c>
      <c r="V19" s="11" t="s">
        <v>0</v>
      </c>
      <c r="W19" s="225"/>
      <c r="X19" s="226"/>
      <c r="Y19" s="226"/>
      <c r="Z19" s="227"/>
      <c r="AA19" s="228"/>
      <c r="AB19" s="229"/>
      <c r="AC19" s="229"/>
      <c r="AD19" s="229"/>
      <c r="AE19" s="230"/>
      <c r="AF19" s="229"/>
      <c r="AG19" s="229"/>
      <c r="AH19" s="229"/>
      <c r="AI19" s="229"/>
      <c r="AJ19" s="229"/>
      <c r="AK19" s="229"/>
    </row>
    <row r="20" spans="1:38" s="186" customFormat="1" ht="18" customHeight="1" thickBot="1" x14ac:dyDescent="0.35">
      <c r="A20" s="206" t="s">
        <v>0</v>
      </c>
      <c r="B20" s="207">
        <f>SUM(B21:B23)</f>
        <v>9595</v>
      </c>
      <c r="C20" s="231">
        <f>IF(ISERROR(B20/F20),0,B20/F20)</f>
        <v>0.32401310235369601</v>
      </c>
      <c r="D20" s="207">
        <f>SUM(D21:D23)</f>
        <v>20018</v>
      </c>
      <c r="E20" s="231">
        <f>IF(ISERROR(D20/F20),0,D20/F20)</f>
        <v>0.67598689764630404</v>
      </c>
      <c r="F20" s="207">
        <f>B20+D20</f>
        <v>29613</v>
      </c>
      <c r="I20" s="232" t="s">
        <v>0</v>
      </c>
      <c r="J20" s="233">
        <f t="shared" ref="J20:U20" si="0">SUM(J21:J22)</f>
        <v>22417</v>
      </c>
      <c r="K20" s="234">
        <f t="shared" si="0"/>
        <v>19068</v>
      </c>
      <c r="L20" s="233">
        <f t="shared" si="0"/>
        <v>17611</v>
      </c>
      <c r="M20" s="233">
        <f t="shared" si="0"/>
        <v>21999</v>
      </c>
      <c r="N20" s="233">
        <f t="shared" si="0"/>
        <v>19732</v>
      </c>
      <c r="O20" s="233">
        <f t="shared" si="0"/>
        <v>22199</v>
      </c>
      <c r="P20" s="233">
        <f t="shared" si="0"/>
        <v>18939</v>
      </c>
      <c r="Q20" s="233">
        <f t="shared" si="0"/>
        <v>30514</v>
      </c>
      <c r="R20" s="233">
        <f t="shared" si="0"/>
        <v>13143</v>
      </c>
      <c r="S20" s="233">
        <f t="shared" si="0"/>
        <v>0</v>
      </c>
      <c r="T20" s="233">
        <f t="shared" si="0"/>
        <v>0</v>
      </c>
      <c r="U20" s="233">
        <f t="shared" si="0"/>
        <v>0</v>
      </c>
      <c r="V20" s="235">
        <f>SUM(J20:U20)</f>
        <v>185622</v>
      </c>
      <c r="W20" s="225"/>
      <c r="X20" s="225"/>
      <c r="Y20" s="226"/>
      <c r="Z20" s="226"/>
      <c r="AA20" s="229"/>
      <c r="AB20" s="229"/>
      <c r="AC20" s="229"/>
      <c r="AD20" s="229"/>
      <c r="AE20" s="230"/>
      <c r="AF20" s="229"/>
      <c r="AG20" s="229"/>
    </row>
    <row r="21" spans="1:38" s="186" customFormat="1" ht="15" customHeight="1" thickTop="1" x14ac:dyDescent="0.3">
      <c r="A21" s="212" t="s">
        <v>829</v>
      </c>
      <c r="B21" s="236">
        <v>6778</v>
      </c>
      <c r="C21" s="237">
        <f>IF(ISERROR(B21/F21),0,B21/F21)</f>
        <v>0.84576990267032692</v>
      </c>
      <c r="D21" s="236">
        <v>1236</v>
      </c>
      <c r="E21" s="237">
        <f>IF(ISERROR(D21/F21),0,D21/F21)</f>
        <v>0.15423009732967308</v>
      </c>
      <c r="F21" s="216">
        <f>B21+D21</f>
        <v>8014</v>
      </c>
      <c r="I21" s="216" t="s">
        <v>58</v>
      </c>
      <c r="J21" s="238">
        <v>15863</v>
      </c>
      <c r="K21" s="238">
        <v>12596</v>
      </c>
      <c r="L21" s="238">
        <v>11633</v>
      </c>
      <c r="M21" s="238">
        <v>15497</v>
      </c>
      <c r="N21" s="238">
        <v>12734</v>
      </c>
      <c r="O21" s="238">
        <v>14169</v>
      </c>
      <c r="P21" s="238">
        <v>11861</v>
      </c>
      <c r="Q21" s="238">
        <v>22672</v>
      </c>
      <c r="R21" s="238">
        <v>8749</v>
      </c>
      <c r="S21" s="238">
        <v>0</v>
      </c>
      <c r="T21" s="238">
        <v>0</v>
      </c>
      <c r="U21" s="238">
        <v>0</v>
      </c>
      <c r="V21" s="239">
        <f>SUM(J21:U21)</f>
        <v>125774</v>
      </c>
      <c r="W21" s="225"/>
      <c r="X21" s="240"/>
      <c r="Y21" s="240"/>
      <c r="Z21" s="226"/>
      <c r="AA21" s="229"/>
      <c r="AB21" s="230"/>
      <c r="AC21" s="230"/>
      <c r="AD21" s="230"/>
      <c r="AE21" s="230"/>
      <c r="AF21" s="230"/>
      <c r="AG21" s="230"/>
      <c r="AH21" s="230"/>
      <c r="AI21" s="230"/>
      <c r="AJ21" s="230"/>
      <c r="AK21" s="230"/>
      <c r="AL21" s="230"/>
    </row>
    <row r="22" spans="1:38" s="186" customFormat="1" ht="15" customHeight="1" x14ac:dyDescent="0.3">
      <c r="A22" s="218" t="s">
        <v>830</v>
      </c>
      <c r="B22" s="241">
        <v>2327</v>
      </c>
      <c r="C22" s="242">
        <f>IF(ISERROR(B22/F22),0,B22/F22)</f>
        <v>0.79883281840027465</v>
      </c>
      <c r="D22" s="241">
        <v>586</v>
      </c>
      <c r="E22" s="242">
        <f>IF(ISERROR(D22/F22),0,D22/F22)</f>
        <v>0.20116718159972538</v>
      </c>
      <c r="F22" s="219">
        <f>B22+D22</f>
        <v>2913</v>
      </c>
      <c r="I22" s="219" t="s">
        <v>831</v>
      </c>
      <c r="J22" s="243">
        <v>6554</v>
      </c>
      <c r="K22" s="238">
        <v>6472</v>
      </c>
      <c r="L22" s="238">
        <v>5978</v>
      </c>
      <c r="M22" s="238">
        <v>6502</v>
      </c>
      <c r="N22" s="238">
        <v>6998</v>
      </c>
      <c r="O22" s="238">
        <v>8030</v>
      </c>
      <c r="P22" s="238">
        <v>7078</v>
      </c>
      <c r="Q22" s="238">
        <v>7842</v>
      </c>
      <c r="R22" s="238">
        <v>4394</v>
      </c>
      <c r="S22" s="238">
        <v>0</v>
      </c>
      <c r="T22" s="238">
        <v>0</v>
      </c>
      <c r="U22" s="238">
        <v>0</v>
      </c>
      <c r="V22" s="244">
        <f>SUM(J22:U22)</f>
        <v>59848</v>
      </c>
      <c r="W22" s="225"/>
      <c r="X22" s="240"/>
      <c r="Y22" s="240"/>
      <c r="Z22" s="240"/>
      <c r="AA22" s="230"/>
      <c r="AB22" s="230"/>
      <c r="AC22" s="230"/>
      <c r="AD22" s="230"/>
      <c r="AE22" s="230"/>
      <c r="AF22" s="230"/>
      <c r="AG22" s="230"/>
      <c r="AH22" s="230"/>
      <c r="AI22" s="230"/>
      <c r="AJ22" s="230"/>
      <c r="AK22" s="230"/>
      <c r="AL22" s="230"/>
    </row>
    <row r="23" spans="1:38" s="186" customFormat="1" ht="15" customHeight="1" x14ac:dyDescent="0.3">
      <c r="A23" s="218" t="s">
        <v>832</v>
      </c>
      <c r="B23" s="241">
        <v>490</v>
      </c>
      <c r="C23" s="242">
        <f>IF(ISERROR(B23/F23),0,B23/F23)</f>
        <v>2.6222840629348175E-2</v>
      </c>
      <c r="D23" s="241">
        <v>18196</v>
      </c>
      <c r="E23" s="242">
        <f>IF(ISERROR(D23/F23),0,D23/F23)</f>
        <v>0.97377715937065179</v>
      </c>
      <c r="F23" s="219">
        <f>B23+D23</f>
        <v>18686</v>
      </c>
      <c r="T23" s="195"/>
      <c r="U23" s="195"/>
      <c r="V23" s="204"/>
      <c r="W23" s="225"/>
      <c r="X23" s="240"/>
      <c r="Y23" s="240"/>
      <c r="Z23" s="240"/>
      <c r="AA23" s="230"/>
      <c r="AB23" s="230"/>
      <c r="AC23" s="230"/>
      <c r="AD23" s="230"/>
      <c r="AE23" s="230"/>
      <c r="AF23" s="230"/>
      <c r="AG23" s="230"/>
      <c r="AH23" s="230"/>
      <c r="AI23" s="230"/>
      <c r="AJ23" s="230"/>
      <c r="AK23" s="230"/>
      <c r="AL23" s="230"/>
    </row>
    <row r="24" spans="1:38" s="186" customFormat="1" ht="12" x14ac:dyDescent="0.3">
      <c r="A24" s="245"/>
      <c r="T24" s="195"/>
      <c r="U24" s="195"/>
      <c r="V24" s="204"/>
      <c r="W24" s="225"/>
      <c r="X24" s="225"/>
      <c r="Y24" s="240"/>
      <c r="Z24" s="240"/>
      <c r="AA24" s="230"/>
      <c r="AB24" s="230"/>
      <c r="AC24" s="230"/>
      <c r="AD24" s="230"/>
      <c r="AE24" s="230"/>
      <c r="AF24" s="230"/>
      <c r="AG24" s="230"/>
      <c r="AH24" s="230"/>
      <c r="AK24" s="230"/>
      <c r="AL24" s="230"/>
    </row>
    <row r="25" spans="1:38" s="184" customFormat="1" ht="16.5" customHeight="1" x14ac:dyDescent="0.3">
      <c r="A25" s="403"/>
      <c r="B25" s="404"/>
      <c r="C25" s="404"/>
      <c r="D25" s="404"/>
      <c r="E25" s="404"/>
      <c r="F25" s="404"/>
      <c r="G25" s="404"/>
      <c r="H25" s="404"/>
      <c r="I25" s="404"/>
      <c r="J25" s="404"/>
      <c r="K25" s="404"/>
      <c r="L25" s="404"/>
      <c r="M25" s="404"/>
      <c r="N25" s="404"/>
      <c r="O25" s="404"/>
      <c r="P25" s="404"/>
      <c r="Q25" s="404"/>
      <c r="R25" s="404"/>
      <c r="S25" s="404"/>
      <c r="T25" s="404"/>
      <c r="U25" s="404"/>
      <c r="V25" s="405"/>
      <c r="W25" s="195"/>
      <c r="X25" s="195"/>
      <c r="Y25" s="195"/>
      <c r="Z25" s="210"/>
      <c r="AA25" s="205"/>
      <c r="AB25" s="205"/>
      <c r="AC25" s="205"/>
      <c r="AD25" s="205"/>
      <c r="AE25" s="205"/>
      <c r="AF25" s="205"/>
      <c r="AG25" s="205"/>
    </row>
    <row r="26" spans="1:38" s="186" customFormat="1" ht="12" x14ac:dyDescent="0.3">
      <c r="A26" s="245"/>
      <c r="T26" s="195"/>
      <c r="U26" s="195"/>
      <c r="V26" s="204"/>
      <c r="W26" s="225"/>
      <c r="X26" s="225"/>
      <c r="Y26" s="225"/>
      <c r="Z26" s="240"/>
      <c r="AA26" s="230"/>
      <c r="AB26" s="230"/>
      <c r="AC26" s="230"/>
      <c r="AG26" s="230"/>
    </row>
    <row r="27" spans="1:38" s="184" customFormat="1" ht="21.65" customHeight="1" x14ac:dyDescent="0.3">
      <c r="A27" s="422" t="s">
        <v>833</v>
      </c>
      <c r="B27" s="423"/>
      <c r="C27" s="423"/>
      <c r="D27" s="423"/>
      <c r="E27" s="423"/>
      <c r="F27" s="246"/>
      <c r="H27" s="423" t="s">
        <v>834</v>
      </c>
      <c r="I27" s="423"/>
      <c r="J27" s="423"/>
      <c r="K27" s="423"/>
      <c r="L27" s="423"/>
      <c r="M27" s="246"/>
      <c r="N27" s="424" t="s">
        <v>835</v>
      </c>
      <c r="O27" s="424"/>
      <c r="P27" s="424"/>
      <c r="Q27" s="424"/>
      <c r="R27" s="424"/>
      <c r="S27" s="246"/>
      <c r="V27" s="247"/>
      <c r="W27" s="248"/>
      <c r="X27" s="249"/>
      <c r="Y27" s="249"/>
      <c r="Z27" s="249"/>
      <c r="AA27" s="250"/>
      <c r="AB27" s="250"/>
      <c r="AC27" s="250"/>
      <c r="AD27" s="250"/>
      <c r="AE27" s="205"/>
      <c r="AF27" s="205"/>
      <c r="AG27" s="205"/>
      <c r="AH27" s="250"/>
      <c r="AI27" s="250"/>
    </row>
    <row r="28" spans="1:38" s="186" customFormat="1" ht="37.5" customHeight="1" x14ac:dyDescent="0.3">
      <c r="A28" s="11" t="s">
        <v>836</v>
      </c>
      <c r="B28" s="11" t="s">
        <v>829</v>
      </c>
      <c r="C28" s="11" t="s">
        <v>830</v>
      </c>
      <c r="D28" s="11" t="s">
        <v>832</v>
      </c>
      <c r="E28" s="11" t="s">
        <v>0</v>
      </c>
      <c r="H28" s="410" t="s">
        <v>836</v>
      </c>
      <c r="I28" s="410"/>
      <c r="J28" s="203" t="s">
        <v>0</v>
      </c>
      <c r="K28" s="195"/>
      <c r="L28" s="195"/>
      <c r="M28" s="195"/>
      <c r="N28" s="411"/>
      <c r="O28" s="412"/>
      <c r="P28" s="251" t="s">
        <v>837</v>
      </c>
      <c r="U28" s="195"/>
      <c r="V28" s="252"/>
      <c r="W28" s="225"/>
      <c r="X28" s="225"/>
      <c r="Y28" s="225"/>
      <c r="Z28" s="230"/>
      <c r="AD28" s="230"/>
      <c r="AE28" s="230"/>
      <c r="AF28" s="230"/>
      <c r="AG28" s="230"/>
    </row>
    <row r="29" spans="1:38" s="186" customFormat="1" ht="15" customHeight="1" thickBot="1" x14ac:dyDescent="0.35">
      <c r="A29" s="206" t="s">
        <v>0</v>
      </c>
      <c r="B29" s="207">
        <f>SUM(B30:B31)</f>
        <v>43255</v>
      </c>
      <c r="C29" s="207">
        <f>SUM(C30:C31)</f>
        <v>16175</v>
      </c>
      <c r="D29" s="207">
        <f>SUM(D30:D31)</f>
        <v>126192</v>
      </c>
      <c r="E29" s="234">
        <f>SUM(B29:D29)</f>
        <v>185622</v>
      </c>
      <c r="H29" s="413" t="s">
        <v>0</v>
      </c>
      <c r="I29" s="413"/>
      <c r="J29" s="253">
        <f>SUM(J30:J31)</f>
        <v>108850</v>
      </c>
      <c r="K29" s="195"/>
      <c r="L29" s="195"/>
      <c r="M29" s="195"/>
      <c r="N29" s="414" t="s">
        <v>0</v>
      </c>
      <c r="O29" s="415"/>
      <c r="P29" s="254">
        <v>76998</v>
      </c>
      <c r="U29" s="210"/>
      <c r="V29" s="255"/>
      <c r="W29" s="225"/>
      <c r="X29" s="240"/>
      <c r="Y29" s="240"/>
      <c r="Z29" s="230"/>
      <c r="AA29" s="230"/>
      <c r="AB29" s="230"/>
      <c r="AC29" s="230"/>
      <c r="AD29" s="230"/>
      <c r="AE29" s="230"/>
      <c r="AF29" s="230"/>
      <c r="AG29" s="230"/>
      <c r="AH29" s="230"/>
      <c r="AI29" s="230"/>
      <c r="AJ29" s="230"/>
    </row>
    <row r="30" spans="1:38" s="186" customFormat="1" ht="15" customHeight="1" thickTop="1" x14ac:dyDescent="0.3">
      <c r="A30" s="212" t="s">
        <v>801</v>
      </c>
      <c r="B30" s="236">
        <v>0</v>
      </c>
      <c r="C30" s="236">
        <v>0</v>
      </c>
      <c r="D30" s="236">
        <v>0</v>
      </c>
      <c r="E30" s="216">
        <f>SUM(B30:D30)</f>
        <v>0</v>
      </c>
      <c r="F30" s="184"/>
      <c r="G30" s="184"/>
      <c r="H30" s="416" t="s">
        <v>801</v>
      </c>
      <c r="I30" s="416"/>
      <c r="J30" s="217">
        <v>0</v>
      </c>
      <c r="K30" s="195"/>
      <c r="L30" s="195"/>
      <c r="M30" s="195"/>
      <c r="N30" s="417" t="s">
        <v>838</v>
      </c>
      <c r="O30" s="418"/>
      <c r="P30" s="217">
        <v>162</v>
      </c>
      <c r="U30" s="210"/>
      <c r="V30" s="255"/>
      <c r="W30" s="225"/>
      <c r="X30" s="240"/>
      <c r="Y30" s="240"/>
      <c r="Z30" s="230"/>
      <c r="AA30" s="230"/>
      <c r="AB30" s="230"/>
      <c r="AC30" s="230"/>
      <c r="AD30" s="230"/>
      <c r="AE30" s="230"/>
      <c r="AF30" s="230"/>
      <c r="AG30" s="230"/>
      <c r="AH30" s="230"/>
      <c r="AI30" s="230"/>
      <c r="AJ30" s="230"/>
    </row>
    <row r="31" spans="1:38" s="186" customFormat="1" ht="14.5" customHeight="1" x14ac:dyDescent="0.3">
      <c r="A31" s="218" t="s">
        <v>802</v>
      </c>
      <c r="B31" s="241">
        <v>43255</v>
      </c>
      <c r="C31" s="241">
        <v>16175</v>
      </c>
      <c r="D31" s="241">
        <v>126192</v>
      </c>
      <c r="E31" s="216">
        <f>SUM(B31:D31)</f>
        <v>185622</v>
      </c>
      <c r="F31" s="184"/>
      <c r="G31" s="184"/>
      <c r="H31" s="402" t="s">
        <v>802</v>
      </c>
      <c r="I31" s="402"/>
      <c r="J31" s="220">
        <v>108850</v>
      </c>
      <c r="K31" s="195"/>
      <c r="L31" s="195"/>
      <c r="M31" s="195"/>
      <c r="N31" s="195"/>
      <c r="O31" s="195"/>
      <c r="P31" s="195"/>
      <c r="Q31" s="195"/>
      <c r="R31" s="195"/>
      <c r="U31" s="210"/>
      <c r="V31" s="255"/>
      <c r="W31" s="225"/>
      <c r="X31" s="240"/>
      <c r="Y31" s="240"/>
      <c r="Z31" s="230"/>
      <c r="AA31" s="230"/>
      <c r="AB31" s="230"/>
      <c r="AC31" s="230"/>
      <c r="AD31" s="230"/>
      <c r="AE31" s="230"/>
      <c r="AF31" s="230"/>
      <c r="AG31" s="230"/>
      <c r="AH31" s="230"/>
      <c r="AI31" s="230"/>
      <c r="AJ31" s="230"/>
    </row>
    <row r="32" spans="1:38" s="186" customFormat="1" ht="12" x14ac:dyDescent="0.3">
      <c r="A32" s="245"/>
      <c r="F32" s="184"/>
      <c r="G32" s="184"/>
      <c r="H32" s="184"/>
      <c r="K32" s="184"/>
      <c r="L32" s="195"/>
      <c r="M32" s="195"/>
      <c r="N32" s="195"/>
      <c r="O32" s="195"/>
      <c r="P32" s="195"/>
      <c r="Q32" s="195"/>
      <c r="R32" s="195"/>
      <c r="S32" s="195"/>
      <c r="T32" s="195"/>
      <c r="U32" s="210"/>
      <c r="V32" s="204"/>
      <c r="W32" s="225"/>
      <c r="X32" s="240"/>
      <c r="Y32" s="240"/>
      <c r="Z32" s="240"/>
      <c r="AA32" s="230"/>
      <c r="AB32" s="230"/>
      <c r="AC32" s="230"/>
      <c r="AD32" s="230"/>
      <c r="AE32" s="230"/>
      <c r="AF32" s="230"/>
      <c r="AG32" s="230"/>
    </row>
    <row r="33" spans="1:45" s="184" customFormat="1" ht="16.5" customHeight="1" x14ac:dyDescent="0.3">
      <c r="A33" s="403"/>
      <c r="B33" s="404"/>
      <c r="C33" s="404"/>
      <c r="D33" s="404"/>
      <c r="E33" s="404"/>
      <c r="F33" s="404"/>
      <c r="G33" s="404"/>
      <c r="H33" s="404"/>
      <c r="I33" s="404"/>
      <c r="J33" s="404"/>
      <c r="K33" s="404"/>
      <c r="L33" s="404"/>
      <c r="M33" s="404"/>
      <c r="N33" s="404"/>
      <c r="O33" s="404"/>
      <c r="P33" s="404"/>
      <c r="Q33" s="404"/>
      <c r="R33" s="404"/>
      <c r="S33" s="404"/>
      <c r="T33" s="404"/>
      <c r="U33" s="404"/>
      <c r="V33" s="405"/>
      <c r="W33" s="195"/>
      <c r="X33" s="195"/>
      <c r="Y33" s="195"/>
      <c r="Z33" s="210"/>
      <c r="AA33" s="205"/>
      <c r="AB33" s="205"/>
      <c r="AC33" s="205"/>
      <c r="AD33" s="205"/>
      <c r="AE33" s="205"/>
      <c r="AF33" s="205"/>
      <c r="AG33" s="205"/>
    </row>
    <row r="34" spans="1:45" s="186" customFormat="1" ht="12" x14ac:dyDescent="0.3">
      <c r="A34" s="245"/>
      <c r="F34" s="184"/>
      <c r="G34" s="184"/>
      <c r="H34" s="184"/>
      <c r="I34" s="230"/>
      <c r="K34" s="184"/>
      <c r="L34" s="195"/>
      <c r="M34" s="195"/>
      <c r="N34" s="195"/>
      <c r="O34" s="195"/>
      <c r="P34" s="195"/>
      <c r="Q34" s="195"/>
      <c r="R34" s="195"/>
      <c r="S34" s="195"/>
      <c r="T34" s="195"/>
      <c r="U34" s="195"/>
      <c r="V34" s="256"/>
      <c r="W34" s="225"/>
      <c r="X34" s="225"/>
      <c r="Y34" s="225"/>
      <c r="Z34" s="240"/>
      <c r="AA34" s="230"/>
      <c r="AB34" s="230"/>
      <c r="AC34" s="230"/>
      <c r="AD34" s="230"/>
      <c r="AE34" s="230"/>
    </row>
    <row r="35" spans="1:45" s="186" customFormat="1" ht="12" x14ac:dyDescent="0.3">
      <c r="A35" s="245"/>
      <c r="F35" s="184"/>
      <c r="G35" s="184"/>
      <c r="H35" s="184"/>
      <c r="I35" s="229"/>
      <c r="J35" s="229"/>
      <c r="K35" s="250"/>
      <c r="L35" s="257"/>
      <c r="M35" s="257"/>
      <c r="N35" s="257"/>
      <c r="O35" s="257"/>
      <c r="P35" s="257"/>
      <c r="Q35" s="257"/>
      <c r="R35" s="257"/>
      <c r="S35" s="257"/>
      <c r="T35" s="195"/>
      <c r="U35" s="195"/>
      <c r="V35" s="204"/>
      <c r="W35" s="225"/>
      <c r="X35" s="225"/>
      <c r="Y35" s="225"/>
      <c r="Z35" s="240"/>
      <c r="AB35" s="230"/>
      <c r="AC35" s="230"/>
      <c r="AE35" s="230"/>
    </row>
    <row r="36" spans="1:45" s="186" customFormat="1" ht="22.5" customHeight="1" x14ac:dyDescent="0.3">
      <c r="A36" s="406" t="s">
        <v>839</v>
      </c>
      <c r="B36" s="407"/>
      <c r="C36" s="407"/>
      <c r="D36" s="407"/>
      <c r="E36" s="407"/>
      <c r="F36" s="246"/>
      <c r="G36" s="184"/>
      <c r="H36" s="184"/>
      <c r="I36" s="184"/>
      <c r="J36" s="184"/>
      <c r="K36" s="184"/>
      <c r="L36" s="184"/>
      <c r="M36" s="184"/>
      <c r="N36" s="184"/>
      <c r="O36" s="184"/>
      <c r="P36" s="184"/>
      <c r="Q36" s="184"/>
      <c r="R36" s="205"/>
      <c r="S36" s="184"/>
      <c r="T36" s="184"/>
      <c r="U36" s="184"/>
      <c r="V36" s="258"/>
      <c r="W36" s="225"/>
      <c r="X36" s="225"/>
      <c r="Y36" s="225"/>
      <c r="Z36" s="240"/>
      <c r="AB36" s="230"/>
      <c r="AC36" s="230"/>
      <c r="AE36" s="230"/>
    </row>
    <row r="37" spans="1:45" s="186" customFormat="1" ht="38.5" customHeight="1" x14ac:dyDescent="0.3">
      <c r="A37" s="259" t="s">
        <v>840</v>
      </c>
      <c r="B37" s="11" t="s">
        <v>813</v>
      </c>
      <c r="C37" s="11" t="s">
        <v>817</v>
      </c>
      <c r="D37" s="11" t="s">
        <v>818</v>
      </c>
      <c r="E37" s="11" t="s">
        <v>819</v>
      </c>
      <c r="F37" s="11" t="s">
        <v>820</v>
      </c>
      <c r="G37" s="11" t="s">
        <v>821</v>
      </c>
      <c r="H37" s="11" t="s">
        <v>822</v>
      </c>
      <c r="I37" s="11" t="s">
        <v>823</v>
      </c>
      <c r="J37" s="11" t="s">
        <v>824</v>
      </c>
      <c r="K37" s="11" t="s">
        <v>825</v>
      </c>
      <c r="L37" s="11" t="s">
        <v>826</v>
      </c>
      <c r="M37" s="11" t="s">
        <v>827</v>
      </c>
      <c r="N37" s="11" t="s">
        <v>828</v>
      </c>
      <c r="O37" s="11" t="s">
        <v>0</v>
      </c>
      <c r="P37" s="184"/>
      <c r="Q37" s="184"/>
      <c r="R37" s="205"/>
      <c r="S37" s="184"/>
      <c r="T37" s="184"/>
      <c r="U37" s="184"/>
      <c r="V37" s="258"/>
      <c r="W37" s="184"/>
      <c r="X37" s="184"/>
      <c r="Y37" s="184"/>
      <c r="Z37" s="184"/>
      <c r="AA37" s="184"/>
      <c r="AB37" s="184"/>
      <c r="AC37" s="184"/>
      <c r="AD37" s="225"/>
      <c r="AE37" s="225"/>
      <c r="AI37" s="230"/>
      <c r="AJ37" s="230"/>
      <c r="AL37" s="230"/>
    </row>
    <row r="38" spans="1:45" s="186" customFormat="1" ht="15.75" customHeight="1" thickBot="1" x14ac:dyDescent="0.35">
      <c r="A38" s="260" t="s">
        <v>0</v>
      </c>
      <c r="B38" s="207"/>
      <c r="C38" s="261">
        <f t="shared" ref="C38:N38" si="1">SUM(C39,C51,C55,C59)</f>
        <v>9722</v>
      </c>
      <c r="D38" s="261">
        <f t="shared" si="1"/>
        <v>12477</v>
      </c>
      <c r="E38" s="261">
        <f t="shared" si="1"/>
        <v>20305</v>
      </c>
      <c r="F38" s="261">
        <f t="shared" si="1"/>
        <v>10904</v>
      </c>
      <c r="G38" s="261">
        <f t="shared" si="1"/>
        <v>10115</v>
      </c>
      <c r="H38" s="261">
        <f t="shared" si="1"/>
        <v>14261</v>
      </c>
      <c r="I38" s="261">
        <f t="shared" si="1"/>
        <v>12675</v>
      </c>
      <c r="J38" s="261">
        <f t="shared" si="1"/>
        <v>12439</v>
      </c>
      <c r="K38" s="261">
        <f t="shared" si="1"/>
        <v>5952</v>
      </c>
      <c r="L38" s="261">
        <f t="shared" si="1"/>
        <v>0</v>
      </c>
      <c r="M38" s="261">
        <f t="shared" si="1"/>
        <v>0</v>
      </c>
      <c r="N38" s="261">
        <f t="shared" si="1"/>
        <v>0</v>
      </c>
      <c r="O38" s="262">
        <f>SUM(C38:N38)</f>
        <v>108850</v>
      </c>
      <c r="P38" s="184"/>
      <c r="Q38" s="184"/>
      <c r="R38" s="205"/>
      <c r="S38" s="184"/>
      <c r="T38" s="184"/>
      <c r="U38" s="205"/>
      <c r="V38" s="263"/>
      <c r="W38" s="205"/>
      <c r="X38" s="205"/>
      <c r="Y38" s="205"/>
      <c r="Z38" s="205"/>
      <c r="AA38" s="205"/>
      <c r="AB38" s="205"/>
      <c r="AC38" s="205"/>
      <c r="AD38" s="240"/>
      <c r="AE38" s="240"/>
      <c r="AF38" s="230"/>
      <c r="AG38" s="230"/>
      <c r="AH38" s="230"/>
      <c r="AI38" s="230"/>
      <c r="AJ38" s="230"/>
      <c r="AL38" s="230"/>
      <c r="AP38" s="230"/>
      <c r="AQ38" s="230"/>
      <c r="AR38" s="230"/>
      <c r="AS38" s="230"/>
    </row>
    <row r="39" spans="1:45" s="186" customFormat="1" ht="15" customHeight="1" thickTop="1" x14ac:dyDescent="0.3">
      <c r="A39" s="264" t="s">
        <v>841</v>
      </c>
      <c r="B39" s="264" t="s">
        <v>0</v>
      </c>
      <c r="C39" s="265">
        <f t="shared" ref="C39:N39" si="2">SUM(C40:C42)</f>
        <v>2678</v>
      </c>
      <c r="D39" s="265">
        <f t="shared" si="2"/>
        <v>2829</v>
      </c>
      <c r="E39" s="265">
        <f t="shared" si="2"/>
        <v>1880</v>
      </c>
      <c r="F39" s="265">
        <f t="shared" si="2"/>
        <v>922</v>
      </c>
      <c r="G39" s="265">
        <f t="shared" si="2"/>
        <v>1014</v>
      </c>
      <c r="H39" s="265">
        <f t="shared" si="2"/>
        <v>1888</v>
      </c>
      <c r="I39" s="265">
        <f t="shared" si="2"/>
        <v>985</v>
      </c>
      <c r="J39" s="265">
        <f t="shared" si="2"/>
        <v>1228</v>
      </c>
      <c r="K39" s="265">
        <f t="shared" si="2"/>
        <v>489</v>
      </c>
      <c r="L39" s="265">
        <f t="shared" si="2"/>
        <v>0</v>
      </c>
      <c r="M39" s="265">
        <f t="shared" si="2"/>
        <v>0</v>
      </c>
      <c r="N39" s="265">
        <f t="shared" si="2"/>
        <v>0</v>
      </c>
      <c r="O39" s="265">
        <f>SUM(C39:N39)</f>
        <v>13913</v>
      </c>
      <c r="P39" s="266"/>
      <c r="Q39" s="266"/>
      <c r="R39" s="205"/>
      <c r="S39" s="205"/>
      <c r="T39" s="205"/>
      <c r="U39" s="205"/>
      <c r="V39" s="263"/>
      <c r="W39" s="205"/>
      <c r="X39" s="205"/>
      <c r="Y39" s="205"/>
      <c r="Z39" s="205"/>
      <c r="AA39" s="205"/>
      <c r="AB39" s="205"/>
      <c r="AC39" s="205"/>
      <c r="AD39" s="240"/>
      <c r="AE39" s="240"/>
      <c r="AF39" s="230"/>
      <c r="AG39" s="230"/>
      <c r="AH39" s="230"/>
      <c r="AI39" s="230"/>
      <c r="AS39" s="230"/>
    </row>
    <row r="40" spans="1:45" s="186" customFormat="1" ht="15" customHeight="1" x14ac:dyDescent="0.3">
      <c r="A40" s="219"/>
      <c r="B40" s="219" t="s">
        <v>829</v>
      </c>
      <c r="C40" s="267">
        <v>170</v>
      </c>
      <c r="D40" s="267">
        <v>177</v>
      </c>
      <c r="E40" s="267">
        <v>204</v>
      </c>
      <c r="F40" s="267">
        <v>148</v>
      </c>
      <c r="G40" s="267">
        <v>190</v>
      </c>
      <c r="H40" s="267">
        <v>245</v>
      </c>
      <c r="I40" s="267">
        <v>208</v>
      </c>
      <c r="J40" s="267">
        <v>234</v>
      </c>
      <c r="K40" s="267">
        <v>123</v>
      </c>
      <c r="L40" s="268">
        <v>0</v>
      </c>
      <c r="M40" s="268">
        <v>0</v>
      </c>
      <c r="N40" s="268">
        <v>0</v>
      </c>
      <c r="O40" s="269">
        <f>O44+O48</f>
        <v>1699</v>
      </c>
      <c r="P40" s="184"/>
      <c r="Q40" s="184"/>
      <c r="R40" s="205"/>
      <c r="S40" s="184"/>
      <c r="T40" s="184"/>
      <c r="U40" s="205"/>
      <c r="V40" s="263"/>
      <c r="W40" s="184"/>
      <c r="X40" s="184"/>
      <c r="Y40" s="184"/>
      <c r="Z40" s="184"/>
      <c r="AA40" s="205"/>
      <c r="AB40" s="205"/>
      <c r="AC40" s="205"/>
      <c r="AD40" s="240"/>
      <c r="AE40" s="240"/>
      <c r="AF40" s="230"/>
      <c r="AG40" s="230"/>
      <c r="AH40" s="230"/>
      <c r="AI40" s="230"/>
      <c r="AS40" s="230"/>
    </row>
    <row r="41" spans="1:45" s="186" customFormat="1" ht="15" customHeight="1" x14ac:dyDescent="0.3">
      <c r="A41" s="219"/>
      <c r="B41" s="219" t="s">
        <v>830</v>
      </c>
      <c r="C41" s="267">
        <v>223</v>
      </c>
      <c r="D41" s="267">
        <v>259</v>
      </c>
      <c r="E41" s="267">
        <v>262</v>
      </c>
      <c r="F41" s="267">
        <v>217</v>
      </c>
      <c r="G41" s="267">
        <v>225</v>
      </c>
      <c r="H41" s="267">
        <v>315</v>
      </c>
      <c r="I41" s="267">
        <v>232</v>
      </c>
      <c r="J41" s="267">
        <v>281</v>
      </c>
      <c r="K41" s="267">
        <v>127</v>
      </c>
      <c r="L41" s="268">
        <v>0</v>
      </c>
      <c r="M41" s="268">
        <v>0</v>
      </c>
      <c r="N41" s="268">
        <v>0</v>
      </c>
      <c r="O41" s="269">
        <f>O45+O49</f>
        <v>2141</v>
      </c>
      <c r="P41" s="184"/>
      <c r="Q41" s="184"/>
      <c r="R41" s="184"/>
      <c r="S41" s="205"/>
      <c r="T41" s="205"/>
      <c r="U41" s="205"/>
      <c r="V41" s="263"/>
      <c r="W41" s="184"/>
      <c r="X41" s="184"/>
      <c r="Y41" s="184"/>
      <c r="Z41" s="184"/>
      <c r="AA41" s="184"/>
      <c r="AB41" s="205"/>
      <c r="AC41" s="184"/>
      <c r="AD41" s="240"/>
      <c r="AE41" s="225"/>
      <c r="AF41" s="230"/>
      <c r="AH41" s="230"/>
      <c r="AS41" s="230"/>
    </row>
    <row r="42" spans="1:45" s="186" customFormat="1" ht="15" customHeight="1" x14ac:dyDescent="0.3">
      <c r="A42" s="219"/>
      <c r="B42" s="219" t="s">
        <v>832</v>
      </c>
      <c r="C42" s="267">
        <v>2285</v>
      </c>
      <c r="D42" s="267">
        <v>2393</v>
      </c>
      <c r="E42" s="267">
        <v>1414</v>
      </c>
      <c r="F42" s="267">
        <v>557</v>
      </c>
      <c r="G42" s="267">
        <v>599</v>
      </c>
      <c r="H42" s="267">
        <v>1328</v>
      </c>
      <c r="I42" s="267">
        <v>545</v>
      </c>
      <c r="J42" s="267">
        <v>713</v>
      </c>
      <c r="K42" s="267">
        <v>239</v>
      </c>
      <c r="L42" s="268">
        <v>0</v>
      </c>
      <c r="M42" s="268">
        <v>0</v>
      </c>
      <c r="N42" s="268">
        <v>0</v>
      </c>
      <c r="O42" s="269">
        <f>O46+O50</f>
        <v>10073</v>
      </c>
      <c r="P42" s="184"/>
      <c r="Q42" s="184"/>
      <c r="R42" s="184"/>
      <c r="S42" s="184"/>
      <c r="T42" s="184"/>
      <c r="U42" s="205"/>
      <c r="V42" s="258"/>
      <c r="W42" s="184"/>
      <c r="X42" s="184"/>
      <c r="Y42" s="184"/>
      <c r="Z42" s="184"/>
      <c r="AA42" s="184"/>
      <c r="AB42" s="205"/>
      <c r="AC42" s="184"/>
      <c r="AD42" s="225"/>
      <c r="AE42" s="225"/>
      <c r="AS42" s="230"/>
    </row>
    <row r="43" spans="1:45" s="186" customFormat="1" ht="14.5" customHeight="1" x14ac:dyDescent="0.3">
      <c r="A43" s="270" t="s">
        <v>842</v>
      </c>
      <c r="B43" s="271" t="s">
        <v>0</v>
      </c>
      <c r="C43" s="272">
        <f t="shared" ref="C43:N43" si="3">SUM(C44:C46)</f>
        <v>1582</v>
      </c>
      <c r="D43" s="272">
        <f t="shared" si="3"/>
        <v>1430</v>
      </c>
      <c r="E43" s="272">
        <f t="shared" si="3"/>
        <v>1047</v>
      </c>
      <c r="F43" s="272">
        <f t="shared" si="3"/>
        <v>481</v>
      </c>
      <c r="G43" s="272">
        <f t="shared" si="3"/>
        <v>466</v>
      </c>
      <c r="H43" s="272">
        <f t="shared" si="3"/>
        <v>1214</v>
      </c>
      <c r="I43" s="272">
        <f t="shared" si="3"/>
        <v>438</v>
      </c>
      <c r="J43" s="272">
        <f t="shared" si="3"/>
        <v>628</v>
      </c>
      <c r="K43" s="272">
        <f t="shared" si="3"/>
        <v>147</v>
      </c>
      <c r="L43" s="272">
        <f t="shared" si="3"/>
        <v>0</v>
      </c>
      <c r="M43" s="272">
        <f t="shared" si="3"/>
        <v>0</v>
      </c>
      <c r="N43" s="272">
        <f t="shared" si="3"/>
        <v>0</v>
      </c>
      <c r="O43" s="272">
        <f t="shared" ref="O43:O62" si="4">SUM(C43:N43)</f>
        <v>7433</v>
      </c>
      <c r="P43" s="266"/>
      <c r="Q43" s="184"/>
      <c r="R43" s="184"/>
      <c r="S43" s="184"/>
      <c r="T43" s="184"/>
      <c r="U43" s="184"/>
      <c r="V43" s="258"/>
      <c r="W43" s="184"/>
      <c r="X43" s="184"/>
      <c r="Y43" s="184"/>
      <c r="Z43" s="184"/>
      <c r="AA43" s="184"/>
      <c r="AB43" s="205"/>
      <c r="AC43" s="184"/>
      <c r="AD43" s="225"/>
      <c r="AE43" s="225"/>
      <c r="AF43" s="230"/>
      <c r="AG43" s="230"/>
      <c r="AH43" s="230"/>
      <c r="AQ43" s="230"/>
      <c r="AR43" s="230"/>
      <c r="AS43" s="230"/>
    </row>
    <row r="44" spans="1:45" s="186" customFormat="1" ht="14.5" customHeight="1" x14ac:dyDescent="0.3">
      <c r="A44" s="73"/>
      <c r="B44" s="219" t="s">
        <v>829</v>
      </c>
      <c r="C44" s="267">
        <v>29</v>
      </c>
      <c r="D44" s="267">
        <v>17</v>
      </c>
      <c r="E44" s="267">
        <v>40</v>
      </c>
      <c r="F44" s="267">
        <v>31</v>
      </c>
      <c r="G44" s="267">
        <v>40</v>
      </c>
      <c r="H44" s="267">
        <v>34</v>
      </c>
      <c r="I44" s="267">
        <v>34</v>
      </c>
      <c r="J44" s="267">
        <v>40</v>
      </c>
      <c r="K44" s="267">
        <v>23</v>
      </c>
      <c r="L44" s="268">
        <v>0</v>
      </c>
      <c r="M44" s="268">
        <v>0</v>
      </c>
      <c r="N44" s="268">
        <v>0</v>
      </c>
      <c r="O44" s="273">
        <f t="shared" si="4"/>
        <v>288</v>
      </c>
      <c r="P44" s="266"/>
      <c r="Q44" s="184"/>
      <c r="R44" s="184"/>
      <c r="S44" s="184"/>
      <c r="T44" s="184"/>
      <c r="U44" s="184"/>
      <c r="V44" s="258"/>
      <c r="W44" s="184"/>
      <c r="X44" s="184"/>
      <c r="Y44" s="184"/>
      <c r="Z44" s="184"/>
      <c r="AA44" s="184"/>
      <c r="AB44" s="205"/>
      <c r="AC44" s="205"/>
      <c r="AD44" s="225"/>
      <c r="AE44" s="240"/>
      <c r="AF44" s="230"/>
      <c r="AG44" s="230"/>
      <c r="AH44" s="230"/>
      <c r="AI44" s="230"/>
      <c r="AQ44" s="230"/>
      <c r="AR44" s="230"/>
      <c r="AS44" s="230"/>
    </row>
    <row r="45" spans="1:45" s="186" customFormat="1" ht="14.5" customHeight="1" x14ac:dyDescent="0.3">
      <c r="A45" s="73"/>
      <c r="B45" s="219" t="s">
        <v>830</v>
      </c>
      <c r="C45" s="267">
        <v>60</v>
      </c>
      <c r="D45" s="267">
        <v>69</v>
      </c>
      <c r="E45" s="267">
        <v>50</v>
      </c>
      <c r="F45" s="267">
        <v>47</v>
      </c>
      <c r="G45" s="267">
        <v>57</v>
      </c>
      <c r="H45" s="267">
        <v>50</v>
      </c>
      <c r="I45" s="267">
        <v>30</v>
      </c>
      <c r="J45" s="267">
        <v>52</v>
      </c>
      <c r="K45" s="267">
        <v>31</v>
      </c>
      <c r="L45" s="268">
        <v>0</v>
      </c>
      <c r="M45" s="268">
        <v>0</v>
      </c>
      <c r="N45" s="268">
        <v>0</v>
      </c>
      <c r="O45" s="273">
        <f t="shared" si="4"/>
        <v>446</v>
      </c>
      <c r="P45" s="184"/>
      <c r="Q45" s="184"/>
      <c r="R45" s="184"/>
      <c r="S45" s="184"/>
      <c r="T45" s="184"/>
      <c r="U45" s="184"/>
      <c r="V45" s="258"/>
      <c r="W45" s="184"/>
      <c r="X45" s="184"/>
      <c r="Y45" s="184"/>
      <c r="Z45" s="184"/>
      <c r="AA45" s="184"/>
      <c r="AB45" s="205"/>
      <c r="AC45" s="184"/>
      <c r="AD45" s="240"/>
      <c r="AE45" s="225"/>
      <c r="AF45" s="230"/>
      <c r="AG45" s="230"/>
      <c r="AH45" s="230"/>
      <c r="AI45" s="230"/>
      <c r="AQ45" s="230"/>
      <c r="AR45" s="230"/>
      <c r="AS45" s="230"/>
    </row>
    <row r="46" spans="1:45" s="186" customFormat="1" ht="14.5" customHeight="1" x14ac:dyDescent="0.3">
      <c r="A46" s="73"/>
      <c r="B46" s="219" t="s">
        <v>832</v>
      </c>
      <c r="C46" s="267">
        <v>1493</v>
      </c>
      <c r="D46" s="267">
        <v>1344</v>
      </c>
      <c r="E46" s="267">
        <v>957</v>
      </c>
      <c r="F46" s="267">
        <v>403</v>
      </c>
      <c r="G46" s="267">
        <v>369</v>
      </c>
      <c r="H46" s="267">
        <v>1130</v>
      </c>
      <c r="I46" s="267">
        <v>374</v>
      </c>
      <c r="J46" s="267">
        <v>536</v>
      </c>
      <c r="K46" s="267">
        <v>93</v>
      </c>
      <c r="L46" s="268">
        <v>0</v>
      </c>
      <c r="M46" s="268">
        <v>0</v>
      </c>
      <c r="N46" s="268">
        <v>0</v>
      </c>
      <c r="O46" s="273">
        <f t="shared" si="4"/>
        <v>6699</v>
      </c>
      <c r="P46" s="184"/>
      <c r="Q46" s="184"/>
      <c r="R46" s="184"/>
      <c r="S46" s="184"/>
      <c r="T46" s="184"/>
      <c r="U46" s="184"/>
      <c r="V46" s="258"/>
      <c r="W46" s="184"/>
      <c r="X46" s="184"/>
      <c r="Y46" s="184"/>
      <c r="Z46" s="184"/>
      <c r="AA46" s="184"/>
      <c r="AB46" s="205"/>
      <c r="AC46" s="184"/>
      <c r="AD46" s="240"/>
      <c r="AE46" s="225"/>
      <c r="AF46" s="230"/>
      <c r="AG46" s="230"/>
      <c r="AH46" s="230"/>
      <c r="AI46" s="230"/>
      <c r="AQ46" s="230"/>
      <c r="AR46" s="230"/>
      <c r="AS46" s="230"/>
    </row>
    <row r="47" spans="1:45" s="186" customFormat="1" ht="14.5" customHeight="1" x14ac:dyDescent="0.3">
      <c r="A47" s="270" t="s">
        <v>843</v>
      </c>
      <c r="B47" s="271" t="s">
        <v>0</v>
      </c>
      <c r="C47" s="272">
        <f t="shared" ref="C47:N47" si="5">SUM(C48:C50)</f>
        <v>1096</v>
      </c>
      <c r="D47" s="272">
        <f t="shared" si="5"/>
        <v>1399</v>
      </c>
      <c r="E47" s="272">
        <f t="shared" si="5"/>
        <v>833</v>
      </c>
      <c r="F47" s="272">
        <f t="shared" si="5"/>
        <v>441</v>
      </c>
      <c r="G47" s="272">
        <f t="shared" si="5"/>
        <v>548</v>
      </c>
      <c r="H47" s="272">
        <f t="shared" si="5"/>
        <v>674</v>
      </c>
      <c r="I47" s="272">
        <f t="shared" si="5"/>
        <v>547</v>
      </c>
      <c r="J47" s="272">
        <f t="shared" si="5"/>
        <v>600</v>
      </c>
      <c r="K47" s="272">
        <f t="shared" si="5"/>
        <v>342</v>
      </c>
      <c r="L47" s="272">
        <f t="shared" si="5"/>
        <v>0</v>
      </c>
      <c r="M47" s="272">
        <f t="shared" si="5"/>
        <v>0</v>
      </c>
      <c r="N47" s="272">
        <f t="shared" si="5"/>
        <v>0</v>
      </c>
      <c r="O47" s="272">
        <f t="shared" si="4"/>
        <v>6480</v>
      </c>
      <c r="P47" s="184"/>
      <c r="Q47" s="184"/>
      <c r="R47" s="184"/>
      <c r="S47" s="184"/>
      <c r="T47" s="184"/>
      <c r="U47" s="184"/>
      <c r="V47" s="258"/>
      <c r="W47" s="184"/>
      <c r="X47" s="184"/>
      <c r="Y47" s="184"/>
      <c r="Z47" s="184"/>
      <c r="AA47" s="184"/>
      <c r="AB47" s="205"/>
      <c r="AC47" s="184"/>
      <c r="AD47" s="240"/>
      <c r="AE47" s="225"/>
      <c r="AF47" s="230"/>
      <c r="AG47" s="230"/>
      <c r="AH47" s="230"/>
      <c r="AI47" s="230"/>
      <c r="AP47" s="230"/>
      <c r="AQ47" s="230"/>
      <c r="AR47" s="230"/>
      <c r="AS47" s="230"/>
    </row>
    <row r="48" spans="1:45" s="186" customFormat="1" ht="14.5" customHeight="1" x14ac:dyDescent="0.3">
      <c r="A48" s="73"/>
      <c r="B48" s="219" t="s">
        <v>829</v>
      </c>
      <c r="C48" s="267">
        <v>141</v>
      </c>
      <c r="D48" s="267">
        <v>160</v>
      </c>
      <c r="E48" s="267">
        <v>164</v>
      </c>
      <c r="F48" s="267">
        <v>117</v>
      </c>
      <c r="G48" s="267">
        <v>150</v>
      </c>
      <c r="H48" s="267">
        <v>211</v>
      </c>
      <c r="I48" s="267">
        <v>174</v>
      </c>
      <c r="J48" s="267">
        <v>194</v>
      </c>
      <c r="K48" s="267">
        <v>100</v>
      </c>
      <c r="L48" s="268">
        <v>0</v>
      </c>
      <c r="M48" s="268">
        <v>0</v>
      </c>
      <c r="N48" s="268">
        <v>0</v>
      </c>
      <c r="O48" s="273">
        <f t="shared" si="4"/>
        <v>1411</v>
      </c>
      <c r="P48" s="184"/>
      <c r="Q48" s="184"/>
      <c r="R48" s="184"/>
      <c r="S48" s="184"/>
      <c r="T48" s="184"/>
      <c r="U48" s="184"/>
      <c r="V48" s="263"/>
      <c r="W48" s="205"/>
      <c r="X48" s="205"/>
      <c r="Y48" s="205"/>
      <c r="Z48" s="205"/>
      <c r="AA48" s="205"/>
      <c r="AB48" s="205"/>
      <c r="AC48" s="205"/>
      <c r="AD48" s="240"/>
      <c r="AE48" s="240"/>
      <c r="AF48" s="230"/>
      <c r="AG48" s="230"/>
      <c r="AH48" s="230"/>
      <c r="AI48" s="230"/>
      <c r="AP48" s="230"/>
      <c r="AQ48" s="230"/>
      <c r="AR48" s="230"/>
      <c r="AS48" s="230"/>
    </row>
    <row r="49" spans="1:45" s="186" customFormat="1" ht="14.5" customHeight="1" x14ac:dyDescent="0.3">
      <c r="A49" s="73"/>
      <c r="B49" s="219" t="s">
        <v>830</v>
      </c>
      <c r="C49" s="267">
        <v>163</v>
      </c>
      <c r="D49" s="267">
        <v>190</v>
      </c>
      <c r="E49" s="267">
        <v>212</v>
      </c>
      <c r="F49" s="267">
        <v>170</v>
      </c>
      <c r="G49" s="267">
        <v>168</v>
      </c>
      <c r="H49" s="267">
        <v>265</v>
      </c>
      <c r="I49" s="267">
        <v>202</v>
      </c>
      <c r="J49" s="267">
        <v>229</v>
      </c>
      <c r="K49" s="267">
        <v>96</v>
      </c>
      <c r="L49" s="268">
        <v>0</v>
      </c>
      <c r="M49" s="268">
        <v>0</v>
      </c>
      <c r="N49" s="268">
        <v>0</v>
      </c>
      <c r="O49" s="273">
        <f t="shared" si="4"/>
        <v>1695</v>
      </c>
      <c r="P49" s="184"/>
      <c r="Q49" s="184"/>
      <c r="R49" s="184"/>
      <c r="S49" s="184"/>
      <c r="T49" s="184"/>
      <c r="U49" s="205"/>
      <c r="V49" s="263"/>
      <c r="W49" s="205"/>
      <c r="X49" s="205"/>
      <c r="Y49" s="205"/>
      <c r="Z49" s="205"/>
      <c r="AA49" s="205"/>
      <c r="AB49" s="205"/>
      <c r="AC49" s="205"/>
      <c r="AD49" s="240"/>
      <c r="AE49" s="240"/>
      <c r="AF49" s="230"/>
      <c r="AG49" s="230"/>
      <c r="AH49" s="230"/>
      <c r="AI49" s="230"/>
      <c r="AL49" s="230"/>
      <c r="AM49" s="230"/>
      <c r="AN49" s="230"/>
      <c r="AO49" s="230"/>
      <c r="AP49" s="230"/>
      <c r="AQ49" s="230"/>
      <c r="AR49" s="230"/>
      <c r="AS49" s="230"/>
    </row>
    <row r="50" spans="1:45" s="186" customFormat="1" ht="14.5" customHeight="1" x14ac:dyDescent="0.3">
      <c r="A50" s="73"/>
      <c r="B50" s="219" t="s">
        <v>832</v>
      </c>
      <c r="C50" s="267">
        <v>792</v>
      </c>
      <c r="D50" s="267">
        <v>1049</v>
      </c>
      <c r="E50" s="267">
        <v>457</v>
      </c>
      <c r="F50" s="267">
        <v>154</v>
      </c>
      <c r="G50" s="267">
        <v>230</v>
      </c>
      <c r="H50" s="267">
        <v>198</v>
      </c>
      <c r="I50" s="267">
        <v>171</v>
      </c>
      <c r="J50" s="267">
        <v>177</v>
      </c>
      <c r="K50" s="267">
        <v>146</v>
      </c>
      <c r="L50" s="268">
        <v>0</v>
      </c>
      <c r="M50" s="268">
        <v>0</v>
      </c>
      <c r="N50" s="268">
        <v>0</v>
      </c>
      <c r="O50" s="273">
        <f t="shared" si="4"/>
        <v>3374</v>
      </c>
      <c r="P50" s="184"/>
      <c r="Q50" s="184"/>
      <c r="R50" s="184"/>
      <c r="S50" s="184"/>
      <c r="T50" s="184"/>
      <c r="U50" s="184"/>
      <c r="V50" s="258"/>
      <c r="W50" s="184"/>
      <c r="X50" s="184"/>
      <c r="Y50" s="184"/>
      <c r="Z50" s="184"/>
      <c r="AA50" s="184"/>
      <c r="AB50" s="184"/>
      <c r="AC50" s="184"/>
      <c r="AD50" s="240"/>
      <c r="AE50" s="225"/>
      <c r="AF50" s="230"/>
      <c r="AG50" s="230"/>
      <c r="AH50" s="230"/>
      <c r="AI50" s="230"/>
      <c r="AP50" s="230"/>
      <c r="AQ50" s="230"/>
      <c r="AR50" s="230"/>
      <c r="AS50" s="230"/>
    </row>
    <row r="51" spans="1:45" s="186" customFormat="1" ht="14.5" customHeight="1" x14ac:dyDescent="0.3">
      <c r="A51" s="271" t="s">
        <v>1</v>
      </c>
      <c r="B51" s="271" t="s">
        <v>0</v>
      </c>
      <c r="C51" s="272">
        <f t="shared" ref="C51:N51" si="6">SUM(C52:C54)</f>
        <v>1866</v>
      </c>
      <c r="D51" s="272">
        <f t="shared" si="6"/>
        <v>2177</v>
      </c>
      <c r="E51" s="272">
        <f t="shared" si="6"/>
        <v>5444</v>
      </c>
      <c r="F51" s="272">
        <f t="shared" si="6"/>
        <v>3209</v>
      </c>
      <c r="G51" s="272">
        <f t="shared" si="6"/>
        <v>2806</v>
      </c>
      <c r="H51" s="272">
        <f t="shared" si="6"/>
        <v>2666</v>
      </c>
      <c r="I51" s="272">
        <f t="shared" si="6"/>
        <v>3119</v>
      </c>
      <c r="J51" s="272">
        <f t="shared" si="6"/>
        <v>4385</v>
      </c>
      <c r="K51" s="272">
        <f t="shared" si="6"/>
        <v>1774</v>
      </c>
      <c r="L51" s="272">
        <f t="shared" si="6"/>
        <v>0</v>
      </c>
      <c r="M51" s="272">
        <f t="shared" si="6"/>
        <v>0</v>
      </c>
      <c r="N51" s="272">
        <f t="shared" si="6"/>
        <v>0</v>
      </c>
      <c r="O51" s="272">
        <f t="shared" si="4"/>
        <v>27446</v>
      </c>
      <c r="P51" s="184"/>
      <c r="Q51" s="184"/>
      <c r="R51" s="184"/>
      <c r="S51" s="184"/>
      <c r="T51" s="184"/>
      <c r="U51" s="205"/>
      <c r="V51" s="263"/>
      <c r="W51" s="205"/>
      <c r="X51" s="205"/>
      <c r="Y51" s="205"/>
      <c r="Z51" s="205"/>
      <c r="AA51" s="205"/>
      <c r="AB51" s="205"/>
      <c r="AC51" s="205"/>
      <c r="AD51" s="240"/>
      <c r="AE51" s="240"/>
      <c r="AF51" s="230"/>
      <c r="AG51" s="230"/>
      <c r="AH51" s="230"/>
      <c r="AI51" s="230"/>
      <c r="AP51" s="230"/>
      <c r="AQ51" s="230"/>
      <c r="AR51" s="230"/>
      <c r="AS51" s="230"/>
    </row>
    <row r="52" spans="1:45" s="186" customFormat="1" ht="14.5" customHeight="1" x14ac:dyDescent="0.3">
      <c r="A52" s="219"/>
      <c r="B52" s="219" t="s">
        <v>829</v>
      </c>
      <c r="C52" s="267">
        <v>133</v>
      </c>
      <c r="D52" s="267">
        <v>161</v>
      </c>
      <c r="E52" s="267">
        <v>210</v>
      </c>
      <c r="F52" s="267">
        <v>141</v>
      </c>
      <c r="G52" s="267">
        <v>145</v>
      </c>
      <c r="H52" s="267">
        <v>146</v>
      </c>
      <c r="I52" s="267">
        <v>136</v>
      </c>
      <c r="J52" s="267">
        <v>187</v>
      </c>
      <c r="K52" s="267">
        <v>71</v>
      </c>
      <c r="L52" s="268">
        <v>0</v>
      </c>
      <c r="M52" s="268">
        <v>0</v>
      </c>
      <c r="N52" s="268">
        <v>0</v>
      </c>
      <c r="O52" s="273">
        <f t="shared" si="4"/>
        <v>1330</v>
      </c>
      <c r="P52" s="184"/>
      <c r="Q52" s="184"/>
      <c r="R52" s="184"/>
      <c r="S52" s="184"/>
      <c r="T52" s="184"/>
      <c r="U52" s="184"/>
      <c r="V52" s="258"/>
      <c r="W52" s="184"/>
      <c r="X52" s="205"/>
      <c r="Y52" s="205"/>
      <c r="Z52" s="205"/>
      <c r="AA52" s="205"/>
      <c r="AB52" s="205"/>
      <c r="AC52" s="205"/>
      <c r="AD52" s="240"/>
      <c r="AE52" s="240"/>
      <c r="AF52" s="230"/>
      <c r="AG52" s="230"/>
      <c r="AH52" s="230"/>
      <c r="AI52" s="230"/>
      <c r="AO52" s="230"/>
      <c r="AP52" s="230"/>
      <c r="AQ52" s="230"/>
      <c r="AR52" s="230"/>
      <c r="AS52" s="230"/>
    </row>
    <row r="53" spans="1:45" s="186" customFormat="1" ht="14.5" customHeight="1" x14ac:dyDescent="0.3">
      <c r="A53" s="219"/>
      <c r="B53" s="219" t="s">
        <v>830</v>
      </c>
      <c r="C53" s="267">
        <v>259</v>
      </c>
      <c r="D53" s="267">
        <v>302</v>
      </c>
      <c r="E53" s="267">
        <v>412</v>
      </c>
      <c r="F53" s="267">
        <v>308</v>
      </c>
      <c r="G53" s="267">
        <v>297</v>
      </c>
      <c r="H53" s="267">
        <v>346</v>
      </c>
      <c r="I53" s="267">
        <v>346</v>
      </c>
      <c r="J53" s="267">
        <v>370</v>
      </c>
      <c r="K53" s="267">
        <v>187</v>
      </c>
      <c r="L53" s="268">
        <v>0</v>
      </c>
      <c r="M53" s="268">
        <v>0</v>
      </c>
      <c r="N53" s="268">
        <v>0</v>
      </c>
      <c r="O53" s="273">
        <f t="shared" si="4"/>
        <v>2827</v>
      </c>
      <c r="P53" s="184"/>
      <c r="Q53" s="184"/>
      <c r="R53" s="184"/>
      <c r="S53" s="184"/>
      <c r="T53" s="184"/>
      <c r="U53" s="184"/>
      <c r="V53" s="258"/>
      <c r="W53" s="184"/>
      <c r="X53" s="184"/>
      <c r="Y53" s="205"/>
      <c r="Z53" s="205"/>
      <c r="AA53" s="205"/>
      <c r="AB53" s="205"/>
      <c r="AC53" s="184"/>
      <c r="AD53" s="240"/>
      <c r="AE53" s="225"/>
      <c r="AF53" s="230"/>
      <c r="AG53" s="230"/>
      <c r="AH53" s="230"/>
      <c r="AI53" s="230"/>
      <c r="AP53" s="230"/>
      <c r="AQ53" s="230"/>
      <c r="AR53" s="230"/>
      <c r="AS53" s="230"/>
    </row>
    <row r="54" spans="1:45" s="186" customFormat="1" ht="14.5" customHeight="1" x14ac:dyDescent="0.3">
      <c r="A54" s="219"/>
      <c r="B54" s="219" t="s">
        <v>832</v>
      </c>
      <c r="C54" s="267">
        <v>1474</v>
      </c>
      <c r="D54" s="267">
        <v>1714</v>
      </c>
      <c r="E54" s="267">
        <v>4822</v>
      </c>
      <c r="F54" s="267">
        <v>2760</v>
      </c>
      <c r="G54" s="267">
        <v>2364</v>
      </c>
      <c r="H54" s="267">
        <v>2174</v>
      </c>
      <c r="I54" s="267">
        <v>2637</v>
      </c>
      <c r="J54" s="267">
        <v>3828</v>
      </c>
      <c r="K54" s="267">
        <v>1516</v>
      </c>
      <c r="L54" s="268">
        <v>0</v>
      </c>
      <c r="M54" s="268">
        <v>0</v>
      </c>
      <c r="N54" s="268">
        <v>0</v>
      </c>
      <c r="O54" s="273">
        <f t="shared" si="4"/>
        <v>23289</v>
      </c>
      <c r="P54" s="184"/>
      <c r="Q54" s="184"/>
      <c r="R54" s="184"/>
      <c r="S54" s="184"/>
      <c r="T54" s="184"/>
      <c r="U54" s="184"/>
      <c r="V54" s="258"/>
      <c r="W54" s="184"/>
      <c r="X54" s="205"/>
      <c r="Y54" s="205"/>
      <c r="Z54" s="205"/>
      <c r="AA54" s="205"/>
      <c r="AB54" s="205"/>
      <c r="AC54" s="205"/>
      <c r="AD54" s="240"/>
      <c r="AE54" s="240"/>
      <c r="AF54" s="230"/>
      <c r="AG54" s="230"/>
      <c r="AH54" s="230"/>
      <c r="AI54" s="230"/>
      <c r="AP54" s="230"/>
      <c r="AQ54" s="230"/>
      <c r="AR54" s="230"/>
      <c r="AS54" s="230"/>
    </row>
    <row r="55" spans="1:45" s="186" customFormat="1" ht="14.5" customHeight="1" x14ac:dyDescent="0.3">
      <c r="A55" s="271" t="s">
        <v>2</v>
      </c>
      <c r="B55" s="271" t="s">
        <v>0</v>
      </c>
      <c r="C55" s="272">
        <f t="shared" ref="C55:N55" si="7">SUM(C56:C58)</f>
        <v>435</v>
      </c>
      <c r="D55" s="272">
        <f t="shared" si="7"/>
        <v>310</v>
      </c>
      <c r="E55" s="272">
        <f t="shared" si="7"/>
        <v>1227</v>
      </c>
      <c r="F55" s="272">
        <f t="shared" si="7"/>
        <v>787</v>
      </c>
      <c r="G55" s="272">
        <f t="shared" si="7"/>
        <v>252</v>
      </c>
      <c r="H55" s="272">
        <f t="shared" si="7"/>
        <v>327</v>
      </c>
      <c r="I55" s="272">
        <f t="shared" si="7"/>
        <v>335</v>
      </c>
      <c r="J55" s="272">
        <f t="shared" si="7"/>
        <v>301</v>
      </c>
      <c r="K55" s="272">
        <f t="shared" si="7"/>
        <v>146</v>
      </c>
      <c r="L55" s="272">
        <f t="shared" si="7"/>
        <v>0</v>
      </c>
      <c r="M55" s="272">
        <f t="shared" si="7"/>
        <v>0</v>
      </c>
      <c r="N55" s="272">
        <f t="shared" si="7"/>
        <v>0</v>
      </c>
      <c r="O55" s="272">
        <f t="shared" si="4"/>
        <v>4120</v>
      </c>
      <c r="P55" s="184"/>
      <c r="Q55" s="184"/>
      <c r="R55" s="184"/>
      <c r="S55" s="184"/>
      <c r="T55" s="184"/>
      <c r="U55" s="184"/>
      <c r="V55" s="258"/>
      <c r="W55" s="184"/>
      <c r="X55" s="184"/>
      <c r="Y55" s="205"/>
      <c r="Z55" s="205"/>
      <c r="AA55" s="184"/>
      <c r="AB55" s="205"/>
      <c r="AC55" s="184"/>
      <c r="AD55" s="225"/>
      <c r="AE55" s="225"/>
      <c r="AF55" s="230"/>
      <c r="AG55" s="230"/>
      <c r="AH55" s="230"/>
      <c r="AI55" s="230"/>
      <c r="AP55" s="230"/>
      <c r="AQ55" s="230"/>
      <c r="AR55" s="230"/>
      <c r="AS55" s="230"/>
    </row>
    <row r="56" spans="1:45" s="186" customFormat="1" ht="14.5" customHeight="1" x14ac:dyDescent="0.3">
      <c r="A56" s="219"/>
      <c r="B56" s="219" t="s">
        <v>829</v>
      </c>
      <c r="C56" s="267">
        <v>120</v>
      </c>
      <c r="D56" s="267">
        <v>137</v>
      </c>
      <c r="E56" s="267">
        <v>240</v>
      </c>
      <c r="F56" s="267">
        <v>200</v>
      </c>
      <c r="G56" s="267">
        <v>143</v>
      </c>
      <c r="H56" s="267">
        <v>185</v>
      </c>
      <c r="I56" s="267">
        <v>148</v>
      </c>
      <c r="J56" s="267">
        <v>157</v>
      </c>
      <c r="K56" s="267">
        <v>86</v>
      </c>
      <c r="L56" s="268">
        <v>0</v>
      </c>
      <c r="M56" s="268">
        <v>0</v>
      </c>
      <c r="N56" s="268">
        <v>0</v>
      </c>
      <c r="O56" s="273">
        <f t="shared" si="4"/>
        <v>1416</v>
      </c>
      <c r="P56" s="184"/>
      <c r="Q56" s="184"/>
      <c r="R56" s="184"/>
      <c r="S56" s="184"/>
      <c r="T56" s="184"/>
      <c r="U56" s="184"/>
      <c r="V56" s="258"/>
      <c r="W56" s="184"/>
      <c r="X56" s="184"/>
      <c r="Y56" s="184"/>
      <c r="Z56" s="205"/>
      <c r="AA56" s="205"/>
      <c r="AB56" s="205"/>
      <c r="AC56" s="205"/>
      <c r="AD56" s="240"/>
      <c r="AE56" s="240"/>
      <c r="AF56" s="230"/>
      <c r="AG56" s="230"/>
      <c r="AH56" s="230"/>
      <c r="AP56" s="230"/>
      <c r="AQ56" s="230"/>
      <c r="AR56" s="230"/>
      <c r="AS56" s="230"/>
    </row>
    <row r="57" spans="1:45" s="186" customFormat="1" ht="14.5" customHeight="1" x14ac:dyDescent="0.3">
      <c r="A57" s="219"/>
      <c r="B57" s="219" t="s">
        <v>830</v>
      </c>
      <c r="C57" s="267">
        <v>44</v>
      </c>
      <c r="D57" s="267">
        <v>47</v>
      </c>
      <c r="E57" s="267">
        <v>86</v>
      </c>
      <c r="F57" s="267">
        <v>51</v>
      </c>
      <c r="G57" s="267">
        <v>31</v>
      </c>
      <c r="H57" s="267">
        <v>32</v>
      </c>
      <c r="I57" s="267">
        <v>40</v>
      </c>
      <c r="J57" s="267">
        <v>37</v>
      </c>
      <c r="K57" s="267">
        <v>14</v>
      </c>
      <c r="L57" s="268">
        <v>0</v>
      </c>
      <c r="M57" s="268">
        <v>0</v>
      </c>
      <c r="N57" s="268">
        <v>0</v>
      </c>
      <c r="O57" s="273">
        <f t="shared" si="4"/>
        <v>382</v>
      </c>
      <c r="P57" s="184"/>
      <c r="Q57" s="184"/>
      <c r="R57" s="184"/>
      <c r="S57" s="184"/>
      <c r="T57" s="184"/>
      <c r="U57" s="184"/>
      <c r="V57" s="263"/>
      <c r="W57" s="205"/>
      <c r="X57" s="205"/>
      <c r="Y57" s="205"/>
      <c r="Z57" s="205"/>
      <c r="AA57" s="205"/>
      <c r="AB57" s="205"/>
      <c r="AC57" s="205"/>
      <c r="AD57" s="240"/>
      <c r="AE57" s="240"/>
      <c r="AF57" s="230"/>
      <c r="AG57" s="230"/>
      <c r="AH57" s="230"/>
      <c r="AI57" s="230"/>
      <c r="AP57" s="230"/>
      <c r="AQ57" s="230"/>
      <c r="AR57" s="230"/>
      <c r="AS57" s="230"/>
    </row>
    <row r="58" spans="1:45" s="186" customFormat="1" ht="14.5" customHeight="1" x14ac:dyDescent="0.3">
      <c r="A58" s="219"/>
      <c r="B58" s="219" t="s">
        <v>832</v>
      </c>
      <c r="C58" s="267">
        <v>271</v>
      </c>
      <c r="D58" s="267">
        <v>126</v>
      </c>
      <c r="E58" s="267">
        <v>901</v>
      </c>
      <c r="F58" s="267">
        <v>536</v>
      </c>
      <c r="G58" s="267">
        <v>78</v>
      </c>
      <c r="H58" s="267">
        <v>110</v>
      </c>
      <c r="I58" s="267">
        <v>147</v>
      </c>
      <c r="J58" s="267">
        <v>107</v>
      </c>
      <c r="K58" s="267">
        <v>46</v>
      </c>
      <c r="L58" s="268">
        <v>0</v>
      </c>
      <c r="M58" s="268">
        <v>0</v>
      </c>
      <c r="N58" s="268">
        <v>0</v>
      </c>
      <c r="O58" s="273">
        <f t="shared" si="4"/>
        <v>2322</v>
      </c>
      <c r="P58" s="184"/>
      <c r="Q58" s="184"/>
      <c r="R58" s="184"/>
      <c r="S58" s="184"/>
      <c r="T58" s="184"/>
      <c r="U58" s="184"/>
      <c r="V58" s="263"/>
      <c r="W58" s="205"/>
      <c r="X58" s="205"/>
      <c r="Y58" s="205"/>
      <c r="Z58" s="205"/>
      <c r="AA58" s="205"/>
      <c r="AB58" s="205"/>
      <c r="AC58" s="184"/>
      <c r="AD58" s="225"/>
      <c r="AE58" s="225"/>
      <c r="AF58" s="230"/>
      <c r="AG58" s="230"/>
      <c r="AI58" s="230"/>
      <c r="AP58" s="230"/>
      <c r="AQ58" s="230"/>
      <c r="AR58" s="230"/>
      <c r="AS58" s="230"/>
    </row>
    <row r="59" spans="1:45" s="186" customFormat="1" ht="14.5" customHeight="1" x14ac:dyDescent="0.3">
      <c r="A59" s="271" t="s">
        <v>844</v>
      </c>
      <c r="B59" s="271" t="s">
        <v>0</v>
      </c>
      <c r="C59" s="272">
        <f t="shared" ref="C59:N59" si="8">SUM(C60:C62)</f>
        <v>4743</v>
      </c>
      <c r="D59" s="272">
        <f t="shared" si="8"/>
        <v>7161</v>
      </c>
      <c r="E59" s="272">
        <f t="shared" si="8"/>
        <v>11754</v>
      </c>
      <c r="F59" s="272">
        <f t="shared" si="8"/>
        <v>5986</v>
      </c>
      <c r="G59" s="272">
        <f t="shared" si="8"/>
        <v>6043</v>
      </c>
      <c r="H59" s="272">
        <f t="shared" si="8"/>
        <v>9380</v>
      </c>
      <c r="I59" s="272">
        <f t="shared" si="8"/>
        <v>8236</v>
      </c>
      <c r="J59" s="272">
        <f t="shared" si="8"/>
        <v>6525</v>
      </c>
      <c r="K59" s="272">
        <f t="shared" si="8"/>
        <v>3543</v>
      </c>
      <c r="L59" s="272">
        <f t="shared" si="8"/>
        <v>0</v>
      </c>
      <c r="M59" s="272">
        <f t="shared" si="8"/>
        <v>0</v>
      </c>
      <c r="N59" s="272">
        <f t="shared" si="8"/>
        <v>0</v>
      </c>
      <c r="O59" s="272">
        <f t="shared" si="4"/>
        <v>63371</v>
      </c>
      <c r="P59" s="184"/>
      <c r="Q59" s="184"/>
      <c r="R59" s="184"/>
      <c r="S59" s="184"/>
      <c r="T59" s="184"/>
      <c r="U59" s="184"/>
      <c r="V59" s="258"/>
      <c r="W59" s="184"/>
      <c r="X59" s="184"/>
      <c r="Y59" s="205"/>
      <c r="Z59" s="205"/>
      <c r="AA59" s="205"/>
      <c r="AB59" s="205"/>
      <c r="AC59" s="205"/>
      <c r="AD59" s="240"/>
      <c r="AE59" s="240"/>
      <c r="AF59" s="230"/>
      <c r="AG59" s="230"/>
      <c r="AH59" s="230"/>
      <c r="AI59" s="230"/>
      <c r="AP59" s="230"/>
      <c r="AQ59" s="230"/>
      <c r="AR59" s="230"/>
      <c r="AS59" s="230"/>
    </row>
    <row r="60" spans="1:45" s="186" customFormat="1" ht="14.5" customHeight="1" x14ac:dyDescent="0.3">
      <c r="A60" s="219"/>
      <c r="B60" s="219" t="s">
        <v>829</v>
      </c>
      <c r="C60" s="267">
        <v>29</v>
      </c>
      <c r="D60" s="267">
        <v>39</v>
      </c>
      <c r="E60" s="267">
        <v>67</v>
      </c>
      <c r="F60" s="267">
        <v>34</v>
      </c>
      <c r="G60" s="267">
        <v>29</v>
      </c>
      <c r="H60" s="267">
        <v>48</v>
      </c>
      <c r="I60" s="267">
        <v>50</v>
      </c>
      <c r="J60" s="267">
        <v>43</v>
      </c>
      <c r="K60" s="267">
        <v>24</v>
      </c>
      <c r="L60" s="268">
        <v>0</v>
      </c>
      <c r="M60" s="268">
        <v>0</v>
      </c>
      <c r="N60" s="268">
        <v>0</v>
      </c>
      <c r="O60" s="273">
        <f t="shared" si="4"/>
        <v>363</v>
      </c>
      <c r="P60" s="184"/>
      <c r="Q60" s="184"/>
      <c r="R60" s="184"/>
      <c r="S60" s="184"/>
      <c r="T60" s="184"/>
      <c r="U60" s="184"/>
      <c r="V60" s="258"/>
      <c r="W60" s="184"/>
      <c r="X60" s="184"/>
      <c r="Y60" s="205"/>
      <c r="Z60" s="205"/>
      <c r="AA60" s="205"/>
      <c r="AB60" s="205"/>
      <c r="AC60" s="205"/>
      <c r="AD60" s="240"/>
      <c r="AE60" s="240"/>
      <c r="AF60" s="230"/>
      <c r="AG60" s="230"/>
      <c r="AH60" s="230"/>
      <c r="AP60" s="230"/>
      <c r="AQ60" s="230"/>
      <c r="AR60" s="230"/>
      <c r="AS60" s="230"/>
    </row>
    <row r="61" spans="1:45" s="186" customFormat="1" ht="14.5" customHeight="1" x14ac:dyDescent="0.3">
      <c r="A61" s="219"/>
      <c r="B61" s="219" t="s">
        <v>830</v>
      </c>
      <c r="C61" s="267">
        <v>48</v>
      </c>
      <c r="D61" s="267">
        <v>59</v>
      </c>
      <c r="E61" s="267">
        <v>150</v>
      </c>
      <c r="F61" s="267">
        <v>44</v>
      </c>
      <c r="G61" s="267">
        <v>70</v>
      </c>
      <c r="H61" s="267">
        <v>96</v>
      </c>
      <c r="I61" s="267">
        <v>45</v>
      </c>
      <c r="J61" s="267">
        <v>38</v>
      </c>
      <c r="K61" s="267">
        <v>16</v>
      </c>
      <c r="L61" s="268">
        <v>0</v>
      </c>
      <c r="M61" s="268">
        <v>0</v>
      </c>
      <c r="N61" s="268">
        <v>0</v>
      </c>
      <c r="O61" s="273">
        <f t="shared" si="4"/>
        <v>566</v>
      </c>
      <c r="P61" s="184"/>
      <c r="Q61" s="184"/>
      <c r="R61" s="184"/>
      <c r="S61" s="184"/>
      <c r="T61" s="184"/>
      <c r="U61" s="184"/>
      <c r="V61" s="258"/>
      <c r="W61" s="184"/>
      <c r="X61" s="184"/>
      <c r="Y61" s="205"/>
      <c r="Z61" s="205"/>
      <c r="AA61" s="205"/>
      <c r="AB61" s="205"/>
      <c r="AC61" s="205"/>
      <c r="AD61" s="240"/>
      <c r="AE61" s="240"/>
      <c r="AF61" s="230"/>
      <c r="AG61" s="230"/>
      <c r="AH61" s="230"/>
      <c r="AK61" s="230"/>
      <c r="AL61" s="230"/>
      <c r="AM61" s="230"/>
      <c r="AN61" s="230"/>
      <c r="AO61" s="230"/>
      <c r="AP61" s="230"/>
      <c r="AQ61" s="230"/>
      <c r="AR61" s="230"/>
      <c r="AS61" s="230"/>
    </row>
    <row r="62" spans="1:45" s="186" customFormat="1" ht="14.5" customHeight="1" x14ac:dyDescent="0.3">
      <c r="A62" s="219"/>
      <c r="B62" s="219" t="s">
        <v>832</v>
      </c>
      <c r="C62" s="267">
        <v>4666</v>
      </c>
      <c r="D62" s="267">
        <v>7063</v>
      </c>
      <c r="E62" s="267">
        <v>11537</v>
      </c>
      <c r="F62" s="267">
        <v>5908</v>
      </c>
      <c r="G62" s="267">
        <v>5944</v>
      </c>
      <c r="H62" s="267">
        <v>9236</v>
      </c>
      <c r="I62" s="267">
        <v>8141</v>
      </c>
      <c r="J62" s="267">
        <v>6444</v>
      </c>
      <c r="K62" s="267">
        <v>3503</v>
      </c>
      <c r="L62" s="268">
        <v>0</v>
      </c>
      <c r="M62" s="268">
        <v>0</v>
      </c>
      <c r="N62" s="268">
        <v>0</v>
      </c>
      <c r="O62" s="273">
        <f t="shared" si="4"/>
        <v>62442</v>
      </c>
      <c r="P62" s="184"/>
      <c r="Q62" s="184"/>
      <c r="R62" s="184"/>
      <c r="S62" s="184"/>
      <c r="T62" s="184"/>
      <c r="U62" s="184"/>
      <c r="V62" s="258"/>
      <c r="W62" s="184"/>
      <c r="X62" s="184"/>
      <c r="Y62" s="205"/>
      <c r="Z62" s="205"/>
      <c r="AA62" s="205"/>
      <c r="AB62" s="205"/>
      <c r="AC62" s="205"/>
      <c r="AD62" s="240"/>
      <c r="AE62" s="240"/>
      <c r="AF62" s="230"/>
      <c r="AG62" s="230"/>
      <c r="AI62" s="230"/>
      <c r="AP62" s="230"/>
      <c r="AQ62" s="230"/>
      <c r="AR62" s="230"/>
      <c r="AS62" s="230"/>
    </row>
    <row r="63" spans="1:45" s="186" customFormat="1" ht="12" x14ac:dyDescent="0.3">
      <c r="A63" s="245"/>
      <c r="E63" s="184"/>
      <c r="F63" s="184"/>
      <c r="G63" s="184"/>
      <c r="Q63" s="184"/>
      <c r="R63" s="195"/>
      <c r="S63" s="195"/>
      <c r="T63" s="210"/>
      <c r="U63" s="210"/>
      <c r="V63" s="274"/>
      <c r="W63" s="195"/>
      <c r="X63" s="210"/>
      <c r="Y63" s="210"/>
      <c r="Z63" s="195"/>
      <c r="AA63" s="195"/>
      <c r="AB63" s="195"/>
      <c r="AC63" s="225"/>
      <c r="AD63" s="225"/>
      <c r="AE63" s="225"/>
      <c r="AF63" s="225"/>
      <c r="AQ63" s="230"/>
      <c r="AS63" s="230"/>
    </row>
    <row r="64" spans="1:45" s="184" customFormat="1" ht="18" customHeight="1" x14ac:dyDescent="0.3">
      <c r="A64" s="408"/>
      <c r="B64" s="398"/>
      <c r="C64" s="398"/>
      <c r="D64" s="398"/>
      <c r="E64" s="398"/>
      <c r="F64" s="398"/>
      <c r="G64" s="398"/>
      <c r="H64" s="398"/>
      <c r="I64" s="398"/>
      <c r="J64" s="398"/>
      <c r="K64" s="398"/>
      <c r="L64" s="398"/>
      <c r="M64" s="398"/>
      <c r="N64" s="398"/>
      <c r="O64" s="398"/>
      <c r="P64" s="398"/>
      <c r="Q64" s="398"/>
      <c r="R64" s="398"/>
      <c r="S64" s="398"/>
      <c r="T64" s="398"/>
      <c r="U64" s="398"/>
      <c r="V64" s="409"/>
      <c r="W64" s="195"/>
      <c r="X64" s="195"/>
      <c r="Y64" s="195"/>
      <c r="Z64" s="195"/>
    </row>
    <row r="65" spans="1:33" s="186" customFormat="1" ht="12" x14ac:dyDescent="0.3">
      <c r="A65" s="245"/>
      <c r="F65" s="184"/>
      <c r="G65" s="184"/>
      <c r="H65" s="184"/>
      <c r="K65" s="184"/>
      <c r="L65" s="195"/>
      <c r="M65" s="195"/>
      <c r="N65" s="195"/>
      <c r="O65" s="195"/>
      <c r="P65" s="195"/>
      <c r="Q65" s="195"/>
      <c r="R65" s="195"/>
      <c r="S65" s="195"/>
      <c r="T65" s="195"/>
      <c r="U65" s="195"/>
      <c r="V65" s="204"/>
      <c r="W65" s="225"/>
      <c r="X65" s="225"/>
      <c r="Y65" s="225"/>
      <c r="Z65" s="225"/>
    </row>
    <row r="66" spans="1:33" s="186" customFormat="1" ht="23.25" customHeight="1" x14ac:dyDescent="0.3">
      <c r="A66" s="396" t="s">
        <v>845</v>
      </c>
      <c r="B66" s="395"/>
      <c r="C66" s="395"/>
      <c r="D66" s="395"/>
      <c r="E66" s="395"/>
      <c r="F66" s="395"/>
      <c r="G66" s="395"/>
      <c r="H66" s="395"/>
      <c r="I66" s="395"/>
      <c r="J66" s="395"/>
      <c r="K66" s="395"/>
      <c r="L66" s="395"/>
      <c r="M66" s="395"/>
      <c r="N66" s="395"/>
      <c r="O66" s="195"/>
      <c r="P66" s="195"/>
      <c r="Q66" s="257"/>
      <c r="R66" s="257"/>
      <c r="S66" s="257"/>
      <c r="T66" s="257"/>
      <c r="U66" s="257"/>
      <c r="V66" s="275"/>
      <c r="W66" s="226"/>
      <c r="X66" s="226"/>
      <c r="Y66" s="226"/>
      <c r="Z66" s="226"/>
      <c r="AA66" s="229"/>
      <c r="AB66" s="229"/>
    </row>
    <row r="67" spans="1:33" s="186" customFormat="1" ht="22.5" customHeight="1" x14ac:dyDescent="0.3">
      <c r="A67" s="11" t="s">
        <v>816</v>
      </c>
      <c r="B67" s="11" t="s">
        <v>817</v>
      </c>
      <c r="C67" s="11" t="s">
        <v>818</v>
      </c>
      <c r="D67" s="11" t="s">
        <v>819</v>
      </c>
      <c r="E67" s="11" t="s">
        <v>820</v>
      </c>
      <c r="F67" s="11" t="s">
        <v>821</v>
      </c>
      <c r="G67" s="11" t="s">
        <v>822</v>
      </c>
      <c r="H67" s="11" t="s">
        <v>823</v>
      </c>
      <c r="I67" s="11" t="s">
        <v>824</v>
      </c>
      <c r="J67" s="11" t="s">
        <v>825</v>
      </c>
      <c r="K67" s="11" t="s">
        <v>826</v>
      </c>
      <c r="L67" s="11" t="s">
        <v>827</v>
      </c>
      <c r="M67" s="11" t="s">
        <v>828</v>
      </c>
      <c r="N67" s="11" t="s">
        <v>846</v>
      </c>
      <c r="O67" s="195"/>
      <c r="P67" s="257"/>
      <c r="Q67" s="257"/>
      <c r="R67" s="257"/>
      <c r="S67" s="257"/>
      <c r="T67" s="257"/>
      <c r="U67" s="257"/>
      <c r="V67" s="275"/>
      <c r="W67" s="226"/>
      <c r="X67" s="226"/>
      <c r="Y67" s="226"/>
      <c r="Z67" s="226"/>
      <c r="AA67" s="229"/>
      <c r="AB67" s="229"/>
      <c r="AC67" s="229"/>
      <c r="AD67" s="229"/>
      <c r="AE67" s="229"/>
      <c r="AF67" s="229"/>
    </row>
    <row r="68" spans="1:33" s="186" customFormat="1" ht="12" x14ac:dyDescent="0.3">
      <c r="A68" s="276" t="s">
        <v>847</v>
      </c>
      <c r="B68" s="277">
        <v>20577.6451612903</v>
      </c>
      <c r="C68" s="278">
        <v>21713.5</v>
      </c>
      <c r="D68" s="279">
        <v>16081.967741935499</v>
      </c>
      <c r="E68" s="278">
        <v>13723.225806451601</v>
      </c>
      <c r="F68" s="279">
        <v>17693.321428571398</v>
      </c>
      <c r="G68" s="278">
        <v>17947.129032258101</v>
      </c>
      <c r="H68" s="278">
        <v>15356.2</v>
      </c>
      <c r="I68" s="279">
        <v>15864.032258064501</v>
      </c>
      <c r="J68" s="278">
        <v>20506.1176470588</v>
      </c>
      <c r="K68" s="279">
        <v>0</v>
      </c>
      <c r="L68" s="279">
        <v>0</v>
      </c>
      <c r="M68" s="278">
        <v>0</v>
      </c>
      <c r="N68" s="279">
        <v>17562.007692307699</v>
      </c>
      <c r="O68" s="280"/>
      <c r="P68" s="281"/>
      <c r="Q68" s="281"/>
      <c r="R68" s="281"/>
      <c r="S68" s="281"/>
      <c r="T68" s="281"/>
      <c r="U68" s="281"/>
      <c r="V68" s="282"/>
      <c r="W68" s="283"/>
      <c r="X68" s="283"/>
      <c r="Y68" s="283"/>
      <c r="Z68" s="283"/>
      <c r="AA68" s="284"/>
      <c r="AB68" s="284"/>
    </row>
    <row r="69" spans="1:33" s="186" customFormat="1" ht="12" x14ac:dyDescent="0.3">
      <c r="A69" s="285" t="s">
        <v>829</v>
      </c>
      <c r="B69" s="243">
        <v>982.09677419354796</v>
      </c>
      <c r="C69" s="286">
        <v>997.9</v>
      </c>
      <c r="D69" s="286">
        <v>1044.96774193548</v>
      </c>
      <c r="E69" s="286">
        <v>1055.1935483871</v>
      </c>
      <c r="F69" s="286">
        <v>1052.67857142857</v>
      </c>
      <c r="G69" s="286">
        <v>1128.8064516129</v>
      </c>
      <c r="H69" s="286">
        <v>1117.13333333333</v>
      </c>
      <c r="I69" s="286">
        <v>1121.3548387096801</v>
      </c>
      <c r="J69" s="286">
        <v>1225.76470588235</v>
      </c>
      <c r="K69" s="286">
        <v>0</v>
      </c>
      <c r="L69" s="286">
        <v>0</v>
      </c>
      <c r="M69" s="286">
        <v>0</v>
      </c>
      <c r="N69" s="286">
        <v>1073.34230769231</v>
      </c>
      <c r="O69" s="195"/>
      <c r="P69" s="281"/>
      <c r="Q69" s="281"/>
      <c r="R69" s="281"/>
      <c r="S69" s="281"/>
      <c r="T69" s="281"/>
      <c r="U69" s="210"/>
      <c r="V69" s="282"/>
      <c r="W69" s="283"/>
      <c r="X69" s="283"/>
      <c r="Y69" s="283"/>
      <c r="Z69" s="283"/>
      <c r="AA69" s="284"/>
      <c r="AB69" s="284"/>
      <c r="AC69" s="284"/>
      <c r="AD69" s="284"/>
      <c r="AE69" s="284"/>
      <c r="AF69" s="284"/>
      <c r="AG69" s="284"/>
    </row>
    <row r="70" spans="1:33" s="186" customFormat="1" ht="12" x14ac:dyDescent="0.3">
      <c r="A70" s="287" t="s">
        <v>830</v>
      </c>
      <c r="B70" s="243">
        <v>408.06451612903197</v>
      </c>
      <c r="C70" s="286">
        <v>442.46666666666698</v>
      </c>
      <c r="D70" s="286">
        <v>434.29032258064501</v>
      </c>
      <c r="E70" s="286">
        <v>394.03225806451599</v>
      </c>
      <c r="F70" s="286">
        <v>453.71428571428601</v>
      </c>
      <c r="G70" s="286">
        <v>440.41935483870998</v>
      </c>
      <c r="H70" s="286">
        <v>368.2</v>
      </c>
      <c r="I70" s="286">
        <v>395</v>
      </c>
      <c r="J70" s="286">
        <v>562.05882352941205</v>
      </c>
      <c r="K70" s="286">
        <v>0</v>
      </c>
      <c r="L70" s="286">
        <v>0</v>
      </c>
      <c r="M70" s="286">
        <v>0</v>
      </c>
      <c r="N70" s="286">
        <v>426.17307692307702</v>
      </c>
      <c r="O70" s="195"/>
      <c r="P70" s="257"/>
      <c r="Q70" s="257"/>
      <c r="R70" s="257"/>
      <c r="S70" s="257"/>
      <c r="T70" s="257"/>
      <c r="U70" s="257"/>
      <c r="V70" s="275"/>
      <c r="W70" s="226"/>
      <c r="X70" s="226"/>
      <c r="Y70" s="226"/>
      <c r="Z70" s="226"/>
      <c r="AA70" s="284"/>
      <c r="AB70" s="284"/>
      <c r="AC70" s="284"/>
      <c r="AG70" s="284"/>
    </row>
    <row r="71" spans="1:33" s="289" customFormat="1" ht="12" x14ac:dyDescent="0.3">
      <c r="A71" s="287" t="s">
        <v>832</v>
      </c>
      <c r="B71" s="243">
        <v>19187.483870967699</v>
      </c>
      <c r="C71" s="286">
        <v>20273.133333333299</v>
      </c>
      <c r="D71" s="286">
        <v>14602.7096774194</v>
      </c>
      <c r="E71" s="286">
        <v>12274</v>
      </c>
      <c r="F71" s="286">
        <v>16186.9285714286</v>
      </c>
      <c r="G71" s="286">
        <v>16377.9032258065</v>
      </c>
      <c r="H71" s="286">
        <v>13870.8666666667</v>
      </c>
      <c r="I71" s="286">
        <v>14347.677419354801</v>
      </c>
      <c r="J71" s="286">
        <v>18718.294117647099</v>
      </c>
      <c r="K71" s="286">
        <v>0</v>
      </c>
      <c r="L71" s="286">
        <v>0</v>
      </c>
      <c r="M71" s="286">
        <v>0</v>
      </c>
      <c r="N71" s="286">
        <v>16062.492307692301</v>
      </c>
      <c r="O71" s="281"/>
      <c r="P71" s="281"/>
      <c r="Q71" s="281"/>
      <c r="R71" s="281"/>
      <c r="S71" s="281"/>
      <c r="T71" s="281"/>
      <c r="U71" s="281"/>
      <c r="V71" s="282"/>
      <c r="W71" s="288"/>
      <c r="X71" s="288"/>
      <c r="Y71" s="288"/>
      <c r="Z71" s="288"/>
      <c r="AA71" s="288"/>
      <c r="AB71" s="288"/>
      <c r="AC71" s="288"/>
      <c r="AD71" s="288"/>
      <c r="AE71" s="288"/>
      <c r="AF71" s="288"/>
      <c r="AG71" s="288"/>
    </row>
    <row r="72" spans="1:33" s="186" customFormat="1" ht="12" x14ac:dyDescent="0.3">
      <c r="A72" s="276" t="s">
        <v>848</v>
      </c>
      <c r="B72" s="277">
        <v>8249.6774193548408</v>
      </c>
      <c r="C72" s="278">
        <v>8564.9</v>
      </c>
      <c r="D72" s="279">
        <v>8549.4516129032309</v>
      </c>
      <c r="E72" s="278">
        <v>8451.1290322580608</v>
      </c>
      <c r="F72" s="279">
        <v>9044.5714285714294</v>
      </c>
      <c r="G72" s="278">
        <v>9740.9354838709696</v>
      </c>
      <c r="H72" s="278">
        <v>9920.8333333333303</v>
      </c>
      <c r="I72" s="279">
        <v>9685.0645161290304</v>
      </c>
      <c r="J72" s="278">
        <v>9610.4705882352901</v>
      </c>
      <c r="K72" s="279">
        <v>0</v>
      </c>
      <c r="L72" s="279">
        <v>0</v>
      </c>
      <c r="M72" s="278">
        <v>0</v>
      </c>
      <c r="N72" s="279">
        <v>9062.1615384615397</v>
      </c>
      <c r="O72" s="195"/>
      <c r="P72" s="281"/>
      <c r="Q72" s="281"/>
      <c r="R72" s="281"/>
      <c r="S72" s="281"/>
      <c r="T72" s="281"/>
      <c r="U72" s="281"/>
      <c r="V72" s="282"/>
      <c r="W72" s="284"/>
      <c r="X72" s="284"/>
      <c r="Y72" s="284"/>
      <c r="Z72" s="284"/>
      <c r="AA72" s="284"/>
      <c r="AB72" s="284"/>
      <c r="AC72" s="284"/>
      <c r="AD72" s="284"/>
      <c r="AE72" s="284"/>
      <c r="AF72" s="284"/>
      <c r="AG72" s="284"/>
    </row>
    <row r="73" spans="1:33" s="186" customFormat="1" ht="12" x14ac:dyDescent="0.3">
      <c r="A73" s="285" t="s">
        <v>829</v>
      </c>
      <c r="B73" s="243">
        <v>5858.8064516128998</v>
      </c>
      <c r="C73" s="286">
        <v>6048.8</v>
      </c>
      <c r="D73" s="286">
        <v>6184.4516129032299</v>
      </c>
      <c r="E73" s="286">
        <v>6179.3870967741896</v>
      </c>
      <c r="F73" s="286">
        <v>6561.3571428571404</v>
      </c>
      <c r="G73" s="286">
        <v>7012.77419354839</v>
      </c>
      <c r="H73" s="286">
        <v>7164.0333333333301</v>
      </c>
      <c r="I73" s="286">
        <v>6947.8064516128998</v>
      </c>
      <c r="J73" s="286">
        <v>6789.6470588235297</v>
      </c>
      <c r="K73" s="286">
        <v>0</v>
      </c>
      <c r="L73" s="286">
        <v>0</v>
      </c>
      <c r="M73" s="286">
        <v>0</v>
      </c>
      <c r="N73" s="286">
        <v>6512.3346153846196</v>
      </c>
      <c r="O73" s="195"/>
      <c r="P73" s="281"/>
      <c r="Q73" s="281"/>
      <c r="R73" s="281"/>
      <c r="S73" s="281"/>
      <c r="T73" s="281"/>
      <c r="U73" s="281"/>
      <c r="V73" s="282"/>
      <c r="W73" s="284"/>
      <c r="X73" s="284"/>
      <c r="Y73" s="284"/>
      <c r="Z73" s="284"/>
      <c r="AA73" s="284"/>
      <c r="AB73" s="284"/>
      <c r="AC73" s="230"/>
      <c r="AD73" s="284"/>
      <c r="AE73" s="284"/>
      <c r="AF73" s="284"/>
      <c r="AG73" s="284"/>
    </row>
    <row r="74" spans="1:33" s="186" customFormat="1" ht="12" x14ac:dyDescent="0.3">
      <c r="A74" s="287" t="s">
        <v>830</v>
      </c>
      <c r="B74" s="243">
        <v>1808.16129032258</v>
      </c>
      <c r="C74" s="286">
        <v>1965.1666666666699</v>
      </c>
      <c r="D74" s="286">
        <v>1889.03225806452</v>
      </c>
      <c r="E74" s="286">
        <v>1858.5483870967701</v>
      </c>
      <c r="F74" s="286">
        <v>2006.3571428571399</v>
      </c>
      <c r="G74" s="286">
        <v>2133.9032258064499</v>
      </c>
      <c r="H74" s="286">
        <v>2193.2666666666701</v>
      </c>
      <c r="I74" s="286">
        <v>2220.2580645161302</v>
      </c>
      <c r="J74" s="286">
        <v>2316.23529411765</v>
      </c>
      <c r="K74" s="286">
        <v>0</v>
      </c>
      <c r="L74" s="286">
        <v>0</v>
      </c>
      <c r="M74" s="286">
        <v>0</v>
      </c>
      <c r="N74" s="286">
        <v>2028.9</v>
      </c>
      <c r="O74" s="195"/>
      <c r="P74" s="281"/>
      <c r="Q74" s="281"/>
      <c r="R74" s="281"/>
      <c r="S74" s="281"/>
      <c r="T74" s="210"/>
      <c r="U74" s="281"/>
      <c r="V74" s="282"/>
      <c r="W74" s="284"/>
      <c r="X74" s="284"/>
      <c r="Y74" s="284"/>
      <c r="Z74" s="284"/>
      <c r="AA74" s="284"/>
      <c r="AB74" s="284"/>
      <c r="AC74" s="284"/>
      <c r="AD74" s="284"/>
      <c r="AE74" s="284"/>
      <c r="AF74" s="284"/>
      <c r="AG74" s="284"/>
    </row>
    <row r="75" spans="1:33" s="186" customFormat="1" ht="12" x14ac:dyDescent="0.3">
      <c r="A75" s="287" t="s">
        <v>832</v>
      </c>
      <c r="B75" s="286">
        <v>582.70967741935499</v>
      </c>
      <c r="C75" s="286">
        <v>550.93333333333305</v>
      </c>
      <c r="D75" s="286">
        <v>475.96774193548401</v>
      </c>
      <c r="E75" s="286">
        <v>413.193548387097</v>
      </c>
      <c r="F75" s="286">
        <v>476.857142857143</v>
      </c>
      <c r="G75" s="286">
        <v>594.25806451612902</v>
      </c>
      <c r="H75" s="286">
        <v>563.53333333333296</v>
      </c>
      <c r="I75" s="286">
        <v>517</v>
      </c>
      <c r="J75" s="286">
        <v>504.58823529411802</v>
      </c>
      <c r="K75" s="286">
        <v>0</v>
      </c>
      <c r="L75" s="286">
        <v>0</v>
      </c>
      <c r="M75" s="286">
        <v>0</v>
      </c>
      <c r="N75" s="286">
        <v>520.926923076923</v>
      </c>
      <c r="O75" s="195"/>
      <c r="P75" s="281"/>
      <c r="Q75" s="281"/>
      <c r="R75" s="281"/>
      <c r="S75" s="281"/>
      <c r="T75" s="281"/>
      <c r="U75" s="281"/>
      <c r="V75" s="282"/>
      <c r="W75" s="284"/>
      <c r="X75" s="284"/>
      <c r="Y75" s="284"/>
      <c r="Z75" s="230"/>
      <c r="AA75" s="284"/>
      <c r="AB75" s="284"/>
      <c r="AC75" s="284"/>
      <c r="AD75" s="284"/>
      <c r="AG75" s="284"/>
    </row>
    <row r="76" spans="1:33" s="186" customFormat="1" ht="12" x14ac:dyDescent="0.3">
      <c r="A76" s="276" t="s">
        <v>849</v>
      </c>
      <c r="B76" s="277">
        <v>28827.322580645199</v>
      </c>
      <c r="C76" s="278">
        <v>30278.400000000001</v>
      </c>
      <c r="D76" s="279">
        <v>24631.419354838701</v>
      </c>
      <c r="E76" s="278">
        <v>22174.3548387097</v>
      </c>
      <c r="F76" s="279">
        <v>26737.892857142899</v>
      </c>
      <c r="G76" s="278">
        <v>27688.064516129001</v>
      </c>
      <c r="H76" s="278">
        <v>25277.0333333333</v>
      </c>
      <c r="I76" s="279">
        <v>25549.096774193498</v>
      </c>
      <c r="J76" s="278">
        <v>30116.588235294101</v>
      </c>
      <c r="K76" s="279">
        <v>0</v>
      </c>
      <c r="L76" s="279">
        <v>0</v>
      </c>
      <c r="M76" s="278">
        <v>0</v>
      </c>
      <c r="N76" s="279">
        <v>26624.169230769199</v>
      </c>
      <c r="O76" s="195"/>
      <c r="P76" s="281"/>
      <c r="Q76" s="281"/>
      <c r="R76" s="281"/>
      <c r="S76" s="281"/>
      <c r="T76" s="281"/>
      <c r="U76" s="281"/>
      <c r="V76" s="282"/>
      <c r="W76" s="284"/>
      <c r="X76" s="284"/>
      <c r="Y76" s="284"/>
      <c r="Z76" s="284"/>
      <c r="AA76" s="284"/>
      <c r="AB76" s="284"/>
      <c r="AC76" s="284"/>
      <c r="AD76" s="284"/>
      <c r="AG76" s="284"/>
    </row>
    <row r="77" spans="1:33" s="186" customFormat="1" ht="12" x14ac:dyDescent="0.3">
      <c r="A77" s="285" t="s">
        <v>829</v>
      </c>
      <c r="B77" s="243">
        <v>6840.9032258064499</v>
      </c>
      <c r="C77" s="286">
        <v>7046.7</v>
      </c>
      <c r="D77" s="286">
        <v>7229.4193548387102</v>
      </c>
      <c r="E77" s="286">
        <v>7234.5806451612898</v>
      </c>
      <c r="F77" s="286">
        <v>7614.0357142857101</v>
      </c>
      <c r="G77" s="286">
        <v>8141.5806451612898</v>
      </c>
      <c r="H77" s="286">
        <v>8281.1666666666697</v>
      </c>
      <c r="I77" s="286">
        <v>8069.1612903225796</v>
      </c>
      <c r="J77" s="286">
        <v>8015.4117647058802</v>
      </c>
      <c r="K77" s="286">
        <v>0</v>
      </c>
      <c r="L77" s="286">
        <v>0</v>
      </c>
      <c r="M77" s="286">
        <v>0</v>
      </c>
      <c r="N77" s="286">
        <v>7585.6769230769196</v>
      </c>
      <c r="O77" s="195"/>
      <c r="P77" s="281"/>
      <c r="Q77" s="281"/>
      <c r="R77" s="284"/>
      <c r="S77" s="281"/>
      <c r="T77" s="281"/>
      <c r="U77" s="281"/>
      <c r="V77" s="282"/>
      <c r="W77" s="284"/>
      <c r="X77" s="284"/>
      <c r="Y77" s="284"/>
      <c r="Z77" s="284"/>
      <c r="AA77" s="284"/>
      <c r="AB77" s="284"/>
    </row>
    <row r="78" spans="1:33" s="186" customFormat="1" ht="12" x14ac:dyDescent="0.3">
      <c r="A78" s="287" t="s">
        <v>830</v>
      </c>
      <c r="B78" s="243">
        <v>2216.22580645161</v>
      </c>
      <c r="C78" s="286">
        <v>2407.63333333333</v>
      </c>
      <c r="D78" s="286">
        <v>2323.3225806451601</v>
      </c>
      <c r="E78" s="286">
        <v>2252.5806451612898</v>
      </c>
      <c r="F78" s="286">
        <v>2460.0714285714298</v>
      </c>
      <c r="G78" s="286">
        <v>2574.3225806451601</v>
      </c>
      <c r="H78" s="286">
        <v>2561.4666666666699</v>
      </c>
      <c r="I78" s="286">
        <v>2615.2580645161302</v>
      </c>
      <c r="J78" s="286">
        <v>2878.2941176470599</v>
      </c>
      <c r="K78" s="286">
        <v>0</v>
      </c>
      <c r="L78" s="286">
        <v>0</v>
      </c>
      <c r="M78" s="286">
        <v>0</v>
      </c>
      <c r="N78" s="286">
        <v>2455.07307692308</v>
      </c>
      <c r="O78" s="195"/>
      <c r="P78" s="281"/>
      <c r="Q78" s="281"/>
      <c r="R78" s="210"/>
      <c r="S78" s="281"/>
      <c r="T78" s="281"/>
      <c r="U78" s="281"/>
      <c r="V78" s="282"/>
      <c r="W78" s="284"/>
      <c r="X78" s="284"/>
      <c r="Y78" s="284"/>
      <c r="Z78" s="284"/>
      <c r="AA78" s="284"/>
      <c r="AB78" s="284"/>
    </row>
    <row r="79" spans="1:33" s="186" customFormat="1" ht="12" x14ac:dyDescent="0.3">
      <c r="A79" s="287" t="s">
        <v>832</v>
      </c>
      <c r="B79" s="243">
        <v>19770.193548387098</v>
      </c>
      <c r="C79" s="286">
        <v>20824.066666666698</v>
      </c>
      <c r="D79" s="286">
        <v>15078.677419354801</v>
      </c>
      <c r="E79" s="286">
        <v>12687.1935483871</v>
      </c>
      <c r="F79" s="286">
        <v>16663.785714285699</v>
      </c>
      <c r="G79" s="286">
        <v>16972.161290322601</v>
      </c>
      <c r="H79" s="286">
        <v>14434.4</v>
      </c>
      <c r="I79" s="286">
        <v>14864.677419354801</v>
      </c>
      <c r="J79" s="286">
        <v>19222.8823529412</v>
      </c>
      <c r="K79" s="286">
        <v>0</v>
      </c>
      <c r="L79" s="286">
        <v>0</v>
      </c>
      <c r="M79" s="286">
        <v>0</v>
      </c>
      <c r="N79" s="286">
        <v>16583.419230769199</v>
      </c>
      <c r="O79" s="195"/>
      <c r="P79" s="281"/>
      <c r="Q79" s="281"/>
      <c r="R79" s="210"/>
      <c r="S79" s="210"/>
      <c r="T79" s="281"/>
      <c r="U79" s="281"/>
      <c r="V79" s="282"/>
      <c r="W79" s="284"/>
      <c r="X79" s="284"/>
      <c r="Y79" s="284"/>
      <c r="Z79" s="284"/>
      <c r="AA79" s="284"/>
      <c r="AB79" s="284"/>
    </row>
    <row r="80" spans="1:33" s="186" customFormat="1" ht="12" x14ac:dyDescent="0.3">
      <c r="A80" s="245"/>
      <c r="F80" s="184"/>
      <c r="G80" s="184"/>
      <c r="H80" s="184"/>
      <c r="I80" s="184"/>
      <c r="J80" s="184"/>
      <c r="K80" s="184"/>
      <c r="L80" s="195"/>
      <c r="M80" s="195"/>
      <c r="N80" s="195"/>
      <c r="O80" s="195"/>
      <c r="P80" s="281"/>
      <c r="Q80" s="281"/>
      <c r="R80" s="281"/>
      <c r="S80" s="210"/>
      <c r="T80" s="281"/>
      <c r="U80" s="281"/>
      <c r="V80" s="282"/>
      <c r="W80" s="284"/>
      <c r="X80" s="284"/>
      <c r="Y80" s="284"/>
      <c r="Z80" s="284"/>
      <c r="AA80" s="284"/>
      <c r="AB80" s="284"/>
    </row>
    <row r="81" spans="1:34" s="186" customFormat="1" ht="12" customHeight="1" x14ac:dyDescent="0.3">
      <c r="A81" s="397"/>
      <c r="B81" s="398"/>
      <c r="C81" s="398"/>
      <c r="D81" s="398"/>
      <c r="E81" s="398"/>
      <c r="F81" s="398"/>
      <c r="G81" s="398"/>
      <c r="H81" s="398"/>
      <c r="I81" s="398"/>
      <c r="J81" s="398"/>
      <c r="K81" s="398"/>
      <c r="L81" s="398"/>
      <c r="M81" s="398"/>
      <c r="N81" s="398"/>
      <c r="O81" s="398"/>
      <c r="P81" s="398"/>
      <c r="Q81" s="398"/>
      <c r="R81" s="398"/>
      <c r="S81" s="398"/>
      <c r="T81" s="398"/>
      <c r="U81" s="398"/>
      <c r="V81" s="399"/>
    </row>
    <row r="82" spans="1:34" s="186" customFormat="1" ht="12" x14ac:dyDescent="0.3">
      <c r="A82" s="245"/>
      <c r="F82" s="184"/>
      <c r="G82" s="184"/>
      <c r="H82" s="184"/>
      <c r="I82" s="184"/>
      <c r="J82" s="184"/>
      <c r="K82" s="184"/>
      <c r="L82" s="195"/>
      <c r="M82" s="195"/>
      <c r="N82" s="195"/>
      <c r="O82" s="195"/>
      <c r="P82" s="195"/>
      <c r="Q82" s="195"/>
      <c r="R82" s="195"/>
      <c r="S82" s="195"/>
      <c r="T82" s="195"/>
      <c r="U82" s="195"/>
      <c r="V82" s="204"/>
      <c r="AA82" s="229"/>
      <c r="AB82" s="229"/>
      <c r="AC82" s="229"/>
      <c r="AD82" s="229"/>
      <c r="AE82" s="229"/>
      <c r="AF82" s="229"/>
      <c r="AG82" s="229"/>
    </row>
    <row r="83" spans="1:34" s="186" customFormat="1" ht="24.75" customHeight="1" x14ac:dyDescent="0.3">
      <c r="A83" s="396" t="s">
        <v>850</v>
      </c>
      <c r="B83" s="395"/>
      <c r="C83" s="395"/>
      <c r="D83" s="395"/>
      <c r="E83" s="395"/>
      <c r="F83" s="395"/>
      <c r="G83" s="395"/>
      <c r="H83" s="395"/>
      <c r="I83" s="395"/>
      <c r="J83" s="395"/>
      <c r="K83" s="395"/>
      <c r="L83" s="395"/>
      <c r="M83" s="395"/>
      <c r="N83" s="395"/>
      <c r="O83" s="195"/>
      <c r="P83" s="195"/>
      <c r="Q83" s="257"/>
      <c r="R83" s="257"/>
      <c r="S83" s="257"/>
      <c r="T83" s="257"/>
      <c r="U83" s="257"/>
      <c r="V83" s="275"/>
      <c r="W83" s="229"/>
      <c r="X83" s="229"/>
      <c r="Y83" s="229"/>
      <c r="Z83" s="229"/>
      <c r="AA83" s="229"/>
      <c r="AB83" s="229"/>
    </row>
    <row r="84" spans="1:34" s="186" customFormat="1" ht="12" x14ac:dyDescent="0.3">
      <c r="A84" s="11" t="s">
        <v>816</v>
      </c>
      <c r="B84" s="11" t="s">
        <v>817</v>
      </c>
      <c r="C84" s="11" t="s">
        <v>818</v>
      </c>
      <c r="D84" s="11" t="s">
        <v>819</v>
      </c>
      <c r="E84" s="11" t="s">
        <v>820</v>
      </c>
      <c r="F84" s="11" t="s">
        <v>821</v>
      </c>
      <c r="G84" s="11" t="s">
        <v>822</v>
      </c>
      <c r="H84" s="11" t="s">
        <v>823</v>
      </c>
      <c r="I84" s="11" t="s">
        <v>824</v>
      </c>
      <c r="J84" s="11" t="s">
        <v>825</v>
      </c>
      <c r="K84" s="11" t="s">
        <v>826</v>
      </c>
      <c r="L84" s="11" t="s">
        <v>827</v>
      </c>
      <c r="M84" s="11" t="s">
        <v>828</v>
      </c>
      <c r="N84" s="11" t="s">
        <v>846</v>
      </c>
      <c r="O84" s="195"/>
      <c r="P84" s="257"/>
      <c r="Q84" s="257"/>
      <c r="R84" s="257"/>
      <c r="S84" s="257"/>
      <c r="T84" s="257"/>
      <c r="U84" s="257"/>
      <c r="V84" s="275"/>
      <c r="W84" s="229"/>
      <c r="X84" s="229"/>
      <c r="Y84" s="229"/>
      <c r="Z84" s="229"/>
      <c r="AA84" s="229"/>
      <c r="AB84" s="229"/>
      <c r="AC84" s="284"/>
      <c r="AD84" s="284"/>
      <c r="AE84" s="284"/>
      <c r="AF84" s="284"/>
      <c r="AG84" s="284"/>
      <c r="AH84" s="284"/>
    </row>
    <row r="85" spans="1:34" s="186" customFormat="1" ht="12.75" customHeight="1" x14ac:dyDescent="0.3">
      <c r="A85" s="276" t="s">
        <v>847</v>
      </c>
      <c r="B85" s="290">
        <v>43.196833585341999</v>
      </c>
      <c r="C85" s="291">
        <v>40.7522219036697</v>
      </c>
      <c r="D85" s="292">
        <v>44.546650952661601</v>
      </c>
      <c r="E85" s="291">
        <v>43.286809815950903</v>
      </c>
      <c r="F85" s="292">
        <v>34.669059518400701</v>
      </c>
      <c r="G85" s="291">
        <v>35.5408738766656</v>
      </c>
      <c r="H85" s="291">
        <v>35.6397937024973</v>
      </c>
      <c r="I85" s="292">
        <v>31.8430783301757</v>
      </c>
      <c r="J85" s="291">
        <v>27.4934034109192</v>
      </c>
      <c r="K85" s="292">
        <v>0</v>
      </c>
      <c r="L85" s="292">
        <v>0</v>
      </c>
      <c r="M85" s="291">
        <v>0</v>
      </c>
      <c r="N85" s="292">
        <v>37.881688036443698</v>
      </c>
      <c r="O85" s="195"/>
      <c r="P85" s="195"/>
      <c r="Q85" s="257"/>
      <c r="R85" s="257"/>
      <c r="S85" s="257"/>
      <c r="T85" s="257"/>
      <c r="U85" s="257"/>
      <c r="V85" s="275"/>
      <c r="W85" s="229"/>
      <c r="X85" s="229"/>
      <c r="Y85" s="229"/>
      <c r="Z85" s="229"/>
      <c r="AA85" s="229"/>
      <c r="AB85" s="229"/>
      <c r="AC85" s="284"/>
      <c r="AD85" s="284"/>
      <c r="AE85" s="284"/>
      <c r="AF85" s="284"/>
      <c r="AG85" s="284"/>
      <c r="AH85" s="284"/>
    </row>
    <row r="86" spans="1:34" s="186" customFormat="1" ht="12" x14ac:dyDescent="0.3">
      <c r="A86" s="285" t="s">
        <v>829</v>
      </c>
      <c r="B86" s="293">
        <v>27.047970479704802</v>
      </c>
      <c r="C86" s="294">
        <v>36.719480519480499</v>
      </c>
      <c r="D86" s="294">
        <v>31.381481481481501</v>
      </c>
      <c r="E86" s="294">
        <v>36.913373860182404</v>
      </c>
      <c r="F86" s="294">
        <v>40.758998435054799</v>
      </c>
      <c r="G86" s="294">
        <v>38.099508599508603</v>
      </c>
      <c r="H86" s="294">
        <v>45.711888111888101</v>
      </c>
      <c r="I86" s="294">
        <v>46.483953786906298</v>
      </c>
      <c r="J86" s="294">
        <v>35.422764227642297</v>
      </c>
      <c r="K86" s="294">
        <v>0</v>
      </c>
      <c r="L86" s="294">
        <v>0</v>
      </c>
      <c r="M86" s="294">
        <v>0</v>
      </c>
      <c r="N86" s="294">
        <v>37.458037199455603</v>
      </c>
      <c r="O86" s="195"/>
      <c r="P86" s="195"/>
      <c r="Q86" s="195"/>
      <c r="R86" s="257"/>
      <c r="S86" s="257"/>
      <c r="T86" s="257"/>
      <c r="U86" s="257"/>
      <c r="V86" s="275"/>
      <c r="W86" s="229"/>
      <c r="X86" s="229"/>
      <c r="Y86" s="229"/>
      <c r="Z86" s="229"/>
      <c r="AA86" s="284"/>
      <c r="AB86" s="284"/>
      <c r="AC86" s="230"/>
      <c r="AD86" s="284"/>
      <c r="AE86" s="284"/>
      <c r="AF86" s="284"/>
      <c r="AH86" s="284"/>
    </row>
    <row r="87" spans="1:34" s="186" customFormat="1" ht="12" x14ac:dyDescent="0.3">
      <c r="A87" s="287" t="s">
        <v>830</v>
      </c>
      <c r="B87" s="293">
        <v>44.082901554404103</v>
      </c>
      <c r="C87" s="294">
        <v>51.6137566137566</v>
      </c>
      <c r="D87" s="294">
        <v>47.018181818181802</v>
      </c>
      <c r="E87" s="294">
        <v>63.274774774774798</v>
      </c>
      <c r="F87" s="294">
        <v>48.990049751243802</v>
      </c>
      <c r="G87" s="294">
        <v>53.568627450980401</v>
      </c>
      <c r="H87" s="294">
        <v>61.443946188340803</v>
      </c>
      <c r="I87" s="294">
        <v>41.872852233677001</v>
      </c>
      <c r="J87" s="294">
        <v>31.417085427135699</v>
      </c>
      <c r="K87" s="294">
        <v>0</v>
      </c>
      <c r="L87" s="294">
        <v>0</v>
      </c>
      <c r="M87" s="294">
        <v>0</v>
      </c>
      <c r="N87" s="294">
        <v>49.202092249167897</v>
      </c>
      <c r="O87" s="195"/>
      <c r="P87" s="195"/>
      <c r="Q87" s="257"/>
      <c r="R87" s="257"/>
      <c r="S87" s="257"/>
      <c r="T87" s="257"/>
      <c r="U87" s="257"/>
      <c r="V87" s="275"/>
      <c r="W87" s="229"/>
      <c r="X87" s="229"/>
      <c r="AA87" s="284"/>
      <c r="AB87" s="284"/>
      <c r="AC87" s="284"/>
      <c r="AD87" s="284"/>
      <c r="AE87" s="284"/>
      <c r="AF87" s="284"/>
      <c r="AG87" s="284"/>
      <c r="AH87" s="284"/>
    </row>
    <row r="88" spans="1:34" s="186" customFormat="1" ht="12" x14ac:dyDescent="0.3">
      <c r="A88" s="287" t="s">
        <v>832</v>
      </c>
      <c r="B88" s="293">
        <v>44.462635537755197</v>
      </c>
      <c r="C88" s="294">
        <v>40.833217886554301</v>
      </c>
      <c r="D88" s="294">
        <v>45.058936745734499</v>
      </c>
      <c r="E88" s="294">
        <v>43.262936103488798</v>
      </c>
      <c r="F88" s="294">
        <v>34.003049680275502</v>
      </c>
      <c r="G88" s="294">
        <v>35.097504314350203</v>
      </c>
      <c r="H88" s="294">
        <v>34.700826206696597</v>
      </c>
      <c r="I88" s="294">
        <v>30.836974081618301</v>
      </c>
      <c r="J88" s="294">
        <v>26.828534492889901</v>
      </c>
      <c r="K88" s="294">
        <v>0</v>
      </c>
      <c r="L88" s="294">
        <v>0</v>
      </c>
      <c r="M88" s="294">
        <v>0</v>
      </c>
      <c r="N88" s="294">
        <v>37.698129036204598</v>
      </c>
      <c r="O88" s="195"/>
      <c r="P88" s="257"/>
      <c r="Q88" s="257"/>
      <c r="R88" s="257"/>
      <c r="S88" s="257"/>
      <c r="T88" s="257"/>
      <c r="U88" s="257"/>
      <c r="V88" s="275"/>
      <c r="W88" s="229"/>
      <c r="X88" s="229"/>
      <c r="Y88" s="229"/>
      <c r="Z88" s="229"/>
    </row>
    <row r="89" spans="1:34" s="186" customFormat="1" ht="12" x14ac:dyDescent="0.3">
      <c r="A89" s="276" t="s">
        <v>848</v>
      </c>
      <c r="B89" s="290">
        <v>33.842497515733697</v>
      </c>
      <c r="C89" s="291">
        <v>34.3550267885282</v>
      </c>
      <c r="D89" s="292">
        <v>38.9347719470329</v>
      </c>
      <c r="E89" s="291">
        <v>38.760506246957704</v>
      </c>
      <c r="F89" s="292">
        <v>40.036314189729602</v>
      </c>
      <c r="G89" s="291">
        <v>38.146502590673599</v>
      </c>
      <c r="H89" s="291">
        <v>39.748472360380802</v>
      </c>
      <c r="I89" s="292">
        <v>37.922292374939303</v>
      </c>
      <c r="J89" s="291">
        <v>36.0600049590875</v>
      </c>
      <c r="K89" s="292">
        <v>0</v>
      </c>
      <c r="L89" s="292">
        <v>0</v>
      </c>
      <c r="M89" s="291">
        <v>0</v>
      </c>
      <c r="N89" s="292">
        <v>37.652594880999601</v>
      </c>
      <c r="O89" s="195"/>
      <c r="P89" s="257"/>
      <c r="Q89" s="257"/>
      <c r="R89" s="281"/>
      <c r="S89" s="281"/>
      <c r="T89" s="281"/>
      <c r="U89" s="281"/>
      <c r="V89" s="204"/>
      <c r="Z89" s="229"/>
      <c r="AA89" s="229"/>
      <c r="AB89" s="229"/>
      <c r="AC89" s="229"/>
      <c r="AD89" s="229"/>
      <c r="AE89" s="229"/>
      <c r="AF89" s="229"/>
    </row>
    <row r="90" spans="1:34" s="186" customFormat="1" ht="12" x14ac:dyDescent="0.3">
      <c r="A90" s="285" t="s">
        <v>829</v>
      </c>
      <c r="B90" s="293">
        <v>41.0328317373461</v>
      </c>
      <c r="C90" s="294">
        <v>42.015881561238203</v>
      </c>
      <c r="D90" s="294">
        <v>45.795586206896601</v>
      </c>
      <c r="E90" s="294">
        <v>46.360471491228097</v>
      </c>
      <c r="F90" s="294">
        <v>48.596673596673597</v>
      </c>
      <c r="G90" s="294">
        <v>44.152876942461099</v>
      </c>
      <c r="H90" s="294">
        <v>47.582618771726501</v>
      </c>
      <c r="I90" s="294">
        <v>43.941028128031</v>
      </c>
      <c r="J90" s="294">
        <v>41.571036106750398</v>
      </c>
      <c r="K90" s="294">
        <v>0</v>
      </c>
      <c r="L90" s="294">
        <v>0</v>
      </c>
      <c r="M90" s="294">
        <v>0</v>
      </c>
      <c r="N90" s="294">
        <v>44.688554336423699</v>
      </c>
      <c r="O90" s="195"/>
      <c r="P90" s="257"/>
      <c r="Q90" s="257"/>
      <c r="R90" s="257"/>
      <c r="S90" s="257"/>
      <c r="T90" s="257"/>
      <c r="U90" s="281"/>
      <c r="V90" s="275"/>
      <c r="W90" s="229"/>
      <c r="X90" s="229"/>
      <c r="Y90" s="229"/>
      <c r="Z90" s="229"/>
      <c r="AA90" s="229"/>
      <c r="AB90" s="229"/>
      <c r="AC90" s="229"/>
    </row>
    <row r="91" spans="1:34" s="186" customFormat="1" ht="12" customHeight="1" x14ac:dyDescent="0.3">
      <c r="A91" s="287" t="s">
        <v>830</v>
      </c>
      <c r="B91" s="293">
        <v>29.2221379833207</v>
      </c>
      <c r="C91" s="294">
        <v>30.408580858085799</v>
      </c>
      <c r="D91" s="294">
        <v>37.516908212560402</v>
      </c>
      <c r="E91" s="294">
        <v>39.401296829971201</v>
      </c>
      <c r="F91" s="294">
        <v>37.583209509658197</v>
      </c>
      <c r="G91" s="294">
        <v>35.698630136986303</v>
      </c>
      <c r="H91" s="294">
        <v>36.402928071292202</v>
      </c>
      <c r="I91" s="294">
        <v>36.051070840197703</v>
      </c>
      <c r="J91" s="294">
        <v>35.387168141592902</v>
      </c>
      <c r="K91" s="294">
        <v>0</v>
      </c>
      <c r="L91" s="294">
        <v>0</v>
      </c>
      <c r="M91" s="294">
        <v>0</v>
      </c>
      <c r="N91" s="294">
        <v>35.334830263358199</v>
      </c>
      <c r="O91" s="195"/>
      <c r="P91" s="257"/>
      <c r="Q91" s="257"/>
      <c r="R91" s="281"/>
      <c r="S91" s="281"/>
      <c r="T91" s="281"/>
      <c r="U91" s="281"/>
      <c r="V91" s="275"/>
      <c r="W91" s="229"/>
      <c r="X91" s="229"/>
      <c r="Y91" s="229"/>
      <c r="Z91" s="229"/>
      <c r="AA91" s="229"/>
      <c r="AB91" s="229"/>
    </row>
    <row r="92" spans="1:34" s="186" customFormat="1" ht="12" x14ac:dyDescent="0.3">
      <c r="A92" s="287" t="s">
        <v>832</v>
      </c>
      <c r="B92" s="293">
        <v>14.8703007518797</v>
      </c>
      <c r="C92" s="294">
        <v>14.2105734767025</v>
      </c>
      <c r="D92" s="294">
        <v>17.059443911792901</v>
      </c>
      <c r="E92" s="294">
        <v>13.370896184560801</v>
      </c>
      <c r="F92" s="294">
        <v>11.996215704825</v>
      </c>
      <c r="G92" s="294">
        <v>16.8446601941748</v>
      </c>
      <c r="H92" s="294">
        <v>14.945264986967899</v>
      </c>
      <c r="I92" s="294">
        <v>16.002380952380999</v>
      </c>
      <c r="J92" s="294">
        <v>12.938037865748701</v>
      </c>
      <c r="K92" s="294">
        <v>0</v>
      </c>
      <c r="L92" s="294">
        <v>0</v>
      </c>
      <c r="M92" s="294">
        <v>0</v>
      </c>
      <c r="N92" s="294">
        <v>14.8122114981116</v>
      </c>
      <c r="O92" s="195"/>
      <c r="P92" s="257"/>
      <c r="Q92" s="257"/>
      <c r="R92" s="257"/>
      <c r="S92" s="257"/>
      <c r="T92" s="257"/>
      <c r="U92" s="257"/>
      <c r="V92" s="275"/>
      <c r="W92" s="229"/>
      <c r="X92" s="229"/>
      <c r="Y92" s="229"/>
      <c r="Z92" s="229"/>
      <c r="AA92" s="229"/>
      <c r="AB92" s="229"/>
    </row>
    <row r="93" spans="1:34" s="186" customFormat="1" ht="12" x14ac:dyDescent="0.3">
      <c r="A93" s="276" t="s">
        <v>849</v>
      </c>
      <c r="B93" s="290">
        <v>39.928418494300097</v>
      </c>
      <c r="C93" s="291">
        <v>38.752192334220098</v>
      </c>
      <c r="D93" s="292">
        <v>43.250330425588203</v>
      </c>
      <c r="E93" s="291">
        <v>41.6693917782803</v>
      </c>
      <c r="F93" s="292">
        <v>36.613351877607798</v>
      </c>
      <c r="G93" s="291">
        <v>36.384112345420199</v>
      </c>
      <c r="H93" s="291">
        <v>36.967712304229998</v>
      </c>
      <c r="I93" s="292">
        <v>33.9697574650639</v>
      </c>
      <c r="J93" s="291">
        <v>30.0801886792453</v>
      </c>
      <c r="K93" s="292">
        <v>0</v>
      </c>
      <c r="L93" s="292">
        <v>0</v>
      </c>
      <c r="M93" s="291">
        <v>0</v>
      </c>
      <c r="N93" s="292">
        <v>37.808388094317699</v>
      </c>
      <c r="O93" s="195"/>
      <c r="P93" s="195"/>
      <c r="Q93" s="195"/>
      <c r="R93" s="195"/>
      <c r="S93" s="195"/>
      <c r="T93" s="195"/>
      <c r="U93" s="195"/>
      <c r="V93" s="204"/>
    </row>
    <row r="94" spans="1:34" s="186" customFormat="1" ht="12" x14ac:dyDescent="0.3">
      <c r="A94" s="285" t="s">
        <v>829</v>
      </c>
      <c r="B94" s="293">
        <v>38.4881378692927</v>
      </c>
      <c r="C94" s="294">
        <v>41.1065774804905</v>
      </c>
      <c r="D94" s="294">
        <v>43.163021420518596</v>
      </c>
      <c r="E94" s="294">
        <v>44.916860195076602</v>
      </c>
      <c r="F94" s="294">
        <v>47.480499219968799</v>
      </c>
      <c r="G94" s="294">
        <v>43.269189383070298</v>
      </c>
      <c r="H94" s="294">
        <v>47.316699801192797</v>
      </c>
      <c r="I94" s="294">
        <v>44.274856757667699</v>
      </c>
      <c r="J94" s="294">
        <v>40.375592791653503</v>
      </c>
      <c r="K94" s="294">
        <v>0</v>
      </c>
      <c r="L94" s="294">
        <v>0</v>
      </c>
      <c r="M94" s="294">
        <v>0</v>
      </c>
      <c r="N94" s="294">
        <v>43.546939165313702</v>
      </c>
      <c r="O94" s="195"/>
      <c r="P94" s="195"/>
      <c r="Q94" s="195"/>
      <c r="R94" s="195"/>
      <c r="S94" s="195"/>
      <c r="T94" s="195"/>
      <c r="U94" s="195"/>
      <c r="V94" s="204"/>
    </row>
    <row r="95" spans="1:34" s="186" customFormat="1" ht="12" x14ac:dyDescent="0.3">
      <c r="A95" s="287" t="s">
        <v>830</v>
      </c>
      <c r="B95" s="293">
        <v>31.119047619047599</v>
      </c>
      <c r="C95" s="294">
        <v>32.760563380281702</v>
      </c>
      <c r="D95" s="294">
        <v>39.279370432827399</v>
      </c>
      <c r="E95" s="294">
        <v>42.693167701863402</v>
      </c>
      <c r="F95" s="294">
        <v>39.065287653523001</v>
      </c>
      <c r="G95" s="294">
        <v>37.889423076923102</v>
      </c>
      <c r="H95" s="294">
        <v>39.515607580824998</v>
      </c>
      <c r="I95" s="294">
        <v>36.853219696969703</v>
      </c>
      <c r="J95" s="294">
        <v>34.670897552130597</v>
      </c>
      <c r="K95" s="294">
        <v>0</v>
      </c>
      <c r="L95" s="294">
        <v>0</v>
      </c>
      <c r="M95" s="294">
        <v>0</v>
      </c>
      <c r="N95" s="294">
        <v>37.248277672068802</v>
      </c>
      <c r="O95" s="195"/>
      <c r="P95" s="195"/>
      <c r="Q95" s="195"/>
      <c r="R95" s="195"/>
      <c r="S95" s="195"/>
      <c r="T95" s="195"/>
      <c r="U95" s="195"/>
      <c r="V95" s="204"/>
    </row>
    <row r="96" spans="1:34" s="186" customFormat="1" ht="12" x14ac:dyDescent="0.3">
      <c r="A96" s="287" t="s">
        <v>832</v>
      </c>
      <c r="B96" s="293">
        <v>41.676488806300299</v>
      </c>
      <c r="C96" s="294">
        <v>38.727408037422897</v>
      </c>
      <c r="D96" s="294">
        <v>43.617999703952201</v>
      </c>
      <c r="E96" s="294">
        <v>40.289824375606699</v>
      </c>
      <c r="F96" s="294">
        <v>31.930226341115699</v>
      </c>
      <c r="G96" s="294">
        <v>33.820853139082701</v>
      </c>
      <c r="H96" s="294">
        <v>33.179744464512702</v>
      </c>
      <c r="I96" s="294">
        <v>29.6308317738917</v>
      </c>
      <c r="J96" s="294">
        <v>25.940704070407001</v>
      </c>
      <c r="K96" s="294">
        <v>0</v>
      </c>
      <c r="L96" s="294">
        <v>0</v>
      </c>
      <c r="M96" s="294">
        <v>0</v>
      </c>
      <c r="N96" s="294">
        <v>35.938369701125303</v>
      </c>
      <c r="O96" s="195"/>
      <c r="P96" s="195"/>
      <c r="Q96" s="195"/>
      <c r="R96" s="195"/>
      <c r="S96" s="195"/>
      <c r="T96" s="195"/>
      <c r="U96" s="195"/>
      <c r="V96" s="204"/>
    </row>
    <row r="97" spans="1:33" s="186" customFormat="1" ht="12" x14ac:dyDescent="0.3">
      <c r="A97" s="245"/>
      <c r="F97" s="184"/>
      <c r="G97" s="184"/>
      <c r="H97" s="184"/>
      <c r="I97" s="184"/>
      <c r="J97" s="184"/>
      <c r="K97" s="184"/>
      <c r="L97" s="195"/>
      <c r="M97" s="195"/>
      <c r="N97" s="195"/>
      <c r="O97" s="195"/>
      <c r="P97" s="195"/>
      <c r="Q97" s="195"/>
      <c r="R97" s="195"/>
      <c r="S97" s="195"/>
      <c r="T97" s="195"/>
      <c r="U97" s="195"/>
      <c r="V97" s="204"/>
    </row>
    <row r="98" spans="1:33" s="186" customFormat="1" ht="12" x14ac:dyDescent="0.3">
      <c r="A98" s="397"/>
      <c r="B98" s="398"/>
      <c r="C98" s="398"/>
      <c r="D98" s="398"/>
      <c r="E98" s="398"/>
      <c r="F98" s="398"/>
      <c r="G98" s="398"/>
      <c r="H98" s="398"/>
      <c r="I98" s="398"/>
      <c r="J98" s="398"/>
      <c r="K98" s="398"/>
      <c r="L98" s="398"/>
      <c r="M98" s="398"/>
      <c r="N98" s="398"/>
      <c r="O98" s="398"/>
      <c r="P98" s="398"/>
      <c r="Q98" s="398"/>
      <c r="R98" s="398"/>
      <c r="S98" s="398"/>
      <c r="T98" s="398"/>
      <c r="U98" s="398"/>
      <c r="V98" s="399"/>
    </row>
    <row r="99" spans="1:33" s="186" customFormat="1" ht="12" x14ac:dyDescent="0.3">
      <c r="A99" s="245"/>
      <c r="F99" s="184"/>
      <c r="G99" s="184"/>
      <c r="H99" s="184"/>
      <c r="I99" s="184"/>
      <c r="J99" s="184"/>
      <c r="K99" s="184"/>
      <c r="L99" s="195"/>
      <c r="M99" s="195"/>
      <c r="N99" s="195"/>
      <c r="O99" s="195"/>
      <c r="P99" s="195"/>
      <c r="Q99" s="195"/>
      <c r="R99" s="195"/>
      <c r="S99" s="257"/>
      <c r="T99" s="257"/>
      <c r="U99" s="257"/>
      <c r="V99" s="275"/>
    </row>
    <row r="100" spans="1:33" s="184" customFormat="1" ht="24.75" customHeight="1" x14ac:dyDescent="0.3">
      <c r="A100" s="400" t="s">
        <v>851</v>
      </c>
      <c r="B100" s="401"/>
      <c r="C100" s="401"/>
      <c r="D100" s="401"/>
      <c r="E100" s="401"/>
      <c r="F100" s="401"/>
      <c r="G100" s="401"/>
      <c r="H100" s="401"/>
      <c r="I100" s="401"/>
      <c r="J100" s="401"/>
      <c r="K100" s="401"/>
      <c r="L100" s="401"/>
      <c r="M100" s="401"/>
      <c r="N100" s="401"/>
      <c r="O100" s="195"/>
      <c r="P100" s="257"/>
      <c r="Q100" s="257"/>
      <c r="R100" s="257"/>
      <c r="S100" s="257"/>
      <c r="T100" s="257"/>
      <c r="U100" s="257"/>
      <c r="V100" s="275"/>
      <c r="W100" s="250"/>
      <c r="X100" s="250"/>
      <c r="Y100" s="250"/>
      <c r="Z100" s="250"/>
      <c r="AA100" s="250"/>
      <c r="AB100" s="250"/>
    </row>
    <row r="101" spans="1:33" s="186" customFormat="1" ht="12" x14ac:dyDescent="0.3">
      <c r="A101" s="201" t="s">
        <v>836</v>
      </c>
      <c r="B101" s="11" t="s">
        <v>817</v>
      </c>
      <c r="C101" s="11" t="s">
        <v>818</v>
      </c>
      <c r="D101" s="11" t="s">
        <v>819</v>
      </c>
      <c r="E101" s="11" t="s">
        <v>820</v>
      </c>
      <c r="F101" s="11" t="s">
        <v>821</v>
      </c>
      <c r="G101" s="11" t="s">
        <v>822</v>
      </c>
      <c r="H101" s="11" t="s">
        <v>823</v>
      </c>
      <c r="I101" s="11" t="s">
        <v>824</v>
      </c>
      <c r="J101" s="11" t="s">
        <v>825</v>
      </c>
      <c r="K101" s="11" t="s">
        <v>826</v>
      </c>
      <c r="L101" s="11" t="s">
        <v>827</v>
      </c>
      <c r="M101" s="11" t="s">
        <v>828</v>
      </c>
      <c r="N101" s="11" t="s">
        <v>846</v>
      </c>
      <c r="O101" s="195"/>
      <c r="P101" s="281"/>
      <c r="Q101" s="257"/>
      <c r="R101" s="257"/>
      <c r="S101" s="257"/>
      <c r="T101" s="257"/>
      <c r="U101" s="257"/>
      <c r="V101" s="275"/>
      <c r="W101" s="229"/>
      <c r="X101" s="229"/>
      <c r="Y101" s="229"/>
      <c r="Z101" s="229"/>
      <c r="AA101" s="229"/>
      <c r="AB101" s="229"/>
      <c r="AC101" s="229"/>
      <c r="AD101" s="229"/>
      <c r="AE101" s="229"/>
      <c r="AF101" s="229"/>
    </row>
    <row r="102" spans="1:33" s="186" customFormat="1" ht="12.75" customHeight="1" thickBot="1" x14ac:dyDescent="0.35">
      <c r="A102" s="206" t="s">
        <v>0</v>
      </c>
      <c r="B102" s="277">
        <v>28827.322580645199</v>
      </c>
      <c r="C102" s="278">
        <v>30278.400000000001</v>
      </c>
      <c r="D102" s="279">
        <v>24631.419354838701</v>
      </c>
      <c r="E102" s="278">
        <v>22174.3548387097</v>
      </c>
      <c r="F102" s="279">
        <v>26737.892857142899</v>
      </c>
      <c r="G102" s="278">
        <v>27688.064516129001</v>
      </c>
      <c r="H102" s="278">
        <v>25277.0333333333</v>
      </c>
      <c r="I102" s="279">
        <v>25549.096774193498</v>
      </c>
      <c r="J102" s="278">
        <v>30117.2352941176</v>
      </c>
      <c r="K102" s="279">
        <v>0</v>
      </c>
      <c r="L102" s="279">
        <v>0</v>
      </c>
      <c r="M102" s="278">
        <v>0</v>
      </c>
      <c r="N102" s="277">
        <v>26624.211538461499</v>
      </c>
      <c r="O102" s="195"/>
      <c r="P102" s="281"/>
      <c r="Q102" s="281"/>
      <c r="R102" s="281"/>
      <c r="S102" s="281"/>
      <c r="T102" s="210"/>
      <c r="U102" s="281"/>
      <c r="V102" s="282"/>
      <c r="W102" s="284"/>
      <c r="X102" s="284"/>
      <c r="Y102" s="284"/>
      <c r="Z102" s="284"/>
      <c r="AA102" s="284"/>
      <c r="AB102" s="284"/>
    </row>
    <row r="103" spans="1:33" s="186" customFormat="1" ht="12.5" thickTop="1" x14ac:dyDescent="0.3">
      <c r="A103" s="212" t="s">
        <v>801</v>
      </c>
      <c r="B103" s="243">
        <v>0</v>
      </c>
      <c r="C103" s="286">
        <v>0</v>
      </c>
      <c r="D103" s="286">
        <v>0</v>
      </c>
      <c r="E103" s="286">
        <v>0</v>
      </c>
      <c r="F103" s="286">
        <v>0</v>
      </c>
      <c r="G103" s="286">
        <v>0</v>
      </c>
      <c r="H103" s="286">
        <v>0</v>
      </c>
      <c r="I103" s="286">
        <v>0</v>
      </c>
      <c r="J103" s="286">
        <v>0</v>
      </c>
      <c r="K103" s="286">
        <v>0</v>
      </c>
      <c r="L103" s="286">
        <v>0</v>
      </c>
      <c r="M103" s="286">
        <v>0</v>
      </c>
      <c r="N103" s="286">
        <v>0</v>
      </c>
      <c r="O103" s="195"/>
      <c r="P103" s="281"/>
      <c r="Q103" s="281"/>
      <c r="R103" s="281"/>
      <c r="S103" s="281"/>
      <c r="T103" s="281"/>
      <c r="U103" s="281"/>
      <c r="V103" s="282"/>
      <c r="W103" s="284"/>
      <c r="X103" s="284"/>
      <c r="Y103" s="284"/>
      <c r="Z103" s="284"/>
      <c r="AA103" s="284"/>
      <c r="AB103" s="284"/>
      <c r="AC103" s="284"/>
      <c r="AD103" s="284"/>
      <c r="AE103" s="284"/>
      <c r="AF103" s="284"/>
      <c r="AG103" s="284"/>
    </row>
    <row r="104" spans="1:33" s="186" customFormat="1" ht="12" x14ac:dyDescent="0.3">
      <c r="A104" s="218" t="s">
        <v>802</v>
      </c>
      <c r="B104" s="243">
        <v>28827.322580645199</v>
      </c>
      <c r="C104" s="286">
        <v>30278.400000000001</v>
      </c>
      <c r="D104" s="286">
        <v>24631.419354838701</v>
      </c>
      <c r="E104" s="286">
        <v>22174.3548387097</v>
      </c>
      <c r="F104" s="286">
        <v>26737.892857142899</v>
      </c>
      <c r="G104" s="286">
        <v>27688.064516129001</v>
      </c>
      <c r="H104" s="286">
        <v>25277.0333333333</v>
      </c>
      <c r="I104" s="286">
        <v>25549.096774193498</v>
      </c>
      <c r="J104" s="286">
        <v>30117.2352941176</v>
      </c>
      <c r="K104" s="286">
        <v>0</v>
      </c>
      <c r="L104" s="286">
        <v>0</v>
      </c>
      <c r="M104" s="286">
        <v>0</v>
      </c>
      <c r="N104" s="243">
        <v>26624.211538461499</v>
      </c>
      <c r="O104" s="195"/>
      <c r="P104" s="281"/>
      <c r="Q104" s="281"/>
      <c r="R104" s="281"/>
      <c r="S104" s="281"/>
      <c r="T104" s="281"/>
      <c r="U104" s="281"/>
      <c r="V104" s="282"/>
      <c r="W104" s="284"/>
      <c r="X104" s="284"/>
      <c r="Y104" s="284"/>
      <c r="Z104" s="284"/>
      <c r="AA104" s="229"/>
      <c r="AB104" s="284"/>
      <c r="AF104" s="284"/>
      <c r="AG104" s="284"/>
    </row>
    <row r="105" spans="1:33" s="296" customFormat="1" ht="23.25" customHeight="1" x14ac:dyDescent="0.3">
      <c r="A105" s="245"/>
      <c r="B105" s="186"/>
      <c r="C105" s="186"/>
      <c r="D105" s="186"/>
      <c r="E105" s="186"/>
      <c r="F105" s="184"/>
      <c r="G105" s="184"/>
      <c r="H105" s="184"/>
      <c r="I105" s="184"/>
      <c r="J105" s="184"/>
      <c r="K105" s="184"/>
      <c r="L105" s="195"/>
      <c r="M105" s="195"/>
      <c r="N105" s="195"/>
      <c r="O105" s="195"/>
      <c r="P105" s="281"/>
      <c r="Q105" s="281"/>
      <c r="R105" s="281"/>
      <c r="S105" s="281"/>
      <c r="T105" s="281"/>
      <c r="U105" s="281"/>
      <c r="V105" s="282"/>
      <c r="W105" s="295"/>
      <c r="X105" s="295"/>
      <c r="Y105" s="295"/>
      <c r="Z105" s="295"/>
      <c r="AA105" s="295"/>
      <c r="AB105" s="295"/>
      <c r="AC105" s="295"/>
      <c r="AD105" s="295"/>
      <c r="AE105" s="295"/>
      <c r="AF105" s="295"/>
      <c r="AG105" s="295"/>
    </row>
    <row r="106" spans="1:33" s="186" customFormat="1" ht="12.75" customHeight="1" x14ac:dyDescent="0.3">
      <c r="A106" s="400" t="s">
        <v>852</v>
      </c>
      <c r="B106" s="401"/>
      <c r="C106" s="401"/>
      <c r="D106" s="401"/>
      <c r="E106" s="401"/>
      <c r="F106" s="401"/>
      <c r="G106" s="401"/>
      <c r="H106" s="401"/>
      <c r="I106" s="401"/>
      <c r="J106" s="401"/>
      <c r="K106" s="401"/>
      <c r="L106" s="401"/>
      <c r="M106" s="401"/>
      <c r="N106" s="401"/>
      <c r="O106" s="195"/>
      <c r="P106" s="195"/>
      <c r="Q106" s="281"/>
      <c r="R106" s="281"/>
      <c r="S106" s="257"/>
      <c r="T106" s="257"/>
      <c r="U106" s="257"/>
      <c r="V106" s="282"/>
      <c r="W106" s="284"/>
      <c r="X106" s="284"/>
      <c r="Y106" s="284"/>
      <c r="Z106" s="284"/>
      <c r="AA106" s="284"/>
    </row>
    <row r="107" spans="1:33" s="186" customFormat="1" ht="12.75" customHeight="1" x14ac:dyDescent="0.3">
      <c r="A107" s="201" t="s">
        <v>836</v>
      </c>
      <c r="B107" s="11" t="s">
        <v>817</v>
      </c>
      <c r="C107" s="11" t="s">
        <v>818</v>
      </c>
      <c r="D107" s="11" t="s">
        <v>819</v>
      </c>
      <c r="E107" s="11" t="s">
        <v>820</v>
      </c>
      <c r="F107" s="11" t="s">
        <v>821</v>
      </c>
      <c r="G107" s="11" t="s">
        <v>822</v>
      </c>
      <c r="H107" s="11" t="s">
        <v>823</v>
      </c>
      <c r="I107" s="11" t="s">
        <v>824</v>
      </c>
      <c r="J107" s="11" t="s">
        <v>825</v>
      </c>
      <c r="K107" s="11" t="s">
        <v>826</v>
      </c>
      <c r="L107" s="11" t="s">
        <v>827</v>
      </c>
      <c r="M107" s="11" t="s">
        <v>828</v>
      </c>
      <c r="N107" s="11" t="s">
        <v>846</v>
      </c>
      <c r="O107" s="195"/>
      <c r="P107" s="257"/>
      <c r="Q107" s="257"/>
      <c r="R107" s="257"/>
      <c r="S107" s="257"/>
      <c r="T107" s="257"/>
      <c r="U107" s="257"/>
      <c r="V107" s="275"/>
      <c r="W107" s="229"/>
      <c r="X107" s="229"/>
      <c r="Y107" s="229"/>
      <c r="Z107" s="229"/>
      <c r="AA107" s="229"/>
      <c r="AB107" s="229"/>
      <c r="AC107" s="229"/>
      <c r="AD107" s="229"/>
      <c r="AE107" s="229"/>
      <c r="AF107" s="229"/>
    </row>
    <row r="108" spans="1:33" s="184" customFormat="1" ht="14.25" customHeight="1" thickBot="1" x14ac:dyDescent="0.35">
      <c r="A108" s="206" t="s">
        <v>0</v>
      </c>
      <c r="B108" s="290">
        <v>39.928418494300097</v>
      </c>
      <c r="C108" s="291">
        <v>38.752192334220098</v>
      </c>
      <c r="D108" s="292">
        <v>43.250330425588203</v>
      </c>
      <c r="E108" s="291">
        <v>41.6693917782803</v>
      </c>
      <c r="F108" s="292">
        <v>36.613351877607798</v>
      </c>
      <c r="G108" s="291">
        <v>36.384112345420199</v>
      </c>
      <c r="H108" s="291">
        <v>36.967712304229998</v>
      </c>
      <c r="I108" s="292">
        <v>33.9697574650639</v>
      </c>
      <c r="J108" s="291">
        <v>30.0801886792453</v>
      </c>
      <c r="K108" s="292">
        <v>0</v>
      </c>
      <c r="L108" s="292">
        <v>0</v>
      </c>
      <c r="M108" s="291">
        <v>0</v>
      </c>
      <c r="N108" s="292">
        <v>37.808388094317699</v>
      </c>
      <c r="P108" s="250"/>
      <c r="Q108" s="250"/>
      <c r="R108" s="250"/>
      <c r="S108" s="250"/>
      <c r="T108" s="250"/>
      <c r="U108" s="250"/>
      <c r="V108" s="297"/>
      <c r="W108" s="250"/>
      <c r="X108" s="250"/>
      <c r="Y108" s="250"/>
      <c r="Z108" s="250"/>
      <c r="AA108" s="298"/>
      <c r="AB108" s="250"/>
    </row>
    <row r="109" spans="1:33" s="186" customFormat="1" ht="12.5" thickTop="1" x14ac:dyDescent="0.3">
      <c r="A109" s="212" t="s">
        <v>801</v>
      </c>
      <c r="B109" s="293">
        <v>0</v>
      </c>
      <c r="C109" s="294">
        <v>0</v>
      </c>
      <c r="D109" s="294">
        <v>0</v>
      </c>
      <c r="E109" s="294">
        <v>0</v>
      </c>
      <c r="F109" s="294">
        <v>0</v>
      </c>
      <c r="G109" s="294">
        <v>0</v>
      </c>
      <c r="H109" s="294">
        <v>0</v>
      </c>
      <c r="I109" s="294">
        <v>0</v>
      </c>
      <c r="J109" s="294">
        <v>0</v>
      </c>
      <c r="K109" s="294">
        <v>0</v>
      </c>
      <c r="L109" s="294">
        <v>0</v>
      </c>
      <c r="M109" s="294">
        <v>0</v>
      </c>
      <c r="N109" s="294">
        <v>0</v>
      </c>
      <c r="O109" s="195"/>
      <c r="P109" s="195"/>
      <c r="Q109" s="195"/>
      <c r="R109" s="195"/>
      <c r="S109" s="195"/>
      <c r="T109" s="195"/>
      <c r="U109" s="195"/>
      <c r="V109" s="299"/>
    </row>
    <row r="110" spans="1:33" s="186" customFormat="1" ht="12.75" customHeight="1" x14ac:dyDescent="0.3">
      <c r="A110" s="218" t="s">
        <v>802</v>
      </c>
      <c r="B110" s="293">
        <v>39.928418494300097</v>
      </c>
      <c r="C110" s="294">
        <v>38.752192334220098</v>
      </c>
      <c r="D110" s="294">
        <v>43.250330425588203</v>
      </c>
      <c r="E110" s="294">
        <v>41.6693917782803</v>
      </c>
      <c r="F110" s="294">
        <v>36.613351877607798</v>
      </c>
      <c r="G110" s="294">
        <v>36.384112345420199</v>
      </c>
      <c r="H110" s="294">
        <v>36.967712304229998</v>
      </c>
      <c r="I110" s="294">
        <v>33.9697574650639</v>
      </c>
      <c r="J110" s="294">
        <v>30.0801886792453</v>
      </c>
      <c r="K110" s="294">
        <v>0</v>
      </c>
      <c r="L110" s="294">
        <v>0</v>
      </c>
      <c r="M110" s="294">
        <v>0</v>
      </c>
      <c r="N110" s="294">
        <v>37.808388094317699</v>
      </c>
      <c r="O110" s="195"/>
      <c r="P110" s="195"/>
      <c r="Q110" s="195"/>
      <c r="R110" s="257"/>
      <c r="S110" s="257"/>
      <c r="T110" s="257"/>
      <c r="U110" s="257"/>
      <c r="V110" s="300"/>
      <c r="W110" s="229"/>
      <c r="X110" s="229"/>
      <c r="Y110" s="229"/>
      <c r="Z110" s="229"/>
      <c r="AA110" s="229"/>
      <c r="AB110" s="229"/>
      <c r="AC110" s="229"/>
    </row>
    <row r="111" spans="1:33" s="186" customFormat="1" ht="12.75" customHeight="1" x14ac:dyDescent="0.3">
      <c r="A111" s="221"/>
      <c r="B111" s="301"/>
      <c r="C111" s="301"/>
      <c r="D111" s="301"/>
      <c r="E111" s="301"/>
      <c r="F111" s="301"/>
      <c r="G111" s="301"/>
      <c r="H111" s="301"/>
      <c r="I111" s="301"/>
      <c r="J111" s="301"/>
      <c r="K111" s="301"/>
      <c r="L111" s="301"/>
      <c r="M111" s="301"/>
      <c r="N111" s="301"/>
      <c r="O111" s="195"/>
      <c r="P111" s="195"/>
      <c r="Q111" s="195"/>
      <c r="R111" s="195"/>
      <c r="S111" s="195"/>
      <c r="T111" s="195"/>
      <c r="U111" s="195"/>
      <c r="V111" s="299"/>
    </row>
    <row r="112" spans="1:33" s="186" customFormat="1" ht="12" x14ac:dyDescent="0.3">
      <c r="A112" s="400" t="s">
        <v>853</v>
      </c>
      <c r="B112" s="401"/>
      <c r="C112" s="401"/>
      <c r="D112" s="401"/>
      <c r="E112" s="401"/>
      <c r="F112" s="401"/>
      <c r="G112" s="401"/>
      <c r="H112" s="401"/>
      <c r="I112" s="401"/>
      <c r="J112" s="401"/>
      <c r="K112" s="401"/>
      <c r="L112" s="401"/>
      <c r="M112" s="401"/>
      <c r="N112" s="401"/>
      <c r="O112" s="195"/>
      <c r="P112" s="195"/>
      <c r="Q112" s="195"/>
      <c r="R112" s="257"/>
      <c r="S112" s="257"/>
      <c r="T112" s="257"/>
      <c r="U112" s="257"/>
      <c r="V112" s="300"/>
      <c r="W112" s="229"/>
      <c r="X112" s="229"/>
      <c r="Y112" s="229"/>
      <c r="Z112" s="229"/>
      <c r="AA112" s="229"/>
      <c r="AB112" s="229"/>
      <c r="AC112" s="229"/>
    </row>
    <row r="113" spans="1:29" s="186" customFormat="1" ht="12" x14ac:dyDescent="0.3">
      <c r="A113" s="201" t="s">
        <v>854</v>
      </c>
      <c r="B113" s="11" t="s">
        <v>817</v>
      </c>
      <c r="C113" s="11" t="s">
        <v>818</v>
      </c>
      <c r="D113" s="11" t="s">
        <v>819</v>
      </c>
      <c r="E113" s="11" t="s">
        <v>820</v>
      </c>
      <c r="F113" s="11" t="s">
        <v>821</v>
      </c>
      <c r="G113" s="11" t="s">
        <v>822</v>
      </c>
      <c r="H113" s="11" t="s">
        <v>823</v>
      </c>
      <c r="I113" s="11" t="s">
        <v>824</v>
      </c>
      <c r="J113" s="11" t="s">
        <v>825</v>
      </c>
      <c r="K113" s="11" t="s">
        <v>826</v>
      </c>
      <c r="L113" s="11" t="s">
        <v>827</v>
      </c>
      <c r="M113" s="11" t="s">
        <v>828</v>
      </c>
      <c r="N113" s="11" t="s">
        <v>846</v>
      </c>
      <c r="O113" s="195"/>
      <c r="P113" s="195"/>
      <c r="Q113" s="195"/>
      <c r="R113" s="257"/>
      <c r="S113" s="257"/>
      <c r="T113" s="257"/>
      <c r="U113" s="257"/>
      <c r="V113" s="300"/>
      <c r="W113" s="229"/>
      <c r="X113" s="229"/>
      <c r="Y113" s="229"/>
      <c r="Z113" s="229"/>
      <c r="AA113" s="229"/>
      <c r="AB113" s="229"/>
      <c r="AC113" s="229"/>
    </row>
    <row r="114" spans="1:29" ht="15" thickBot="1" x14ac:dyDescent="0.4">
      <c r="A114" s="206" t="s">
        <v>0</v>
      </c>
      <c r="B114" s="290">
        <v>39.928418494300097</v>
      </c>
      <c r="C114" s="291">
        <v>38.752192334220098</v>
      </c>
      <c r="D114" s="292">
        <v>43.250330425588203</v>
      </c>
      <c r="E114" s="291">
        <v>41.6693917782803</v>
      </c>
      <c r="F114" s="292">
        <v>36.613351877607798</v>
      </c>
      <c r="G114" s="291">
        <v>36.384112345420199</v>
      </c>
      <c r="H114" s="291">
        <v>36.967712304229998</v>
      </c>
      <c r="I114" s="292">
        <v>33.9697574650639</v>
      </c>
      <c r="J114" s="291">
        <v>30.0801886792453</v>
      </c>
      <c r="K114" s="292">
        <v>0</v>
      </c>
      <c r="L114" s="292">
        <v>0</v>
      </c>
      <c r="M114" s="291">
        <v>0</v>
      </c>
      <c r="N114" s="292">
        <v>37.808388094317699</v>
      </c>
      <c r="V114" s="299"/>
    </row>
    <row r="115" spans="1:29" ht="15" thickTop="1" x14ac:dyDescent="0.35">
      <c r="A115" s="212" t="s">
        <v>58</v>
      </c>
      <c r="B115" s="293">
        <v>43.196833585341999</v>
      </c>
      <c r="C115" s="294">
        <v>40.7522219036697</v>
      </c>
      <c r="D115" s="294">
        <v>44.546650952661601</v>
      </c>
      <c r="E115" s="294">
        <v>43.286809815950903</v>
      </c>
      <c r="F115" s="294">
        <v>34.669059518400701</v>
      </c>
      <c r="G115" s="294">
        <v>35.5408738766656</v>
      </c>
      <c r="H115" s="294">
        <v>35.636924955896298</v>
      </c>
      <c r="I115" s="294">
        <v>31.8430783301757</v>
      </c>
      <c r="J115" s="294">
        <v>27.4968897468897</v>
      </c>
      <c r="K115" s="294">
        <v>0</v>
      </c>
      <c r="L115" s="294">
        <v>0</v>
      </c>
      <c r="M115" s="294">
        <v>0</v>
      </c>
      <c r="N115" s="294">
        <v>37.8814879173704</v>
      </c>
      <c r="V115" s="299"/>
    </row>
    <row r="116" spans="1:29" x14ac:dyDescent="0.35">
      <c r="A116" s="218" t="s">
        <v>74</v>
      </c>
      <c r="B116" s="293">
        <v>33.842497515733697</v>
      </c>
      <c r="C116" s="294">
        <v>34.3550267885282</v>
      </c>
      <c r="D116" s="294">
        <v>38.9347719470329</v>
      </c>
      <c r="E116" s="294">
        <v>38.760506246957704</v>
      </c>
      <c r="F116" s="294">
        <v>40.036314189729602</v>
      </c>
      <c r="G116" s="294">
        <v>38.146502590673599</v>
      </c>
      <c r="H116" s="294">
        <v>39.7556503198294</v>
      </c>
      <c r="I116" s="294">
        <v>37.922292374939303</v>
      </c>
      <c r="J116" s="294">
        <v>36.054067460317498</v>
      </c>
      <c r="K116" s="294">
        <v>0</v>
      </c>
      <c r="L116" s="294">
        <v>0</v>
      </c>
      <c r="M116" s="294">
        <v>0</v>
      </c>
      <c r="N116" s="294">
        <v>37.653008388277101</v>
      </c>
      <c r="O116" s="302"/>
      <c r="V116" s="299"/>
    </row>
    <row r="117" spans="1:29" x14ac:dyDescent="0.35">
      <c r="A117" s="222"/>
      <c r="B117" s="301"/>
      <c r="C117" s="301"/>
      <c r="D117" s="301"/>
      <c r="E117" s="301"/>
      <c r="F117" s="301"/>
      <c r="G117" s="301"/>
      <c r="H117" s="301"/>
      <c r="I117" s="301"/>
      <c r="J117" s="301"/>
      <c r="K117" s="303"/>
      <c r="L117" s="301"/>
      <c r="M117" s="301"/>
      <c r="N117" s="304"/>
      <c r="O117" s="302"/>
      <c r="V117" s="299"/>
    </row>
    <row r="118" spans="1:29" x14ac:dyDescent="0.35">
      <c r="A118" s="305" t="s">
        <v>855</v>
      </c>
      <c r="B118" s="301"/>
      <c r="C118" s="301"/>
      <c r="D118" s="301"/>
      <c r="E118" s="301"/>
      <c r="F118" s="301"/>
      <c r="G118" s="301"/>
      <c r="H118" s="301"/>
      <c r="I118" s="301"/>
      <c r="J118" s="301"/>
      <c r="K118" s="303"/>
      <c r="L118" s="301"/>
      <c r="M118" s="301"/>
      <c r="N118" s="304"/>
      <c r="O118" s="302"/>
      <c r="V118" s="299"/>
    </row>
    <row r="119" spans="1:29" x14ac:dyDescent="0.35">
      <c r="A119" s="201" t="s">
        <v>856</v>
      </c>
      <c r="B119" s="306" t="s">
        <v>817</v>
      </c>
      <c r="C119" s="306" t="s">
        <v>818</v>
      </c>
      <c r="D119" s="306" t="s">
        <v>819</v>
      </c>
      <c r="E119" s="306" t="s">
        <v>820</v>
      </c>
      <c r="F119" s="306" t="s">
        <v>821</v>
      </c>
      <c r="G119" s="306" t="s">
        <v>822</v>
      </c>
      <c r="H119" s="306" t="s">
        <v>823</v>
      </c>
      <c r="I119" s="306" t="s">
        <v>824</v>
      </c>
      <c r="J119" s="306" t="s">
        <v>825</v>
      </c>
      <c r="K119" s="306" t="s">
        <v>826</v>
      </c>
      <c r="L119" s="306" t="s">
        <v>827</v>
      </c>
      <c r="M119" s="306" t="s">
        <v>828</v>
      </c>
      <c r="N119" s="306" t="s">
        <v>846</v>
      </c>
      <c r="O119" s="302"/>
      <c r="V119" s="299"/>
      <c r="W119" s="186"/>
    </row>
    <row r="120" spans="1:29" x14ac:dyDescent="0.35">
      <c r="A120" s="307" t="s">
        <v>806</v>
      </c>
      <c r="B120" s="243">
        <v>348</v>
      </c>
      <c r="C120" s="286">
        <v>305</v>
      </c>
      <c r="D120" s="286">
        <v>208</v>
      </c>
      <c r="E120" s="286">
        <v>377</v>
      </c>
      <c r="F120" s="286">
        <v>216</v>
      </c>
      <c r="G120" s="286">
        <v>522</v>
      </c>
      <c r="H120" s="286">
        <v>643</v>
      </c>
      <c r="I120" s="286">
        <v>604</v>
      </c>
      <c r="J120" s="286">
        <v>438</v>
      </c>
      <c r="K120" s="286">
        <v>0</v>
      </c>
      <c r="L120" s="286">
        <v>0</v>
      </c>
      <c r="M120" s="286">
        <v>0</v>
      </c>
      <c r="N120" s="286">
        <f>SUM(B120:M120)</f>
        <v>3661</v>
      </c>
      <c r="O120" s="302"/>
      <c r="V120" s="299"/>
      <c r="W120" s="186"/>
    </row>
    <row r="121" spans="1:29" x14ac:dyDescent="0.35">
      <c r="A121" s="307" t="s">
        <v>857</v>
      </c>
      <c r="B121" s="243">
        <v>475</v>
      </c>
      <c r="C121" s="286">
        <v>215</v>
      </c>
      <c r="D121" s="286">
        <v>233</v>
      </c>
      <c r="E121" s="286">
        <v>178</v>
      </c>
      <c r="F121" s="286">
        <v>317</v>
      </c>
      <c r="G121" s="286">
        <v>276</v>
      </c>
      <c r="H121" s="286">
        <v>84</v>
      </c>
      <c r="I121" s="286">
        <v>66</v>
      </c>
      <c r="J121" s="286">
        <v>123</v>
      </c>
      <c r="K121" s="286">
        <v>193</v>
      </c>
      <c r="L121" s="286">
        <v>153</v>
      </c>
      <c r="M121" s="286">
        <v>204</v>
      </c>
      <c r="N121" s="286">
        <f>SUM(B121:M121)</f>
        <v>2517</v>
      </c>
      <c r="O121" s="302"/>
      <c r="V121" s="299"/>
      <c r="W121" s="186"/>
    </row>
    <row r="122" spans="1:29" x14ac:dyDescent="0.35">
      <c r="A122" s="308" t="s">
        <v>858</v>
      </c>
      <c r="B122" s="243">
        <v>26</v>
      </c>
      <c r="C122" s="286">
        <v>26</v>
      </c>
      <c r="D122" s="286">
        <v>85</v>
      </c>
      <c r="E122" s="286">
        <v>91</v>
      </c>
      <c r="F122" s="286">
        <v>64</v>
      </c>
      <c r="G122" s="286">
        <v>44</v>
      </c>
      <c r="H122" s="286">
        <v>110</v>
      </c>
      <c r="I122" s="286">
        <v>116</v>
      </c>
      <c r="J122" s="286">
        <v>165</v>
      </c>
      <c r="K122" s="286">
        <v>1039</v>
      </c>
      <c r="L122" s="286">
        <v>896</v>
      </c>
      <c r="M122" s="286">
        <v>519</v>
      </c>
      <c r="N122" s="286">
        <f>SUM(B122:M122)</f>
        <v>3181</v>
      </c>
      <c r="O122" s="302"/>
      <c r="V122" s="299"/>
      <c r="W122" s="186"/>
    </row>
    <row r="123" spans="1:29" x14ac:dyDescent="0.35">
      <c r="A123" s="309"/>
      <c r="B123" s="222"/>
      <c r="C123" s="310"/>
      <c r="D123" s="310"/>
      <c r="E123" s="310"/>
      <c r="F123" s="310"/>
      <c r="G123" s="310"/>
      <c r="H123" s="310"/>
      <c r="I123" s="310"/>
      <c r="J123" s="310"/>
      <c r="K123" s="310"/>
      <c r="L123" s="303"/>
      <c r="M123" s="310"/>
      <c r="N123" s="310"/>
      <c r="O123" s="302"/>
      <c r="P123" s="302"/>
      <c r="V123" s="299"/>
      <c r="W123" s="186"/>
    </row>
    <row r="124" spans="1:29" x14ac:dyDescent="0.35">
      <c r="A124" s="305" t="s">
        <v>859</v>
      </c>
      <c r="B124" s="301"/>
      <c r="C124" s="301"/>
      <c r="D124" s="301"/>
      <c r="E124" s="301"/>
      <c r="F124" s="301"/>
      <c r="G124" s="301"/>
      <c r="H124" s="301"/>
      <c r="I124" s="301"/>
      <c r="J124" s="301"/>
      <c r="K124" s="303"/>
      <c r="L124" s="301"/>
      <c r="M124" s="301"/>
      <c r="N124" s="304"/>
      <c r="O124" s="302"/>
      <c r="V124" s="299"/>
    </row>
    <row r="125" spans="1:29" x14ac:dyDescent="0.35">
      <c r="A125" s="201" t="s">
        <v>856</v>
      </c>
      <c r="B125" s="201" t="s">
        <v>860</v>
      </c>
      <c r="C125" s="306" t="s">
        <v>817</v>
      </c>
      <c r="D125" s="306" t="s">
        <v>818</v>
      </c>
      <c r="E125" s="306" t="s">
        <v>819</v>
      </c>
      <c r="F125" s="306" t="s">
        <v>820</v>
      </c>
      <c r="G125" s="306" t="s">
        <v>821</v>
      </c>
      <c r="H125" s="306" t="s">
        <v>822</v>
      </c>
      <c r="I125" s="306" t="s">
        <v>823</v>
      </c>
      <c r="J125" s="306" t="s">
        <v>824</v>
      </c>
      <c r="K125" s="306" t="s">
        <v>825</v>
      </c>
      <c r="L125" s="306" t="s">
        <v>826</v>
      </c>
      <c r="M125" s="306" t="s">
        <v>827</v>
      </c>
      <c r="N125" s="306" t="s">
        <v>828</v>
      </c>
      <c r="O125" s="306" t="s">
        <v>846</v>
      </c>
      <c r="P125" s="302"/>
      <c r="V125" s="299"/>
    </row>
    <row r="126" spans="1:29" x14ac:dyDescent="0.35">
      <c r="A126" s="393" t="s">
        <v>806</v>
      </c>
      <c r="B126" s="219" t="s">
        <v>861</v>
      </c>
      <c r="C126" s="243">
        <v>273</v>
      </c>
      <c r="D126" s="286">
        <v>248</v>
      </c>
      <c r="E126" s="286">
        <v>167</v>
      </c>
      <c r="F126" s="286">
        <v>327</v>
      </c>
      <c r="G126" s="286">
        <v>106</v>
      </c>
      <c r="H126" s="286">
        <v>408</v>
      </c>
      <c r="I126" s="286">
        <v>523</v>
      </c>
      <c r="J126" s="286">
        <v>511</v>
      </c>
      <c r="K126" s="286">
        <v>376</v>
      </c>
      <c r="L126" s="286">
        <v>0</v>
      </c>
      <c r="M126" s="286">
        <v>0</v>
      </c>
      <c r="N126" s="286">
        <v>0</v>
      </c>
      <c r="O126" s="311">
        <f>SUM(C126:N126)</f>
        <v>2939</v>
      </c>
      <c r="P126" s="302"/>
      <c r="V126" s="299"/>
    </row>
    <row r="127" spans="1:29" x14ac:dyDescent="0.35">
      <c r="A127" s="394"/>
      <c r="B127" s="219" t="s">
        <v>862</v>
      </c>
      <c r="C127" s="243">
        <v>46</v>
      </c>
      <c r="D127" s="286">
        <v>17</v>
      </c>
      <c r="E127" s="286">
        <v>15</v>
      </c>
      <c r="F127" s="286">
        <v>40</v>
      </c>
      <c r="G127" s="286">
        <v>58</v>
      </c>
      <c r="H127" s="286">
        <v>70</v>
      </c>
      <c r="I127" s="286">
        <v>78</v>
      </c>
      <c r="J127" s="286">
        <v>48</v>
      </c>
      <c r="K127" s="286">
        <v>21</v>
      </c>
      <c r="L127" s="286">
        <v>0</v>
      </c>
      <c r="M127" s="286">
        <v>0</v>
      </c>
      <c r="N127" s="286">
        <v>0</v>
      </c>
      <c r="O127" s="311">
        <f t="shared" ref="O127" si="9">SUM(C127:N127)</f>
        <v>393</v>
      </c>
      <c r="P127" s="302"/>
      <c r="V127" s="299"/>
    </row>
    <row r="128" spans="1:29" x14ac:dyDescent="0.35">
      <c r="A128" s="393" t="s">
        <v>857</v>
      </c>
      <c r="B128" s="219" t="s">
        <v>861</v>
      </c>
      <c r="C128" s="243">
        <v>390</v>
      </c>
      <c r="D128" s="286">
        <v>207</v>
      </c>
      <c r="E128" s="286">
        <v>211</v>
      </c>
      <c r="F128" s="286">
        <v>129</v>
      </c>
      <c r="G128" s="286">
        <v>266</v>
      </c>
      <c r="H128" s="286">
        <v>236</v>
      </c>
      <c r="I128" s="286">
        <v>56</v>
      </c>
      <c r="J128" s="286">
        <v>46</v>
      </c>
      <c r="K128" s="286">
        <v>101</v>
      </c>
      <c r="L128" s="286">
        <v>185</v>
      </c>
      <c r="M128" s="286">
        <v>130</v>
      </c>
      <c r="N128" s="286">
        <v>140</v>
      </c>
      <c r="O128" s="311">
        <f>SUM(C128:N128)</f>
        <v>2097</v>
      </c>
      <c r="P128" s="302"/>
      <c r="V128" s="299"/>
    </row>
    <row r="129" spans="1:22" x14ac:dyDescent="0.35">
      <c r="A129" s="394"/>
      <c r="B129" s="219" t="s">
        <v>862</v>
      </c>
      <c r="C129" s="243">
        <v>4</v>
      </c>
      <c r="D129" s="286">
        <v>10</v>
      </c>
      <c r="E129" s="286">
        <v>2</v>
      </c>
      <c r="F129" s="286">
        <v>11</v>
      </c>
      <c r="G129" s="286">
        <v>22</v>
      </c>
      <c r="H129" s="286">
        <v>11</v>
      </c>
      <c r="I129" s="286">
        <v>20</v>
      </c>
      <c r="J129" s="286">
        <v>14</v>
      </c>
      <c r="K129" s="286">
        <v>8</v>
      </c>
      <c r="L129" s="286">
        <v>8</v>
      </c>
      <c r="M129" s="286">
        <v>20</v>
      </c>
      <c r="N129" s="286">
        <v>50</v>
      </c>
      <c r="O129" s="311">
        <f t="shared" ref="O129:O131" si="10">SUM(C129:N129)</f>
        <v>180</v>
      </c>
      <c r="P129" s="302"/>
      <c r="V129" s="299"/>
    </row>
    <row r="130" spans="1:22" x14ac:dyDescent="0.35">
      <c r="A130" s="393" t="s">
        <v>858</v>
      </c>
      <c r="B130" s="219" t="s">
        <v>861</v>
      </c>
      <c r="C130" s="243">
        <v>21</v>
      </c>
      <c r="D130" s="286">
        <v>13</v>
      </c>
      <c r="E130" s="286">
        <v>71</v>
      </c>
      <c r="F130" s="286">
        <v>69</v>
      </c>
      <c r="G130" s="286">
        <v>53</v>
      </c>
      <c r="H130" s="286">
        <v>15</v>
      </c>
      <c r="I130" s="286">
        <v>23</v>
      </c>
      <c r="J130" s="286">
        <v>49</v>
      </c>
      <c r="K130" s="286">
        <v>48</v>
      </c>
      <c r="L130" s="286">
        <v>972</v>
      </c>
      <c r="M130" s="286">
        <v>902</v>
      </c>
      <c r="N130" s="286">
        <v>476</v>
      </c>
      <c r="O130" s="311">
        <f t="shared" si="10"/>
        <v>2712</v>
      </c>
      <c r="P130" s="302"/>
      <c r="V130" s="299"/>
    </row>
    <row r="131" spans="1:22" x14ac:dyDescent="0.35">
      <c r="A131" s="394"/>
      <c r="B131" s="219" t="s">
        <v>862</v>
      </c>
      <c r="C131" s="243">
        <v>1</v>
      </c>
      <c r="D131" s="286">
        <v>3</v>
      </c>
      <c r="E131" s="286">
        <v>15</v>
      </c>
      <c r="F131" s="286">
        <v>9</v>
      </c>
      <c r="G131" s="286">
        <v>5</v>
      </c>
      <c r="H131" s="286">
        <v>17</v>
      </c>
      <c r="I131" s="286">
        <v>39</v>
      </c>
      <c r="J131" s="286">
        <v>42</v>
      </c>
      <c r="K131" s="286">
        <v>38</v>
      </c>
      <c r="L131" s="286">
        <v>44</v>
      </c>
      <c r="M131" s="286">
        <v>19</v>
      </c>
      <c r="N131" s="286">
        <v>13</v>
      </c>
      <c r="O131" s="311">
        <f t="shared" si="10"/>
        <v>245</v>
      </c>
      <c r="P131" s="302"/>
      <c r="V131" s="299"/>
    </row>
    <row r="132" spans="1:22" x14ac:dyDescent="0.35">
      <c r="B132" s="302"/>
      <c r="C132" s="302"/>
      <c r="D132" s="302"/>
      <c r="E132" s="302"/>
      <c r="F132" s="302"/>
      <c r="G132" s="302"/>
      <c r="H132" s="302"/>
      <c r="I132" s="302"/>
      <c r="J132" s="302"/>
      <c r="K132" s="302"/>
      <c r="L132" s="302"/>
      <c r="M132" s="302"/>
      <c r="V132" s="299"/>
    </row>
    <row r="133" spans="1:22" ht="15" thickBot="1" x14ac:dyDescent="0.4">
      <c r="A133" s="312"/>
      <c r="B133" s="312"/>
      <c r="C133" s="312"/>
      <c r="D133" s="312"/>
      <c r="E133" s="312"/>
      <c r="F133" s="312"/>
      <c r="G133" s="312"/>
      <c r="H133" s="312"/>
      <c r="I133" s="312"/>
      <c r="J133" s="312"/>
      <c r="K133" s="312"/>
      <c r="L133" s="312"/>
      <c r="M133" s="312"/>
      <c r="N133" s="312"/>
      <c r="O133" s="312"/>
      <c r="P133" s="312"/>
      <c r="Q133" s="312"/>
      <c r="R133" s="312"/>
      <c r="S133" s="312"/>
      <c r="T133" s="312"/>
      <c r="U133" s="312"/>
      <c r="V133" s="313"/>
    </row>
    <row r="134" spans="1:22" x14ac:dyDescent="0.35">
      <c r="B134" s="314"/>
      <c r="C134" s="314"/>
      <c r="D134" s="314"/>
      <c r="E134" s="314"/>
      <c r="F134" s="314"/>
      <c r="G134" s="314"/>
      <c r="H134" s="314"/>
      <c r="I134" s="314"/>
      <c r="J134" s="314"/>
      <c r="K134" s="314"/>
      <c r="L134" s="314"/>
      <c r="M134" s="314"/>
      <c r="P134" s="314"/>
    </row>
    <row r="135" spans="1:22" x14ac:dyDescent="0.35">
      <c r="A135" s="395"/>
      <c r="B135" s="395"/>
      <c r="C135" s="395"/>
      <c r="D135" s="395"/>
      <c r="E135" s="395"/>
      <c r="F135" s="395"/>
      <c r="G135" s="395"/>
      <c r="H135" s="395"/>
      <c r="I135" s="395"/>
      <c r="J135" s="395"/>
      <c r="K135" s="395"/>
      <c r="L135" s="395"/>
      <c r="M135" s="395"/>
      <c r="N135" s="395"/>
    </row>
    <row r="136" spans="1:22" x14ac:dyDescent="0.35">
      <c r="A136" s="315"/>
      <c r="B136" s="315"/>
      <c r="C136" s="316"/>
      <c r="D136" s="314"/>
      <c r="E136" s="314"/>
      <c r="F136" s="314"/>
      <c r="G136" s="314"/>
      <c r="H136" s="314"/>
      <c r="I136" s="314"/>
      <c r="J136" s="314"/>
      <c r="K136" s="314"/>
      <c r="L136" s="314"/>
      <c r="M136" s="302"/>
      <c r="P136" s="314"/>
    </row>
    <row r="137" spans="1:22" x14ac:dyDescent="0.35">
      <c r="A137" s="317"/>
      <c r="B137" s="317"/>
      <c r="C137" s="317"/>
      <c r="D137" s="314"/>
      <c r="E137" s="314"/>
      <c r="F137" s="314"/>
      <c r="G137" s="314"/>
      <c r="H137" s="302"/>
      <c r="I137" s="302"/>
    </row>
    <row r="138" spans="1:22" x14ac:dyDescent="0.35">
      <c r="A138" s="317"/>
      <c r="B138" s="317"/>
      <c r="C138" s="317"/>
      <c r="D138" s="302"/>
      <c r="E138" s="314"/>
      <c r="F138" s="302"/>
    </row>
    <row r="139" spans="1:22" x14ac:dyDescent="0.35">
      <c r="A139" s="317"/>
      <c r="B139" s="317"/>
      <c r="C139" s="317"/>
    </row>
    <row r="140" spans="1:22" x14ac:dyDescent="0.35">
      <c r="A140" s="317"/>
      <c r="B140" s="317"/>
      <c r="C140" s="317"/>
    </row>
  </sheetData>
  <mergeCells count="46">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G11:H11"/>
    <mergeCell ref="M11:N11"/>
    <mergeCell ref="M12:N12"/>
    <mergeCell ref="A18:F18"/>
    <mergeCell ref="I18:V18"/>
    <mergeCell ref="A25:V25"/>
    <mergeCell ref="A27:E27"/>
    <mergeCell ref="H27:L27"/>
    <mergeCell ref="N27:R27"/>
    <mergeCell ref="A81:V81"/>
    <mergeCell ref="H28:I28"/>
    <mergeCell ref="N28:O28"/>
    <mergeCell ref="H29:I29"/>
    <mergeCell ref="N29:O29"/>
    <mergeCell ref="H30:I30"/>
    <mergeCell ref="N30:O30"/>
    <mergeCell ref="H31:I31"/>
    <mergeCell ref="A33:V33"/>
    <mergeCell ref="A36:E36"/>
    <mergeCell ref="A64:V64"/>
    <mergeCell ref="A66:N66"/>
    <mergeCell ref="A128:A129"/>
    <mergeCell ref="A130:A131"/>
    <mergeCell ref="A135:N135"/>
    <mergeCell ref="A83:N83"/>
    <mergeCell ref="A98:V98"/>
    <mergeCell ref="A100:N100"/>
    <mergeCell ref="A106:N106"/>
    <mergeCell ref="A112:N112"/>
    <mergeCell ref="A126:A127"/>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B2747-D12D-492B-8CFD-0B165DE819B7}">
  <dimension ref="A1:BU52"/>
  <sheetViews>
    <sheetView showGridLines="0" topLeftCell="A36" zoomScale="70" zoomScaleNormal="70" workbookViewId="0">
      <pane xSplit="1" topLeftCell="BC1" activePane="topRight" state="frozen"/>
      <selection pane="topRight" activeCell="BD50" sqref="BD50"/>
    </sheetView>
  </sheetViews>
  <sheetFormatPr defaultColWidth="9.1796875" defaultRowHeight="15.5" x14ac:dyDescent="0.35"/>
  <cols>
    <col min="1" max="1" width="71.1796875" style="115" customWidth="1"/>
    <col min="2" max="2" width="7.453125" style="115" bestFit="1" customWidth="1"/>
    <col min="3" max="4" width="7.81640625" style="115" bestFit="1" customWidth="1"/>
    <col min="5" max="5" width="7.453125" style="115" bestFit="1" customWidth="1"/>
    <col min="6" max="6" width="8.1796875" style="115" bestFit="1" customWidth="1"/>
    <col min="7" max="9" width="7.81640625" style="115" bestFit="1" customWidth="1"/>
    <col min="10" max="12" width="7.453125" style="115" bestFit="1" customWidth="1"/>
    <col min="13" max="15" width="7.81640625" style="115" bestFit="1" customWidth="1"/>
    <col min="16" max="16" width="8.453125" style="115" customWidth="1"/>
    <col min="17" max="17" width="8.54296875" style="115" customWidth="1"/>
    <col min="18" max="18" width="7.453125" style="115" customWidth="1"/>
    <col min="19" max="19" width="8.1796875" style="115" customWidth="1"/>
    <col min="20" max="22" width="7.81640625" style="115" bestFit="1" customWidth="1"/>
    <col min="23" max="25" width="8.1796875" style="115" bestFit="1" customWidth="1"/>
    <col min="26" max="26" width="7.81640625" style="115" bestFit="1" customWidth="1"/>
    <col min="27" max="28" width="8.1796875" style="115" bestFit="1" customWidth="1"/>
    <col min="29" max="55" width="9.1796875" style="115"/>
    <col min="56" max="56" width="9.81640625" style="115" customWidth="1"/>
    <col min="57" max="16384" width="9.1796875" style="115"/>
  </cols>
  <sheetData>
    <row r="1" spans="1:73" x14ac:dyDescent="0.35">
      <c r="A1" s="318" t="s">
        <v>863</v>
      </c>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row>
    <row r="2" spans="1:73" x14ac:dyDescent="0.35">
      <c r="A2" s="318"/>
    </row>
    <row r="3" spans="1:73" x14ac:dyDescent="0.35">
      <c r="A3" s="318"/>
    </row>
    <row r="4" spans="1:73" x14ac:dyDescent="0.35">
      <c r="A4" s="447" t="s">
        <v>864</v>
      </c>
      <c r="B4" s="319">
        <v>2020</v>
      </c>
      <c r="C4" s="320"/>
      <c r="D4" s="320"/>
      <c r="E4" s="320"/>
      <c r="F4" s="320"/>
      <c r="G4" s="320"/>
      <c r="H4" s="320"/>
      <c r="I4" s="320"/>
      <c r="J4" s="320"/>
      <c r="K4" s="320"/>
      <c r="L4" s="320"/>
      <c r="M4" s="321"/>
      <c r="N4" s="322">
        <v>2021</v>
      </c>
      <c r="O4" s="323"/>
      <c r="P4" s="323"/>
      <c r="Q4" s="323"/>
      <c r="R4" s="323"/>
      <c r="S4" s="323"/>
      <c r="T4" s="323"/>
      <c r="U4" s="323"/>
      <c r="V4" s="323"/>
      <c r="W4" s="323"/>
      <c r="X4" s="323"/>
      <c r="Y4" s="323"/>
      <c r="Z4" s="323"/>
      <c r="AA4" s="323"/>
      <c r="AB4" s="323"/>
      <c r="AC4" s="323"/>
      <c r="AD4" s="323"/>
      <c r="AE4" s="323"/>
      <c r="AF4" s="323"/>
      <c r="AG4" s="323"/>
      <c r="AH4" s="323"/>
      <c r="AI4" s="323"/>
      <c r="AJ4" s="323"/>
      <c r="AK4" s="324"/>
      <c r="AL4" s="325">
        <v>2022</v>
      </c>
      <c r="AM4" s="326"/>
      <c r="AN4" s="326"/>
      <c r="AO4" s="326"/>
      <c r="AP4" s="326"/>
      <c r="AQ4" s="326"/>
      <c r="AR4" s="326"/>
      <c r="AS4" s="326"/>
      <c r="AT4" s="326"/>
      <c r="AU4" s="326"/>
      <c r="AV4" s="326"/>
      <c r="AW4" s="326"/>
      <c r="AX4" s="326"/>
      <c r="AY4" s="326"/>
      <c r="AZ4" s="326"/>
      <c r="BA4" s="326"/>
      <c r="BB4" s="326"/>
      <c r="BC4" s="326"/>
      <c r="BD4" s="326"/>
      <c r="BE4" s="326"/>
      <c r="BF4" s="326"/>
      <c r="BG4" s="326"/>
      <c r="BH4" s="326"/>
      <c r="BI4" s="326"/>
      <c r="BJ4" s="327">
        <v>2023</v>
      </c>
      <c r="BK4" s="328"/>
      <c r="BL4" s="328"/>
      <c r="BM4" s="328"/>
      <c r="BN4" s="328"/>
      <c r="BO4" s="328"/>
      <c r="BP4" s="328"/>
      <c r="BQ4" s="328"/>
      <c r="BR4" s="328"/>
      <c r="BS4" s="329"/>
      <c r="BT4" s="328"/>
      <c r="BU4" s="329"/>
    </row>
    <row r="5" spans="1:73" x14ac:dyDescent="0.35">
      <c r="A5" s="447"/>
      <c r="B5" s="445" t="s">
        <v>865</v>
      </c>
      <c r="C5" s="446"/>
      <c r="D5" s="445" t="s">
        <v>866</v>
      </c>
      <c r="E5" s="446"/>
      <c r="F5" s="445" t="s">
        <v>867</v>
      </c>
      <c r="G5" s="446"/>
      <c r="H5" s="445" t="s">
        <v>868</v>
      </c>
      <c r="I5" s="446"/>
      <c r="J5" s="445" t="s">
        <v>869</v>
      </c>
      <c r="K5" s="446"/>
      <c r="L5" s="445" t="s">
        <v>870</v>
      </c>
      <c r="M5" s="446"/>
      <c r="N5" s="442" t="s">
        <v>871</v>
      </c>
      <c r="O5" s="443"/>
      <c r="P5" s="442" t="s">
        <v>872</v>
      </c>
      <c r="Q5" s="443"/>
      <c r="R5" s="442" t="s">
        <v>873</v>
      </c>
      <c r="S5" s="443"/>
      <c r="T5" s="442" t="s">
        <v>874</v>
      </c>
      <c r="U5" s="443"/>
      <c r="V5" s="442" t="s">
        <v>824</v>
      </c>
      <c r="W5" s="443"/>
      <c r="X5" s="442" t="s">
        <v>875</v>
      </c>
      <c r="Y5" s="443"/>
      <c r="Z5" s="442" t="s">
        <v>865</v>
      </c>
      <c r="AA5" s="443"/>
      <c r="AB5" s="442" t="s">
        <v>866</v>
      </c>
      <c r="AC5" s="443"/>
      <c r="AD5" s="442" t="s">
        <v>867</v>
      </c>
      <c r="AE5" s="443"/>
      <c r="AF5" s="442" t="s">
        <v>868</v>
      </c>
      <c r="AG5" s="443"/>
      <c r="AH5" s="442" t="s">
        <v>869</v>
      </c>
      <c r="AI5" s="443"/>
      <c r="AJ5" s="442" t="s">
        <v>870</v>
      </c>
      <c r="AK5" s="443"/>
      <c r="AL5" s="438" t="s">
        <v>871</v>
      </c>
      <c r="AM5" s="439"/>
      <c r="AN5" s="438" t="s">
        <v>872</v>
      </c>
      <c r="AO5" s="439"/>
      <c r="AP5" s="438" t="s">
        <v>873</v>
      </c>
      <c r="AQ5" s="439"/>
      <c r="AR5" s="438" t="s">
        <v>874</v>
      </c>
      <c r="AS5" s="439"/>
      <c r="AT5" s="438" t="s">
        <v>824</v>
      </c>
      <c r="AU5" s="439"/>
      <c r="AV5" s="438" t="s">
        <v>875</v>
      </c>
      <c r="AW5" s="439"/>
      <c r="AX5" s="438" t="s">
        <v>865</v>
      </c>
      <c r="AY5" s="439"/>
      <c r="AZ5" s="438" t="s">
        <v>866</v>
      </c>
      <c r="BA5" s="439"/>
      <c r="BB5" s="438" t="s">
        <v>867</v>
      </c>
      <c r="BC5" s="439"/>
      <c r="BD5" s="440" t="s">
        <v>868</v>
      </c>
      <c r="BE5" s="441"/>
      <c r="BF5" s="440" t="s">
        <v>869</v>
      </c>
      <c r="BG5" s="441"/>
      <c r="BH5" s="440" t="s">
        <v>870</v>
      </c>
      <c r="BI5" s="441"/>
      <c r="BJ5" s="436" t="s">
        <v>871</v>
      </c>
      <c r="BK5" s="437"/>
      <c r="BL5" s="436" t="s">
        <v>872</v>
      </c>
      <c r="BM5" s="437"/>
      <c r="BN5" s="436" t="s">
        <v>873</v>
      </c>
      <c r="BO5" s="437"/>
      <c r="BP5" s="436" t="s">
        <v>874</v>
      </c>
      <c r="BQ5" s="437"/>
      <c r="BR5" s="436" t="s">
        <v>824</v>
      </c>
      <c r="BS5" s="437"/>
      <c r="BT5" s="436" t="s">
        <v>875</v>
      </c>
      <c r="BU5" s="437"/>
    </row>
    <row r="6" spans="1:73" x14ac:dyDescent="0.35">
      <c r="A6" s="447"/>
      <c r="B6" s="330" t="s">
        <v>876</v>
      </c>
      <c r="C6" s="330" t="s">
        <v>877</v>
      </c>
      <c r="D6" s="330" t="s">
        <v>876</v>
      </c>
      <c r="E6" s="330" t="s">
        <v>877</v>
      </c>
      <c r="F6" s="330" t="s">
        <v>876</v>
      </c>
      <c r="G6" s="330" t="s">
        <v>877</v>
      </c>
      <c r="H6" s="330" t="s">
        <v>876</v>
      </c>
      <c r="I6" s="330" t="s">
        <v>877</v>
      </c>
      <c r="J6" s="330" t="s">
        <v>876</v>
      </c>
      <c r="K6" s="330" t="s">
        <v>877</v>
      </c>
      <c r="L6" s="330" t="s">
        <v>876</v>
      </c>
      <c r="M6" s="330" t="s">
        <v>877</v>
      </c>
      <c r="N6" s="331" t="s">
        <v>876</v>
      </c>
      <c r="O6" s="331" t="s">
        <v>877</v>
      </c>
      <c r="P6" s="331" t="s">
        <v>876</v>
      </c>
      <c r="Q6" s="331" t="s">
        <v>877</v>
      </c>
      <c r="R6" s="331" t="s">
        <v>876</v>
      </c>
      <c r="S6" s="331" t="s">
        <v>877</v>
      </c>
      <c r="T6" s="331" t="s">
        <v>876</v>
      </c>
      <c r="U6" s="331" t="s">
        <v>877</v>
      </c>
      <c r="V6" s="331" t="s">
        <v>876</v>
      </c>
      <c r="W6" s="331" t="s">
        <v>877</v>
      </c>
      <c r="X6" s="331" t="s">
        <v>876</v>
      </c>
      <c r="Y6" s="331" t="s">
        <v>877</v>
      </c>
      <c r="Z6" s="331" t="s">
        <v>876</v>
      </c>
      <c r="AA6" s="331" t="s">
        <v>877</v>
      </c>
      <c r="AB6" s="331" t="s">
        <v>876</v>
      </c>
      <c r="AC6" s="331" t="s">
        <v>877</v>
      </c>
      <c r="AD6" s="331" t="s">
        <v>876</v>
      </c>
      <c r="AE6" s="331" t="s">
        <v>877</v>
      </c>
      <c r="AF6" s="331" t="s">
        <v>876</v>
      </c>
      <c r="AG6" s="331" t="s">
        <v>877</v>
      </c>
      <c r="AH6" s="331" t="s">
        <v>876</v>
      </c>
      <c r="AI6" s="331" t="s">
        <v>877</v>
      </c>
      <c r="AJ6" s="331" t="s">
        <v>876</v>
      </c>
      <c r="AK6" s="331" t="s">
        <v>877</v>
      </c>
      <c r="AL6" s="332" t="s">
        <v>876</v>
      </c>
      <c r="AM6" s="332" t="s">
        <v>877</v>
      </c>
      <c r="AN6" s="332" t="s">
        <v>876</v>
      </c>
      <c r="AO6" s="332" t="s">
        <v>877</v>
      </c>
      <c r="AP6" s="332" t="s">
        <v>876</v>
      </c>
      <c r="AQ6" s="332" t="s">
        <v>877</v>
      </c>
      <c r="AR6" s="332" t="s">
        <v>876</v>
      </c>
      <c r="AS6" s="332" t="s">
        <v>877</v>
      </c>
      <c r="AT6" s="332" t="s">
        <v>878</v>
      </c>
      <c r="AU6" s="332" t="s">
        <v>877</v>
      </c>
      <c r="AV6" s="332" t="s">
        <v>878</v>
      </c>
      <c r="AW6" s="332" t="s">
        <v>877</v>
      </c>
      <c r="AX6" s="332" t="s">
        <v>876</v>
      </c>
      <c r="AY6" s="332" t="s">
        <v>877</v>
      </c>
      <c r="AZ6" s="332" t="s">
        <v>876</v>
      </c>
      <c r="BA6" s="332" t="s">
        <v>877</v>
      </c>
      <c r="BB6" s="332" t="s">
        <v>876</v>
      </c>
      <c r="BC6" s="332" t="s">
        <v>877</v>
      </c>
      <c r="BD6" s="332" t="s">
        <v>876</v>
      </c>
      <c r="BE6" s="332" t="s">
        <v>877</v>
      </c>
      <c r="BF6" s="332" t="s">
        <v>876</v>
      </c>
      <c r="BG6" s="332" t="s">
        <v>877</v>
      </c>
      <c r="BH6" s="332" t="s">
        <v>876</v>
      </c>
      <c r="BI6" s="332" t="s">
        <v>877</v>
      </c>
      <c r="BJ6" s="333" t="s">
        <v>876</v>
      </c>
      <c r="BK6" s="333" t="s">
        <v>877</v>
      </c>
      <c r="BL6" s="333" t="s">
        <v>876</v>
      </c>
      <c r="BM6" s="333" t="s">
        <v>877</v>
      </c>
      <c r="BN6" s="333" t="s">
        <v>876</v>
      </c>
      <c r="BO6" s="333" t="s">
        <v>877</v>
      </c>
      <c r="BP6" s="333" t="s">
        <v>876</v>
      </c>
      <c r="BQ6" s="333" t="s">
        <v>877</v>
      </c>
      <c r="BR6" s="333" t="s">
        <v>876</v>
      </c>
      <c r="BS6" s="333" t="s">
        <v>877</v>
      </c>
      <c r="BT6" s="333" t="s">
        <v>876</v>
      </c>
      <c r="BU6" s="333" t="s">
        <v>877</v>
      </c>
    </row>
    <row r="7" spans="1:73" x14ac:dyDescent="0.35">
      <c r="A7" s="334" t="s">
        <v>879</v>
      </c>
      <c r="B7" s="335">
        <v>166.45621</v>
      </c>
      <c r="C7" s="335">
        <v>166.60888</v>
      </c>
      <c r="D7" s="335">
        <v>166.07884000000001</v>
      </c>
      <c r="E7" s="335">
        <v>163.90737999999999</v>
      </c>
      <c r="F7" s="335">
        <v>162.40288000000001</v>
      </c>
      <c r="G7" s="335">
        <v>156.58816999999999</v>
      </c>
      <c r="H7" s="335">
        <v>155.78474</v>
      </c>
      <c r="I7" s="335">
        <v>156.10682</v>
      </c>
      <c r="J7" s="335">
        <v>154.09211999999999</v>
      </c>
      <c r="K7" s="335">
        <v>148.91552999999999</v>
      </c>
      <c r="L7" s="335">
        <v>140.98845</v>
      </c>
      <c r="M7" s="335">
        <v>143.2731</v>
      </c>
      <c r="N7" s="336">
        <v>144.33805000000001</v>
      </c>
      <c r="O7" s="336">
        <v>142.70872</v>
      </c>
      <c r="P7" s="336">
        <v>143.90504999999999</v>
      </c>
      <c r="Q7" s="336">
        <v>142.70633000000001</v>
      </c>
      <c r="R7" s="336">
        <v>128.1009</v>
      </c>
      <c r="S7" s="336">
        <v>111.64449999999999</v>
      </c>
      <c r="T7" s="336">
        <v>92.941900000000004</v>
      </c>
      <c r="U7" s="336">
        <v>76.255539999999996</v>
      </c>
      <c r="V7" s="336">
        <v>65.216229999999996</v>
      </c>
      <c r="W7" s="336">
        <v>63.734160000000003</v>
      </c>
      <c r="X7" s="336">
        <v>59.766379999999998</v>
      </c>
      <c r="Y7" s="336">
        <v>60.389389999999999</v>
      </c>
      <c r="Z7" s="336">
        <v>58.88015</v>
      </c>
      <c r="AA7" s="336">
        <v>61.948590000000003</v>
      </c>
      <c r="AB7" s="336">
        <v>57.586829999999999</v>
      </c>
      <c r="AC7" s="336">
        <v>61.311149999999998</v>
      </c>
      <c r="AD7" s="336">
        <v>64.787239999999997</v>
      </c>
      <c r="AE7" s="336">
        <v>64.646240000000006</v>
      </c>
      <c r="AF7" s="336">
        <v>44.154554401010898</v>
      </c>
      <c r="AG7" s="336">
        <v>44.824032582755201</v>
      </c>
      <c r="AH7" s="336">
        <v>45.275060081533901</v>
      </c>
      <c r="AI7" s="336">
        <v>47.455098767350698</v>
      </c>
      <c r="AJ7" s="336">
        <v>42.9106217903486</v>
      </c>
      <c r="AK7" s="336">
        <v>42.100637807385702</v>
      </c>
      <c r="AL7" s="336">
        <v>45.180865929946201</v>
      </c>
      <c r="AM7" s="336">
        <v>43.264011174744297</v>
      </c>
      <c r="AN7" s="336">
        <v>44.783241272557802</v>
      </c>
      <c r="AO7" s="336">
        <v>44.825933267184297</v>
      </c>
      <c r="AP7" s="336">
        <v>38.050886408754501</v>
      </c>
      <c r="AQ7" s="336">
        <v>37.614841619556103</v>
      </c>
      <c r="AR7" s="336">
        <v>39.802419240077597</v>
      </c>
      <c r="AS7" s="336">
        <v>36.116219323386296</v>
      </c>
      <c r="AT7" s="336">
        <v>36.954498202469601</v>
      </c>
      <c r="AU7" s="336">
        <v>36.475766763157701</v>
      </c>
      <c r="AV7" s="336">
        <v>40.699771629606701</v>
      </c>
      <c r="AW7" s="336">
        <v>42.644444494601103</v>
      </c>
      <c r="AX7" s="336">
        <v>45.388587662147302</v>
      </c>
      <c r="AY7" s="336">
        <v>45.977150018795903</v>
      </c>
      <c r="AZ7" s="336">
        <v>44.364639771571298</v>
      </c>
      <c r="BA7" s="336">
        <v>43.038809706464498</v>
      </c>
      <c r="BB7" s="336">
        <v>47.193868789853397</v>
      </c>
      <c r="BC7" s="336">
        <v>47.0747471094476</v>
      </c>
      <c r="BD7" s="337">
        <v>45.443273568098199</v>
      </c>
      <c r="BE7" s="337">
        <v>45.517248545303403</v>
      </c>
      <c r="BF7" s="337">
        <v>46.989258936355697</v>
      </c>
      <c r="BG7" s="337">
        <v>51.183442153913902</v>
      </c>
      <c r="BH7" s="337">
        <v>55.747008243949999</v>
      </c>
      <c r="BI7" s="337">
        <v>56.270267303364598</v>
      </c>
      <c r="BJ7" s="336">
        <v>49.902986992956698</v>
      </c>
      <c r="BK7" s="336">
        <v>43.529042318187699</v>
      </c>
      <c r="BL7" s="336">
        <v>42.7763288213932</v>
      </c>
      <c r="BM7" s="336">
        <v>42.6869438010484</v>
      </c>
      <c r="BN7" s="336">
        <v>42.896376246563001</v>
      </c>
      <c r="BO7" s="336">
        <v>45.192304351602502</v>
      </c>
      <c r="BP7" s="336">
        <v>48.374684589622397</v>
      </c>
      <c r="BQ7" s="336">
        <v>50.111511331232201</v>
      </c>
      <c r="BR7" s="336">
        <v>43.126479493531498</v>
      </c>
      <c r="BS7" s="336">
        <v>35.413759585268402</v>
      </c>
      <c r="BT7" s="336">
        <v>37.9894594791743</v>
      </c>
      <c r="BU7" s="336">
        <v>0</v>
      </c>
    </row>
    <row r="8" spans="1:73" x14ac:dyDescent="0.35">
      <c r="A8" s="334" t="s">
        <v>880</v>
      </c>
      <c r="B8" s="335">
        <v>83.423079999999999</v>
      </c>
      <c r="C8" s="335">
        <v>92.953590000000005</v>
      </c>
      <c r="D8" s="335">
        <v>128.72662</v>
      </c>
      <c r="E8" s="335">
        <v>116.94904</v>
      </c>
      <c r="F8" s="335">
        <v>137.77778000000001</v>
      </c>
      <c r="G8" s="335">
        <v>63.13308</v>
      </c>
      <c r="H8" s="335">
        <v>60.2</v>
      </c>
      <c r="I8" s="335">
        <v>73.017650000000003</v>
      </c>
      <c r="J8" s="335">
        <v>66.228070000000002</v>
      </c>
      <c r="K8" s="335">
        <v>54.49785</v>
      </c>
      <c r="L8" s="335">
        <v>65.342860000000002</v>
      </c>
      <c r="M8" s="335">
        <v>33.012549999999997</v>
      </c>
      <c r="N8" s="336">
        <v>41.149430000000002</v>
      </c>
      <c r="O8" s="336">
        <v>16.395389999999999</v>
      </c>
      <c r="P8" s="336">
        <v>12.27163</v>
      </c>
      <c r="Q8" s="336">
        <v>13.5214</v>
      </c>
      <c r="R8" s="336">
        <v>3.4177</v>
      </c>
      <c r="S8" s="336">
        <v>4.7975500000000002</v>
      </c>
      <c r="T8" s="336">
        <v>7.6909400000000003</v>
      </c>
      <c r="U8" s="336">
        <v>4.40313</v>
      </c>
      <c r="V8" s="336">
        <v>5.7128100000000002</v>
      </c>
      <c r="W8" s="336">
        <v>4.3956</v>
      </c>
      <c r="X8" s="336">
        <v>5.35121</v>
      </c>
      <c r="Y8" s="336">
        <v>4.3433200000000003</v>
      </c>
      <c r="Z8" s="336">
        <v>4.0528599999999999</v>
      </c>
      <c r="AA8" s="336">
        <v>5.9111700000000003</v>
      </c>
      <c r="AB8" s="336">
        <v>4.9472800000000001</v>
      </c>
      <c r="AC8" s="336">
        <v>2.9433500000000001</v>
      </c>
      <c r="AD8" s="336">
        <v>2.59226</v>
      </c>
      <c r="AE8" s="336">
        <v>2.8071100000000002</v>
      </c>
      <c r="AF8" s="336">
        <v>3.6378281373111698</v>
      </c>
      <c r="AG8" s="336">
        <v>1.8878057980334599</v>
      </c>
      <c r="AH8" s="336">
        <v>1.9686303291812399</v>
      </c>
      <c r="AI8" s="336">
        <v>1.46399768039324</v>
      </c>
      <c r="AJ8" s="336">
        <v>1.5154991448716</v>
      </c>
      <c r="AK8" s="336">
        <v>2.8028270609341899</v>
      </c>
      <c r="AL8" s="336">
        <v>3.6791555733016001</v>
      </c>
      <c r="AM8" s="336">
        <v>5.4827323717945502</v>
      </c>
      <c r="AN8" s="336">
        <v>3.5738236961479601</v>
      </c>
      <c r="AO8" s="336">
        <v>3.7543745275898002</v>
      </c>
      <c r="AP8" s="336">
        <v>2.4237222222230002</v>
      </c>
      <c r="AQ8" s="336">
        <v>0</v>
      </c>
      <c r="AR8" s="336">
        <v>0</v>
      </c>
      <c r="AS8" s="336">
        <v>0</v>
      </c>
      <c r="AT8" s="336">
        <v>0</v>
      </c>
      <c r="AU8" s="336">
        <v>0</v>
      </c>
      <c r="AV8" s="336">
        <v>0</v>
      </c>
      <c r="AW8" s="336">
        <v>0</v>
      </c>
      <c r="AX8" s="336">
        <v>0</v>
      </c>
      <c r="AY8" s="336">
        <v>0</v>
      </c>
      <c r="AZ8" s="336">
        <v>0</v>
      </c>
      <c r="BA8" s="336">
        <v>0</v>
      </c>
      <c r="BB8" s="336">
        <v>0</v>
      </c>
      <c r="BC8" s="336">
        <v>0</v>
      </c>
      <c r="BD8" s="336">
        <v>0</v>
      </c>
      <c r="BE8" s="336">
        <v>0</v>
      </c>
      <c r="BF8" s="336">
        <v>0</v>
      </c>
      <c r="BG8" s="336">
        <v>0</v>
      </c>
      <c r="BH8" s="336">
        <v>0</v>
      </c>
      <c r="BI8" s="336">
        <v>0</v>
      </c>
      <c r="BJ8" s="336">
        <v>0</v>
      </c>
      <c r="BK8" s="336">
        <v>0</v>
      </c>
      <c r="BL8" s="336">
        <v>0</v>
      </c>
      <c r="BM8" s="336">
        <v>0</v>
      </c>
      <c r="BN8" s="336">
        <v>0</v>
      </c>
      <c r="BO8" s="336">
        <v>0</v>
      </c>
      <c r="BP8" s="336">
        <v>0</v>
      </c>
      <c r="BQ8" s="336">
        <v>0</v>
      </c>
      <c r="BR8" s="336">
        <v>0</v>
      </c>
      <c r="BS8" s="336">
        <v>0</v>
      </c>
      <c r="BT8" s="336">
        <v>0</v>
      </c>
      <c r="BU8" s="336">
        <v>0</v>
      </c>
    </row>
    <row r="9" spans="1:73" x14ac:dyDescent="0.35">
      <c r="A9" s="334" t="s">
        <v>881</v>
      </c>
      <c r="B9" s="335">
        <v>287.27668999999997</v>
      </c>
      <c r="C9" s="335">
        <v>299.18414000000001</v>
      </c>
      <c r="D9" s="335">
        <v>303.41052000000002</v>
      </c>
      <c r="E9" s="335">
        <v>321.93230999999997</v>
      </c>
      <c r="F9" s="335">
        <v>334.91737000000001</v>
      </c>
      <c r="G9" s="335">
        <v>346.06366000000003</v>
      </c>
      <c r="H9" s="335">
        <v>350.20936999999998</v>
      </c>
      <c r="I9" s="335">
        <v>359.56124999999997</v>
      </c>
      <c r="J9" s="335">
        <v>368.41888999999998</v>
      </c>
      <c r="K9" s="335">
        <v>366.08258000000001</v>
      </c>
      <c r="L9" s="335">
        <v>361.91541000000001</v>
      </c>
      <c r="M9" s="335">
        <v>359.04696999999999</v>
      </c>
      <c r="N9" s="336">
        <v>344.00698999999997</v>
      </c>
      <c r="O9" s="336">
        <v>341.17102</v>
      </c>
      <c r="P9" s="336">
        <v>321.68135000000001</v>
      </c>
      <c r="Q9" s="336">
        <v>290.20193</v>
      </c>
      <c r="R9" s="336">
        <v>231.52411000000001</v>
      </c>
      <c r="S9" s="336">
        <v>117.73972999999999</v>
      </c>
      <c r="T9" s="336">
        <v>87.502520000000004</v>
      </c>
      <c r="U9" s="336">
        <v>70.530349999999999</v>
      </c>
      <c r="V9" s="336">
        <v>66.206050000000005</v>
      </c>
      <c r="W9" s="336">
        <v>69.484939999999995</v>
      </c>
      <c r="X9" s="336">
        <v>72.395160000000004</v>
      </c>
      <c r="Y9" s="336">
        <v>72.542649999999995</v>
      </c>
      <c r="Z9" s="336">
        <v>74.830719999999999</v>
      </c>
      <c r="AA9" s="336">
        <v>75.550510000000003</v>
      </c>
      <c r="AB9" s="336">
        <v>79.833640000000003</v>
      </c>
      <c r="AC9" s="336">
        <v>77.329480000000004</v>
      </c>
      <c r="AD9" s="336">
        <v>82.778530000000003</v>
      </c>
      <c r="AE9" s="336">
        <v>78.386970000000005</v>
      </c>
      <c r="AF9" s="336">
        <v>59.823434446351598</v>
      </c>
      <c r="AG9" s="336">
        <v>60.863062630001998</v>
      </c>
      <c r="AH9" s="336">
        <v>57.651975203662197</v>
      </c>
      <c r="AI9" s="336">
        <v>59.838787453183102</v>
      </c>
      <c r="AJ9" s="336">
        <v>64.734013500849997</v>
      </c>
      <c r="AK9" s="336">
        <v>68.851337414515996</v>
      </c>
      <c r="AL9" s="336">
        <v>71.120745308523993</v>
      </c>
      <c r="AM9" s="336">
        <v>70.199213305390899</v>
      </c>
      <c r="AN9" s="336">
        <v>68.780505812107407</v>
      </c>
      <c r="AO9" s="336">
        <v>73.710562305166206</v>
      </c>
      <c r="AP9" s="336">
        <v>73.103892102133798</v>
      </c>
      <c r="AQ9" s="336">
        <v>79.141287123227599</v>
      </c>
      <c r="AR9" s="336">
        <v>76.454734484372395</v>
      </c>
      <c r="AS9" s="336">
        <v>77.253974251188197</v>
      </c>
      <c r="AT9" s="336">
        <v>81.896812731283205</v>
      </c>
      <c r="AU9" s="336">
        <v>82.168077149831305</v>
      </c>
      <c r="AV9" s="336">
        <v>67.085352950057</v>
      </c>
      <c r="AW9" s="336">
        <v>66.751348146526695</v>
      </c>
      <c r="AX9" s="336">
        <v>67.829326005942605</v>
      </c>
      <c r="AY9" s="336">
        <v>66.454162800747994</v>
      </c>
      <c r="AZ9" s="336">
        <v>64.966637289524897</v>
      </c>
      <c r="BA9" s="336">
        <v>66.038758137015606</v>
      </c>
      <c r="BB9" s="336">
        <v>65.737939343726495</v>
      </c>
      <c r="BC9" s="336">
        <v>65.534771700775593</v>
      </c>
      <c r="BD9" s="336">
        <v>72.558231346229704</v>
      </c>
      <c r="BE9" s="336">
        <v>69.856369541681701</v>
      </c>
      <c r="BF9" s="336">
        <v>65.327227569077905</v>
      </c>
      <c r="BG9" s="336">
        <v>67.919155354449501</v>
      </c>
      <c r="BH9" s="336">
        <v>62.793762575452703</v>
      </c>
      <c r="BI9" s="336">
        <v>70.627013177159597</v>
      </c>
      <c r="BJ9" s="336">
        <v>71.847502191060499</v>
      </c>
      <c r="BK9" s="336">
        <v>59.0379705400982</v>
      </c>
      <c r="BL9" s="336">
        <v>58.806470940682999</v>
      </c>
      <c r="BM9" s="336">
        <v>56.039743589743601</v>
      </c>
      <c r="BN9" s="336">
        <v>52.522315789473701</v>
      </c>
      <c r="BO9" s="336">
        <v>53.2652645861601</v>
      </c>
      <c r="BP9" s="336">
        <v>55.7471348451597</v>
      </c>
      <c r="BQ9" s="336">
        <v>61.296938186019602</v>
      </c>
      <c r="BR9" s="336">
        <v>62.567828788401798</v>
      </c>
      <c r="BS9" s="336">
        <v>53.425574712643702</v>
      </c>
      <c r="BT9" s="336">
        <v>51.244923229321401</v>
      </c>
      <c r="BU9" s="336">
        <v>0</v>
      </c>
    </row>
    <row r="10" spans="1:73" ht="16" thickBot="1" x14ac:dyDescent="0.4">
      <c r="A10" s="338" t="s">
        <v>882</v>
      </c>
      <c r="B10" s="339">
        <v>201.67815999999999</v>
      </c>
      <c r="C10" s="339">
        <v>174.51886999999999</v>
      </c>
      <c r="D10" s="339">
        <v>198.4898</v>
      </c>
      <c r="E10" s="339">
        <v>239.60975999999999</v>
      </c>
      <c r="F10" s="339">
        <v>296.81159000000002</v>
      </c>
      <c r="G10" s="339">
        <v>272.23077000000001</v>
      </c>
      <c r="H10" s="339">
        <v>186.91011</v>
      </c>
      <c r="I10" s="339">
        <v>177.17142999999999</v>
      </c>
      <c r="J10" s="339">
        <v>247.56863000000001</v>
      </c>
      <c r="K10" s="339">
        <v>147.31578999999999</v>
      </c>
      <c r="L10" s="339">
        <v>206.96666999999999</v>
      </c>
      <c r="M10" s="339">
        <v>46.453130000000002</v>
      </c>
      <c r="N10" s="340">
        <v>27.838709999999999</v>
      </c>
      <c r="O10" s="340">
        <v>13.11842</v>
      </c>
      <c r="P10" s="340">
        <v>22.243590000000001</v>
      </c>
      <c r="Q10" s="340">
        <v>23.435479999999998</v>
      </c>
      <c r="R10" s="340">
        <v>0</v>
      </c>
      <c r="S10" s="340">
        <v>0</v>
      </c>
      <c r="T10" s="340">
        <v>0</v>
      </c>
      <c r="U10" s="340">
        <v>0</v>
      </c>
      <c r="V10" s="340">
        <v>0</v>
      </c>
      <c r="W10" s="340">
        <v>0</v>
      </c>
      <c r="X10" s="340">
        <v>0</v>
      </c>
      <c r="Y10" s="340">
        <v>0</v>
      </c>
      <c r="Z10" s="340">
        <v>0</v>
      </c>
      <c r="AA10" s="340">
        <v>10</v>
      </c>
      <c r="AB10" s="340">
        <v>0</v>
      </c>
      <c r="AC10" s="340">
        <v>0</v>
      </c>
      <c r="AD10" s="340">
        <v>0</v>
      </c>
      <c r="AE10" s="340">
        <v>0</v>
      </c>
      <c r="AF10" s="340">
        <v>8.2493055555500003</v>
      </c>
      <c r="AG10" s="340">
        <v>0</v>
      </c>
      <c r="AH10" s="340">
        <v>0.85833333334999995</v>
      </c>
      <c r="AI10" s="340">
        <v>3.9953703703666701</v>
      </c>
      <c r="AJ10" s="340">
        <v>0</v>
      </c>
      <c r="AK10" s="340">
        <v>0</v>
      </c>
      <c r="AL10" s="340">
        <v>0</v>
      </c>
      <c r="AM10" s="340">
        <v>0</v>
      </c>
      <c r="AN10" s="340">
        <v>0</v>
      </c>
      <c r="AO10" s="340">
        <v>0</v>
      </c>
      <c r="AP10" s="340">
        <v>0</v>
      </c>
      <c r="AQ10" s="340">
        <v>0</v>
      </c>
      <c r="AR10" s="340">
        <v>0</v>
      </c>
      <c r="AS10" s="340">
        <v>0</v>
      </c>
      <c r="AT10" s="340">
        <v>0</v>
      </c>
      <c r="AU10" s="340">
        <v>0</v>
      </c>
      <c r="AV10" s="340">
        <v>0</v>
      </c>
      <c r="AW10" s="340">
        <v>0</v>
      </c>
      <c r="AX10" s="340">
        <v>0</v>
      </c>
      <c r="AY10" s="340">
        <v>0</v>
      </c>
      <c r="AZ10" s="340">
        <v>0</v>
      </c>
      <c r="BA10" s="340">
        <v>0</v>
      </c>
      <c r="BB10" s="340">
        <v>0</v>
      </c>
      <c r="BC10" s="340">
        <v>0</v>
      </c>
      <c r="BD10" s="340">
        <v>0</v>
      </c>
      <c r="BE10" s="340">
        <v>0</v>
      </c>
      <c r="BF10" s="340">
        <v>0</v>
      </c>
      <c r="BG10" s="340">
        <v>0</v>
      </c>
      <c r="BH10" s="340">
        <v>0</v>
      </c>
      <c r="BI10" s="340">
        <v>0</v>
      </c>
      <c r="BJ10" s="340">
        <v>0</v>
      </c>
      <c r="BK10" s="340">
        <v>0</v>
      </c>
      <c r="BL10" s="340">
        <v>0</v>
      </c>
      <c r="BM10" s="340">
        <v>0</v>
      </c>
      <c r="BN10" s="340">
        <v>0</v>
      </c>
      <c r="BO10" s="340">
        <v>0</v>
      </c>
      <c r="BP10" s="340">
        <v>0</v>
      </c>
      <c r="BQ10" s="340">
        <v>0</v>
      </c>
      <c r="BR10" s="340">
        <v>0</v>
      </c>
      <c r="BS10" s="340">
        <v>0</v>
      </c>
      <c r="BT10" s="340">
        <v>0</v>
      </c>
      <c r="BU10" s="340">
        <v>0</v>
      </c>
    </row>
    <row r="11" spans="1:73" x14ac:dyDescent="0.35">
      <c r="A11" s="341" t="s">
        <v>0</v>
      </c>
      <c r="B11" s="342">
        <v>183.48498000000001</v>
      </c>
      <c r="C11" s="342">
        <v>184.75197</v>
      </c>
      <c r="D11" s="342">
        <v>185.28295</v>
      </c>
      <c r="E11" s="342">
        <v>184.77921000000001</v>
      </c>
      <c r="F11" s="342">
        <v>184.77745999999999</v>
      </c>
      <c r="G11" s="342">
        <v>178.81926999999999</v>
      </c>
      <c r="H11" s="342">
        <v>177.94882999999999</v>
      </c>
      <c r="I11" s="342">
        <v>180.06950000000001</v>
      </c>
      <c r="J11" s="342">
        <v>178.56487000000001</v>
      </c>
      <c r="K11" s="342">
        <v>171.97140999999999</v>
      </c>
      <c r="L11" s="342">
        <v>164.59678</v>
      </c>
      <c r="M11" s="342">
        <v>164.15828999999999</v>
      </c>
      <c r="N11" s="343">
        <v>165.49565000000001</v>
      </c>
      <c r="O11" s="343">
        <v>158.70374000000001</v>
      </c>
      <c r="P11" s="343">
        <v>159.12960000000001</v>
      </c>
      <c r="Q11" s="343">
        <v>157.29579000000001</v>
      </c>
      <c r="R11" s="343">
        <v>131.27873</v>
      </c>
      <c r="S11" s="343">
        <v>103.40934</v>
      </c>
      <c r="T11" s="343">
        <v>86.666300000000007</v>
      </c>
      <c r="U11" s="343">
        <v>74.191019999999995</v>
      </c>
      <c r="V11" s="343">
        <v>63.978670000000001</v>
      </c>
      <c r="W11" s="343">
        <v>61.497920000000001</v>
      </c>
      <c r="X11" s="343">
        <v>59.282859999999999</v>
      </c>
      <c r="Y11" s="343">
        <v>60.462649999999996</v>
      </c>
      <c r="Z11" s="343">
        <v>58.61598</v>
      </c>
      <c r="AA11" s="343">
        <v>61.378810000000001</v>
      </c>
      <c r="AB11" s="343">
        <v>57.492809999999999</v>
      </c>
      <c r="AC11" s="343">
        <v>60.223689999999998</v>
      </c>
      <c r="AD11" s="343">
        <v>64.523359999999997</v>
      </c>
      <c r="AE11" s="343">
        <v>64.557969999999997</v>
      </c>
      <c r="AF11" s="343">
        <v>43.7638250097773</v>
      </c>
      <c r="AG11" s="343">
        <v>44.518678614644301</v>
      </c>
      <c r="AH11" s="343">
        <v>44.553691967691101</v>
      </c>
      <c r="AI11" s="343">
        <v>45.858365113914502</v>
      </c>
      <c r="AJ11" s="343">
        <v>42.898138079517103</v>
      </c>
      <c r="AK11" s="343">
        <v>43.630866319495603</v>
      </c>
      <c r="AL11" s="343">
        <v>46.1711106060622</v>
      </c>
      <c r="AM11" s="343">
        <v>44.563703115515402</v>
      </c>
      <c r="AN11" s="343">
        <v>46.094717440189598</v>
      </c>
      <c r="AO11" s="343">
        <v>46.722388919686601</v>
      </c>
      <c r="AP11" s="343">
        <v>40.2444274650111</v>
      </c>
      <c r="AQ11" s="343">
        <v>39.8424348537268</v>
      </c>
      <c r="AR11" s="343">
        <v>41.913481706491503</v>
      </c>
      <c r="AS11" s="343">
        <v>38.4188928429502</v>
      </c>
      <c r="AT11" s="343">
        <v>39.105015132562698</v>
      </c>
      <c r="AU11" s="343">
        <v>38.218015056969499</v>
      </c>
      <c r="AV11" s="343">
        <v>42.342764390891197</v>
      </c>
      <c r="AW11" s="343">
        <v>44.310309432910401</v>
      </c>
      <c r="AX11" s="343">
        <v>47.1650678691121</v>
      </c>
      <c r="AY11" s="343">
        <v>47.645173351659103</v>
      </c>
      <c r="AZ11" s="343">
        <v>46.110957370861698</v>
      </c>
      <c r="BA11" s="343">
        <v>44.996448176880001</v>
      </c>
      <c r="BB11" s="343">
        <v>49.083773304952999</v>
      </c>
      <c r="BC11" s="343">
        <v>49.033594717403901</v>
      </c>
      <c r="BD11" s="343">
        <v>47.818669156809797</v>
      </c>
      <c r="BE11" s="343">
        <v>47.648642669784799</v>
      </c>
      <c r="BF11" s="343">
        <v>48.841108602959601</v>
      </c>
      <c r="BG11" s="343">
        <v>52.997841514864099</v>
      </c>
      <c r="BH11" s="343">
        <v>56.802773381565999</v>
      </c>
      <c r="BI11" s="343">
        <v>58.142379838671197</v>
      </c>
      <c r="BJ11" s="343">
        <v>52.2071964293931</v>
      </c>
      <c r="BK11" s="343">
        <v>45.341442888837904</v>
      </c>
      <c r="BL11" s="343">
        <v>44.717156329343503</v>
      </c>
      <c r="BM11" s="343">
        <v>44.513592198954697</v>
      </c>
      <c r="BN11" s="343">
        <v>44.466703300477398</v>
      </c>
      <c r="BO11" s="343">
        <v>46.492895657242798</v>
      </c>
      <c r="BP11" s="343">
        <v>49.542126805158702</v>
      </c>
      <c r="BQ11" s="343">
        <v>51.762781970918098</v>
      </c>
      <c r="BR11" s="343">
        <v>45.407167442802198</v>
      </c>
      <c r="BS11" s="343">
        <v>37.419106120229102</v>
      </c>
      <c r="BT11" s="343">
        <v>39.691060528992899</v>
      </c>
      <c r="BU11" s="343">
        <v>0</v>
      </c>
    </row>
    <row r="13" spans="1:73" x14ac:dyDescent="0.35">
      <c r="A13" s="318" t="s">
        <v>883</v>
      </c>
      <c r="B13"/>
      <c r="C13"/>
      <c r="D13"/>
      <c r="E13"/>
      <c r="F13"/>
      <c r="G13"/>
      <c r="H13"/>
      <c r="I13"/>
      <c r="J13"/>
      <c r="K13"/>
      <c r="L13"/>
      <c r="M13"/>
      <c r="N13"/>
      <c r="O13"/>
      <c r="P13"/>
      <c r="Q13"/>
      <c r="R13"/>
      <c r="S13"/>
      <c r="T13"/>
      <c r="U13"/>
      <c r="V13"/>
      <c r="W13"/>
      <c r="X13"/>
      <c r="Y13"/>
      <c r="Z13"/>
      <c r="AA13"/>
    </row>
    <row r="14" spans="1:73" x14ac:dyDescent="0.35">
      <c r="A14" s="344"/>
      <c r="B14"/>
      <c r="C14"/>
      <c r="D14"/>
      <c r="E14"/>
      <c r="F14"/>
      <c r="G14"/>
      <c r="H14"/>
      <c r="I14"/>
      <c r="J14"/>
      <c r="K14"/>
      <c r="L14"/>
      <c r="M14"/>
      <c r="N14"/>
      <c r="O14"/>
      <c r="P14"/>
      <c r="Q14"/>
      <c r="R14"/>
      <c r="S14"/>
      <c r="T14"/>
      <c r="U14"/>
      <c r="V14"/>
      <c r="W14"/>
      <c r="X14"/>
      <c r="Y14"/>
      <c r="Z14"/>
      <c r="AA14"/>
    </row>
    <row r="15" spans="1:73" x14ac:dyDescent="0.35">
      <c r="A15" s="344"/>
      <c r="B15"/>
      <c r="C15"/>
      <c r="D15"/>
      <c r="E15"/>
      <c r="F15"/>
      <c r="G15"/>
      <c r="H15"/>
      <c r="I15"/>
      <c r="J15"/>
      <c r="K15"/>
      <c r="L15"/>
      <c r="M15"/>
      <c r="N15"/>
      <c r="O15"/>
      <c r="P15"/>
      <c r="Q15"/>
      <c r="R15"/>
      <c r="S15"/>
      <c r="T15"/>
      <c r="U15"/>
      <c r="V15"/>
      <c r="W15"/>
      <c r="X15"/>
      <c r="Y15"/>
      <c r="Z15"/>
      <c r="AA15"/>
    </row>
    <row r="16" spans="1:73" x14ac:dyDescent="0.35">
      <c r="A16" s="444" t="s">
        <v>864</v>
      </c>
      <c r="B16" s="319">
        <v>2020</v>
      </c>
      <c r="C16" s="320"/>
      <c r="D16" s="320"/>
      <c r="E16" s="320"/>
      <c r="F16" s="320"/>
      <c r="G16" s="320"/>
      <c r="H16" s="320"/>
      <c r="I16" s="320"/>
      <c r="J16" s="320"/>
      <c r="K16" s="320"/>
      <c r="L16" s="320"/>
      <c r="M16" s="321"/>
      <c r="N16" s="322">
        <v>2021</v>
      </c>
      <c r="O16" s="323"/>
      <c r="P16" s="323"/>
      <c r="Q16" s="323"/>
      <c r="R16" s="323"/>
      <c r="S16" s="323"/>
      <c r="T16" s="323"/>
      <c r="U16" s="323"/>
      <c r="V16" s="323"/>
      <c r="W16" s="323"/>
      <c r="X16" s="323"/>
      <c r="Y16" s="323"/>
      <c r="Z16" s="323"/>
      <c r="AA16" s="323"/>
      <c r="AB16" s="323"/>
      <c r="AC16" s="323"/>
      <c r="AD16" s="323"/>
      <c r="AE16" s="324"/>
      <c r="AF16" s="323"/>
      <c r="AG16" s="324"/>
      <c r="AH16" s="323"/>
      <c r="AI16" s="324"/>
      <c r="AJ16" s="323"/>
      <c r="AK16" s="324"/>
      <c r="AL16" s="325">
        <v>2022</v>
      </c>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v>2023</v>
      </c>
      <c r="BK16" s="328"/>
      <c r="BL16" s="328"/>
      <c r="BM16" s="328"/>
      <c r="BN16" s="328"/>
      <c r="BO16" s="328"/>
      <c r="BP16" s="328"/>
      <c r="BQ16" s="328"/>
      <c r="BR16" s="328"/>
      <c r="BS16" s="329"/>
      <c r="BT16" s="328"/>
      <c r="BU16" s="329"/>
    </row>
    <row r="17" spans="1:73" x14ac:dyDescent="0.35">
      <c r="A17" s="444"/>
      <c r="B17" s="445" t="s">
        <v>865</v>
      </c>
      <c r="C17" s="446"/>
      <c r="D17" s="445" t="s">
        <v>866</v>
      </c>
      <c r="E17" s="446"/>
      <c r="F17" s="445" t="s">
        <v>867</v>
      </c>
      <c r="G17" s="446"/>
      <c r="H17" s="445" t="s">
        <v>868</v>
      </c>
      <c r="I17" s="446"/>
      <c r="J17" s="445" t="s">
        <v>869</v>
      </c>
      <c r="K17" s="446"/>
      <c r="L17" s="445" t="s">
        <v>870</v>
      </c>
      <c r="M17" s="446"/>
      <c r="N17" s="442" t="s">
        <v>871</v>
      </c>
      <c r="O17" s="443"/>
      <c r="P17" s="442" t="s">
        <v>872</v>
      </c>
      <c r="Q17" s="443"/>
      <c r="R17" s="442" t="s">
        <v>873</v>
      </c>
      <c r="S17" s="443"/>
      <c r="T17" s="442" t="s">
        <v>874</v>
      </c>
      <c r="U17" s="443"/>
      <c r="V17" s="442" t="s">
        <v>824</v>
      </c>
      <c r="W17" s="443"/>
      <c r="X17" s="442" t="s">
        <v>875</v>
      </c>
      <c r="Y17" s="443"/>
      <c r="Z17" s="442" t="s">
        <v>865</v>
      </c>
      <c r="AA17" s="443"/>
      <c r="AB17" s="442" t="s">
        <v>866</v>
      </c>
      <c r="AC17" s="443"/>
      <c r="AD17" s="442" t="s">
        <v>867</v>
      </c>
      <c r="AE17" s="443"/>
      <c r="AF17" s="442" t="s">
        <v>868</v>
      </c>
      <c r="AG17" s="443"/>
      <c r="AH17" s="442" t="s">
        <v>869</v>
      </c>
      <c r="AI17" s="443"/>
      <c r="AJ17" s="442" t="s">
        <v>870</v>
      </c>
      <c r="AK17" s="443"/>
      <c r="AL17" s="438" t="s">
        <v>871</v>
      </c>
      <c r="AM17" s="439"/>
      <c r="AN17" s="438" t="s">
        <v>872</v>
      </c>
      <c r="AO17" s="439"/>
      <c r="AP17" s="438" t="s">
        <v>873</v>
      </c>
      <c r="AQ17" s="439"/>
      <c r="AR17" s="438" t="s">
        <v>874</v>
      </c>
      <c r="AS17" s="439"/>
      <c r="AT17" s="438" t="s">
        <v>824</v>
      </c>
      <c r="AU17" s="439"/>
      <c r="AV17" s="438" t="s">
        <v>875</v>
      </c>
      <c r="AW17" s="439"/>
      <c r="AX17" s="438" t="s">
        <v>865</v>
      </c>
      <c r="AY17" s="439"/>
      <c r="AZ17" s="438" t="s">
        <v>866</v>
      </c>
      <c r="BA17" s="439"/>
      <c r="BB17" s="438" t="s">
        <v>867</v>
      </c>
      <c r="BC17" s="439"/>
      <c r="BD17" s="440" t="s">
        <v>868</v>
      </c>
      <c r="BE17" s="441"/>
      <c r="BF17" s="440" t="s">
        <v>869</v>
      </c>
      <c r="BG17" s="441"/>
      <c r="BH17" s="440" t="s">
        <v>870</v>
      </c>
      <c r="BI17" s="441"/>
      <c r="BJ17" s="436" t="s">
        <v>871</v>
      </c>
      <c r="BK17" s="437"/>
      <c r="BL17" s="436" t="s">
        <v>872</v>
      </c>
      <c r="BM17" s="437"/>
      <c r="BN17" s="436" t="s">
        <v>873</v>
      </c>
      <c r="BO17" s="437"/>
      <c r="BP17" s="436" t="s">
        <v>874</v>
      </c>
      <c r="BQ17" s="437"/>
      <c r="BR17" s="436" t="s">
        <v>824</v>
      </c>
      <c r="BS17" s="437"/>
      <c r="BT17" s="436" t="s">
        <v>875</v>
      </c>
      <c r="BU17" s="437"/>
    </row>
    <row r="18" spans="1:73" x14ac:dyDescent="0.35">
      <c r="A18" s="444"/>
      <c r="B18" s="330" t="s">
        <v>876</v>
      </c>
      <c r="C18" s="330" t="s">
        <v>877</v>
      </c>
      <c r="D18" s="330" t="s">
        <v>876</v>
      </c>
      <c r="E18" s="330" t="s">
        <v>877</v>
      </c>
      <c r="F18" s="330" t="s">
        <v>876</v>
      </c>
      <c r="G18" s="330" t="s">
        <v>877</v>
      </c>
      <c r="H18" s="330" t="s">
        <v>876</v>
      </c>
      <c r="I18" s="330" t="s">
        <v>877</v>
      </c>
      <c r="J18" s="330" t="s">
        <v>876</v>
      </c>
      <c r="K18" s="330" t="s">
        <v>877</v>
      </c>
      <c r="L18" s="330" t="s">
        <v>876</v>
      </c>
      <c r="M18" s="330" t="s">
        <v>877</v>
      </c>
      <c r="N18" s="331" t="s">
        <v>876</v>
      </c>
      <c r="O18" s="331" t="s">
        <v>877</v>
      </c>
      <c r="P18" s="331" t="s">
        <v>876</v>
      </c>
      <c r="Q18" s="331" t="s">
        <v>877</v>
      </c>
      <c r="R18" s="331" t="s">
        <v>876</v>
      </c>
      <c r="S18" s="331" t="s">
        <v>877</v>
      </c>
      <c r="T18" s="331" t="s">
        <v>876</v>
      </c>
      <c r="U18" s="331" t="s">
        <v>877</v>
      </c>
      <c r="V18" s="331" t="s">
        <v>876</v>
      </c>
      <c r="W18" s="331" t="s">
        <v>877</v>
      </c>
      <c r="X18" s="331" t="s">
        <v>876</v>
      </c>
      <c r="Y18" s="331" t="s">
        <v>877</v>
      </c>
      <c r="Z18" s="331" t="s">
        <v>876</v>
      </c>
      <c r="AA18" s="331" t="s">
        <v>877</v>
      </c>
      <c r="AB18" s="331" t="s">
        <v>876</v>
      </c>
      <c r="AC18" s="331" t="s">
        <v>877</v>
      </c>
      <c r="AD18" s="331" t="s">
        <v>876</v>
      </c>
      <c r="AE18" s="331" t="s">
        <v>877</v>
      </c>
      <c r="AF18" s="331" t="s">
        <v>876</v>
      </c>
      <c r="AG18" s="331" t="s">
        <v>877</v>
      </c>
      <c r="AH18" s="331" t="s">
        <v>876</v>
      </c>
      <c r="AI18" s="331" t="s">
        <v>877</v>
      </c>
      <c r="AJ18" s="331" t="s">
        <v>876</v>
      </c>
      <c r="AK18" s="331" t="s">
        <v>877</v>
      </c>
      <c r="AL18" s="332" t="s">
        <v>876</v>
      </c>
      <c r="AM18" s="332" t="s">
        <v>877</v>
      </c>
      <c r="AN18" s="332" t="s">
        <v>876</v>
      </c>
      <c r="AO18" s="332" t="s">
        <v>877</v>
      </c>
      <c r="AP18" s="332" t="s">
        <v>876</v>
      </c>
      <c r="AQ18" s="332" t="s">
        <v>877</v>
      </c>
      <c r="AR18" s="332" t="s">
        <v>876</v>
      </c>
      <c r="AS18" s="332" t="s">
        <v>877</v>
      </c>
      <c r="AT18" s="332" t="s">
        <v>878</v>
      </c>
      <c r="AU18" s="332" t="s">
        <v>877</v>
      </c>
      <c r="AV18" s="332" t="s">
        <v>878</v>
      </c>
      <c r="AW18" s="332" t="s">
        <v>877</v>
      </c>
      <c r="AX18" s="332" t="s">
        <v>876</v>
      </c>
      <c r="AY18" s="332" t="s">
        <v>877</v>
      </c>
      <c r="AZ18" s="332" t="s">
        <v>876</v>
      </c>
      <c r="BA18" s="332" t="s">
        <v>877</v>
      </c>
      <c r="BB18" s="332" t="s">
        <v>876</v>
      </c>
      <c r="BC18" s="332" t="s">
        <v>877</v>
      </c>
      <c r="BD18" s="332" t="s">
        <v>876</v>
      </c>
      <c r="BE18" s="332" t="s">
        <v>877</v>
      </c>
      <c r="BF18" s="332" t="s">
        <v>876</v>
      </c>
      <c r="BG18" s="332" t="s">
        <v>877</v>
      </c>
      <c r="BH18" s="332" t="s">
        <v>876</v>
      </c>
      <c r="BI18" s="332" t="s">
        <v>877</v>
      </c>
      <c r="BJ18" s="333" t="s">
        <v>876</v>
      </c>
      <c r="BK18" s="333" t="s">
        <v>877</v>
      </c>
      <c r="BL18" s="333" t="s">
        <v>876</v>
      </c>
      <c r="BM18" s="333" t="s">
        <v>877</v>
      </c>
      <c r="BN18" s="333" t="s">
        <v>876</v>
      </c>
      <c r="BO18" s="333" t="s">
        <v>877</v>
      </c>
      <c r="BP18" s="333" t="s">
        <v>876</v>
      </c>
      <c r="BQ18" s="333" t="s">
        <v>877</v>
      </c>
      <c r="BR18" s="333" t="s">
        <v>876</v>
      </c>
      <c r="BS18" s="333" t="s">
        <v>877</v>
      </c>
      <c r="BT18" s="333" t="s">
        <v>876</v>
      </c>
      <c r="BU18" s="333" t="s">
        <v>877</v>
      </c>
    </row>
    <row r="19" spans="1:73" x14ac:dyDescent="0.35">
      <c r="A19" s="345" t="s">
        <v>879</v>
      </c>
      <c r="B19" s="346"/>
      <c r="C19" s="346"/>
      <c r="D19" s="346"/>
      <c r="E19" s="346"/>
      <c r="F19" s="346"/>
      <c r="G19" s="346"/>
      <c r="H19" s="346"/>
      <c r="I19" s="346"/>
      <c r="J19" s="346"/>
      <c r="K19" s="346"/>
      <c r="L19" s="346"/>
      <c r="M19" s="346"/>
      <c r="N19" s="346"/>
      <c r="O19" s="346"/>
      <c r="P19" s="346"/>
      <c r="Q19" s="346"/>
      <c r="R19" s="346"/>
      <c r="S19" s="346"/>
      <c r="T19" s="346"/>
      <c r="U19" s="346"/>
      <c r="V19" s="346"/>
      <c r="W19" s="346"/>
      <c r="X19" s="346"/>
      <c r="Y19" s="346"/>
      <c r="Z19" s="346"/>
      <c r="AA19" s="346"/>
      <c r="AB19" s="346"/>
      <c r="AC19" s="346"/>
      <c r="AD19" s="346"/>
      <c r="AE19" s="346"/>
      <c r="AF19" s="346"/>
      <c r="AG19" s="346"/>
      <c r="AH19" s="346"/>
      <c r="AI19" s="346"/>
      <c r="AJ19" s="346"/>
      <c r="AK19" s="346"/>
      <c r="AL19" s="346"/>
      <c r="AM19" s="346"/>
      <c r="AN19" s="346"/>
      <c r="AO19" s="346"/>
      <c r="AP19" s="346"/>
      <c r="AQ19" s="346"/>
      <c r="AR19" s="346"/>
      <c r="AS19" s="346"/>
      <c r="AT19" s="346"/>
      <c r="AU19" s="346"/>
      <c r="AV19" s="346"/>
      <c r="AW19" s="346"/>
      <c r="AX19" s="346"/>
      <c r="AY19" s="346"/>
      <c r="AZ19" s="346"/>
      <c r="BA19" s="346"/>
      <c r="BB19" s="346"/>
      <c r="BC19" s="346"/>
      <c r="BD19" s="346"/>
      <c r="BE19" s="346"/>
      <c r="BF19" s="346"/>
      <c r="BG19" s="346"/>
      <c r="BH19" s="346"/>
      <c r="BI19" s="346"/>
      <c r="BJ19" s="346"/>
      <c r="BK19" s="346"/>
      <c r="BL19" s="346"/>
      <c r="BM19" s="346"/>
      <c r="BN19" s="346"/>
      <c r="BO19" s="346"/>
      <c r="BP19" s="346"/>
      <c r="BQ19" s="346"/>
      <c r="BR19" s="346"/>
      <c r="BS19" s="346"/>
      <c r="BT19" s="346"/>
      <c r="BU19" s="346"/>
    </row>
    <row r="20" spans="1:73" x14ac:dyDescent="0.35">
      <c r="A20" s="347" t="s">
        <v>884</v>
      </c>
      <c r="B20" s="347">
        <v>13186</v>
      </c>
      <c r="C20" s="347">
        <v>12606</v>
      </c>
      <c r="D20" s="347">
        <v>12273</v>
      </c>
      <c r="E20" s="347">
        <v>11957</v>
      </c>
      <c r="F20" s="347">
        <v>11316</v>
      </c>
      <c r="G20" s="347">
        <v>11543</v>
      </c>
      <c r="H20" s="347">
        <v>11306</v>
      </c>
      <c r="I20" s="347">
        <v>10536</v>
      </c>
      <c r="J20" s="347">
        <v>10371</v>
      </c>
      <c r="K20" s="347">
        <v>10663</v>
      </c>
      <c r="L20" s="347">
        <v>10827</v>
      </c>
      <c r="M20" s="347">
        <v>10573</v>
      </c>
      <c r="N20" s="347">
        <v>9822</v>
      </c>
      <c r="O20" s="347">
        <v>9711</v>
      </c>
      <c r="P20" s="347">
        <v>9211</v>
      </c>
      <c r="Q20" s="347">
        <v>9245</v>
      </c>
      <c r="R20" s="347">
        <v>9567</v>
      </c>
      <c r="S20" s="347">
        <v>9524</v>
      </c>
      <c r="T20" s="347">
        <v>10749</v>
      </c>
      <c r="U20" s="347">
        <v>13033</v>
      </c>
      <c r="V20" s="347">
        <v>16183</v>
      </c>
      <c r="W20" s="347">
        <v>17902</v>
      </c>
      <c r="X20" s="347">
        <v>20206</v>
      </c>
      <c r="Y20" s="347">
        <v>20688</v>
      </c>
      <c r="Z20" s="347">
        <v>21653</v>
      </c>
      <c r="AA20" s="347">
        <v>20009</v>
      </c>
      <c r="AB20" s="347">
        <v>21005</v>
      </c>
      <c r="AC20" s="347">
        <v>19286</v>
      </c>
      <c r="AD20" s="347">
        <v>18236</v>
      </c>
      <c r="AE20" s="347">
        <v>17904</v>
      </c>
      <c r="AF20" s="347">
        <v>19511</v>
      </c>
      <c r="AG20" s="347">
        <v>20275</v>
      </c>
      <c r="AH20" s="347">
        <v>20907</v>
      </c>
      <c r="AI20" s="347">
        <v>19359</v>
      </c>
      <c r="AJ20" s="347">
        <v>19262</v>
      </c>
      <c r="AK20" s="347">
        <v>19985</v>
      </c>
      <c r="AL20" s="347">
        <v>18749</v>
      </c>
      <c r="AM20" s="347">
        <v>19730</v>
      </c>
      <c r="AN20" s="347">
        <v>18318</v>
      </c>
      <c r="AO20" s="347">
        <v>17090</v>
      </c>
      <c r="AP20" s="347">
        <v>19116</v>
      </c>
      <c r="AQ20" s="347">
        <v>19065</v>
      </c>
      <c r="AR20" s="347">
        <v>17631</v>
      </c>
      <c r="AS20" s="347">
        <v>20127</v>
      </c>
      <c r="AT20" s="347">
        <v>22507</v>
      </c>
      <c r="AU20" s="347">
        <v>24749</v>
      </c>
      <c r="AV20" s="347">
        <v>22751</v>
      </c>
      <c r="AW20" s="347">
        <v>22268</v>
      </c>
      <c r="AX20" s="347">
        <v>21174</v>
      </c>
      <c r="AY20" s="347">
        <v>21205</v>
      </c>
      <c r="AZ20" s="347">
        <v>23196</v>
      </c>
      <c r="BA20" s="347">
        <v>24291</v>
      </c>
      <c r="BB20" s="347">
        <v>22682</v>
      </c>
      <c r="BC20" s="347">
        <v>22822</v>
      </c>
      <c r="BD20" s="347">
        <v>25369</v>
      </c>
      <c r="BE20" s="347">
        <v>27742</v>
      </c>
      <c r="BF20" s="347">
        <v>27510</v>
      </c>
      <c r="BG20" s="347">
        <v>26027</v>
      </c>
      <c r="BH20" s="347">
        <v>21375</v>
      </c>
      <c r="BI20" s="347">
        <v>17144</v>
      </c>
      <c r="BJ20" s="347">
        <v>18355</v>
      </c>
      <c r="BK20" s="347">
        <v>22029</v>
      </c>
      <c r="BL20" s="347">
        <v>23177</v>
      </c>
      <c r="BM20" s="347">
        <v>23572</v>
      </c>
      <c r="BN20" s="347">
        <v>23330</v>
      </c>
      <c r="BO20" s="347">
        <v>21988</v>
      </c>
      <c r="BP20" s="347">
        <v>20753</v>
      </c>
      <c r="BQ20" s="347">
        <v>18915</v>
      </c>
      <c r="BR20" s="347">
        <v>20712</v>
      </c>
      <c r="BS20" s="347">
        <v>26748</v>
      </c>
      <c r="BT20" s="347">
        <v>26413</v>
      </c>
      <c r="BU20" s="347">
        <v>0</v>
      </c>
    </row>
    <row r="21" spans="1:73" x14ac:dyDescent="0.35">
      <c r="A21" s="347" t="s">
        <v>885</v>
      </c>
      <c r="B21" s="347">
        <v>3921</v>
      </c>
      <c r="C21" s="347">
        <v>3963</v>
      </c>
      <c r="D21" s="347">
        <v>4050</v>
      </c>
      <c r="E21" s="347">
        <v>4095</v>
      </c>
      <c r="F21" s="347">
        <v>4222</v>
      </c>
      <c r="G21" s="347">
        <v>3678</v>
      </c>
      <c r="H21" s="347">
        <v>3132</v>
      </c>
      <c r="I21" s="347">
        <v>2500</v>
      </c>
      <c r="J21" s="347">
        <v>2182</v>
      </c>
      <c r="K21" s="347">
        <v>1958</v>
      </c>
      <c r="L21" s="347">
        <v>1720</v>
      </c>
      <c r="M21" s="347">
        <v>1580</v>
      </c>
      <c r="N21" s="347">
        <v>1425</v>
      </c>
      <c r="O21" s="347">
        <v>1335</v>
      </c>
      <c r="P21" s="347">
        <v>1254</v>
      </c>
      <c r="Q21" s="347">
        <v>1176</v>
      </c>
      <c r="R21" s="347">
        <v>1060</v>
      </c>
      <c r="S21" s="347">
        <v>939</v>
      </c>
      <c r="T21" s="347">
        <v>889</v>
      </c>
      <c r="U21" s="347">
        <v>848</v>
      </c>
      <c r="V21" s="347">
        <v>824</v>
      </c>
      <c r="W21" s="347">
        <v>818</v>
      </c>
      <c r="X21" s="347">
        <v>836</v>
      </c>
      <c r="Y21" s="347">
        <v>808</v>
      </c>
      <c r="Z21" s="347">
        <v>761</v>
      </c>
      <c r="AA21" s="347">
        <v>703</v>
      </c>
      <c r="AB21" s="347">
        <v>649</v>
      </c>
      <c r="AC21" s="347">
        <v>623</v>
      </c>
      <c r="AD21" s="347">
        <v>631</v>
      </c>
      <c r="AE21" s="347">
        <v>626</v>
      </c>
      <c r="AF21" s="347">
        <v>372</v>
      </c>
      <c r="AG21" s="347">
        <v>390</v>
      </c>
      <c r="AH21" s="347">
        <v>395</v>
      </c>
      <c r="AI21" s="347">
        <v>425</v>
      </c>
      <c r="AJ21" s="347">
        <v>437</v>
      </c>
      <c r="AK21" s="347">
        <v>474</v>
      </c>
      <c r="AL21" s="347">
        <v>528</v>
      </c>
      <c r="AM21" s="347">
        <v>590</v>
      </c>
      <c r="AN21" s="347">
        <v>619</v>
      </c>
      <c r="AO21" s="347">
        <v>612</v>
      </c>
      <c r="AP21" s="347">
        <v>597</v>
      </c>
      <c r="AQ21" s="347">
        <v>593</v>
      </c>
      <c r="AR21" s="347">
        <v>578</v>
      </c>
      <c r="AS21" s="347">
        <v>551</v>
      </c>
      <c r="AT21" s="347">
        <v>579</v>
      </c>
      <c r="AU21" s="347">
        <v>601</v>
      </c>
      <c r="AV21" s="347">
        <v>590</v>
      </c>
      <c r="AW21" s="347">
        <v>586</v>
      </c>
      <c r="AX21" s="347">
        <v>591</v>
      </c>
      <c r="AY21" s="347">
        <v>591</v>
      </c>
      <c r="AZ21" s="347">
        <v>589</v>
      </c>
      <c r="BA21" s="347">
        <v>581</v>
      </c>
      <c r="BB21" s="347">
        <v>661</v>
      </c>
      <c r="BC21" s="347">
        <v>720</v>
      </c>
      <c r="BD21" s="347">
        <v>747</v>
      </c>
      <c r="BE21" s="347">
        <v>864</v>
      </c>
      <c r="BF21" s="347">
        <v>898</v>
      </c>
      <c r="BG21" s="347">
        <v>963</v>
      </c>
      <c r="BH21" s="347">
        <v>915</v>
      </c>
      <c r="BI21" s="347">
        <v>798</v>
      </c>
      <c r="BJ21" s="347">
        <v>800</v>
      </c>
      <c r="BK21" s="347">
        <v>768</v>
      </c>
      <c r="BL21" s="347">
        <v>772</v>
      </c>
      <c r="BM21" s="347">
        <v>766</v>
      </c>
      <c r="BN21" s="347">
        <v>780</v>
      </c>
      <c r="BO21" s="347">
        <v>792</v>
      </c>
      <c r="BP21" s="347">
        <v>790</v>
      </c>
      <c r="BQ21" s="347">
        <v>817</v>
      </c>
      <c r="BR21" s="347">
        <v>819</v>
      </c>
      <c r="BS21" s="347">
        <v>776</v>
      </c>
      <c r="BT21" s="347">
        <v>750</v>
      </c>
      <c r="BU21" s="347">
        <v>0</v>
      </c>
    </row>
    <row r="22" spans="1:73" x14ac:dyDescent="0.35">
      <c r="A22" s="347" t="s">
        <v>886</v>
      </c>
      <c r="B22" s="347">
        <v>1426</v>
      </c>
      <c r="C22" s="347">
        <v>1456</v>
      </c>
      <c r="D22" s="347">
        <v>1487</v>
      </c>
      <c r="E22" s="347">
        <v>1531</v>
      </c>
      <c r="F22" s="347">
        <v>1556</v>
      </c>
      <c r="G22" s="347">
        <v>1569</v>
      </c>
      <c r="H22" s="347">
        <v>1600</v>
      </c>
      <c r="I22" s="347">
        <v>1556</v>
      </c>
      <c r="J22" s="347">
        <v>1526</v>
      </c>
      <c r="K22" s="347">
        <v>1529</v>
      </c>
      <c r="L22" s="347">
        <v>1406</v>
      </c>
      <c r="M22" s="347">
        <v>1349</v>
      </c>
      <c r="N22" s="347">
        <v>1295</v>
      </c>
      <c r="O22" s="347">
        <v>1284</v>
      </c>
      <c r="P22" s="347">
        <v>1253</v>
      </c>
      <c r="Q22" s="347">
        <v>1269</v>
      </c>
      <c r="R22" s="347">
        <v>1113</v>
      </c>
      <c r="S22" s="347">
        <v>838</v>
      </c>
      <c r="T22" s="347">
        <v>704</v>
      </c>
      <c r="U22" s="347">
        <v>620</v>
      </c>
      <c r="V22" s="347">
        <v>589</v>
      </c>
      <c r="W22" s="347">
        <v>527</v>
      </c>
      <c r="X22" s="347">
        <v>494</v>
      </c>
      <c r="Y22" s="347">
        <v>457</v>
      </c>
      <c r="Z22" s="347">
        <v>433</v>
      </c>
      <c r="AA22" s="347">
        <v>419</v>
      </c>
      <c r="AB22" s="347">
        <v>413</v>
      </c>
      <c r="AC22" s="347">
        <v>408</v>
      </c>
      <c r="AD22" s="347">
        <v>408</v>
      </c>
      <c r="AE22" s="347">
        <v>392</v>
      </c>
      <c r="AF22" s="347">
        <v>238</v>
      </c>
      <c r="AG22" s="347">
        <v>231</v>
      </c>
      <c r="AH22" s="347">
        <v>221</v>
      </c>
      <c r="AI22" s="347">
        <v>225</v>
      </c>
      <c r="AJ22" s="347">
        <v>212</v>
      </c>
      <c r="AK22" s="347">
        <v>217</v>
      </c>
      <c r="AL22" s="347">
        <v>208</v>
      </c>
      <c r="AM22" s="347">
        <v>211</v>
      </c>
      <c r="AN22" s="347">
        <v>198</v>
      </c>
      <c r="AO22" s="347">
        <v>189</v>
      </c>
      <c r="AP22" s="347">
        <v>178</v>
      </c>
      <c r="AQ22" s="347">
        <v>167</v>
      </c>
      <c r="AR22" s="347">
        <v>154</v>
      </c>
      <c r="AS22" s="347">
        <v>146</v>
      </c>
      <c r="AT22" s="347">
        <v>144</v>
      </c>
      <c r="AU22" s="347">
        <v>136</v>
      </c>
      <c r="AV22" s="347">
        <v>147</v>
      </c>
      <c r="AW22" s="347">
        <v>153</v>
      </c>
      <c r="AX22" s="347">
        <v>176</v>
      </c>
      <c r="AY22" s="347">
        <v>183</v>
      </c>
      <c r="AZ22" s="347">
        <v>181</v>
      </c>
      <c r="BA22" s="347">
        <v>181</v>
      </c>
      <c r="BB22" s="347">
        <v>191</v>
      </c>
      <c r="BC22" s="347">
        <v>197</v>
      </c>
      <c r="BD22" s="347">
        <v>193</v>
      </c>
      <c r="BE22" s="347">
        <v>196</v>
      </c>
      <c r="BF22" s="347">
        <v>199</v>
      </c>
      <c r="BG22" s="347">
        <v>203</v>
      </c>
      <c r="BH22" s="347">
        <v>204</v>
      </c>
      <c r="BI22" s="347">
        <v>204</v>
      </c>
      <c r="BJ22" s="347">
        <v>224</v>
      </c>
      <c r="BK22" s="347">
        <v>217</v>
      </c>
      <c r="BL22" s="347">
        <v>215</v>
      </c>
      <c r="BM22" s="347">
        <v>205</v>
      </c>
      <c r="BN22" s="347">
        <v>196</v>
      </c>
      <c r="BO22" s="347">
        <v>187</v>
      </c>
      <c r="BP22" s="347">
        <v>198</v>
      </c>
      <c r="BQ22" s="347">
        <v>202</v>
      </c>
      <c r="BR22" s="347">
        <v>211</v>
      </c>
      <c r="BS22" s="347">
        <v>200</v>
      </c>
      <c r="BT22" s="347">
        <v>200</v>
      </c>
      <c r="BU22" s="347">
        <v>0</v>
      </c>
    </row>
    <row r="23" spans="1:73" ht="16" thickBot="1" x14ac:dyDescent="0.4">
      <c r="A23" s="348" t="s">
        <v>887</v>
      </c>
      <c r="B23" s="348">
        <v>432</v>
      </c>
      <c r="C23" s="348">
        <v>445</v>
      </c>
      <c r="D23" s="348">
        <v>443</v>
      </c>
      <c r="E23" s="348">
        <v>469</v>
      </c>
      <c r="F23" s="348">
        <v>447</v>
      </c>
      <c r="G23" s="348">
        <v>433</v>
      </c>
      <c r="H23" s="348">
        <v>440</v>
      </c>
      <c r="I23" s="348">
        <v>415</v>
      </c>
      <c r="J23" s="348">
        <v>392</v>
      </c>
      <c r="K23" s="348">
        <v>364</v>
      </c>
      <c r="L23" s="348">
        <v>338</v>
      </c>
      <c r="M23" s="348">
        <v>332</v>
      </c>
      <c r="N23" s="348">
        <v>317</v>
      </c>
      <c r="O23" s="348">
        <v>304</v>
      </c>
      <c r="P23" s="348">
        <v>288</v>
      </c>
      <c r="Q23" s="348">
        <v>276</v>
      </c>
      <c r="R23" s="348">
        <v>262</v>
      </c>
      <c r="S23" s="348">
        <v>232</v>
      </c>
      <c r="T23" s="348">
        <v>206</v>
      </c>
      <c r="U23" s="348">
        <v>201</v>
      </c>
      <c r="V23" s="348">
        <v>195</v>
      </c>
      <c r="W23" s="348">
        <v>201</v>
      </c>
      <c r="X23" s="348">
        <v>200</v>
      </c>
      <c r="Y23" s="348">
        <v>197</v>
      </c>
      <c r="Z23" s="348">
        <v>190</v>
      </c>
      <c r="AA23" s="348">
        <v>189</v>
      </c>
      <c r="AB23" s="348">
        <v>183</v>
      </c>
      <c r="AC23" s="348">
        <v>181</v>
      </c>
      <c r="AD23" s="348">
        <v>179</v>
      </c>
      <c r="AE23" s="348">
        <v>190</v>
      </c>
      <c r="AF23" s="348">
        <v>93</v>
      </c>
      <c r="AG23" s="348">
        <v>94</v>
      </c>
      <c r="AH23" s="348">
        <v>95</v>
      </c>
      <c r="AI23" s="348">
        <v>96</v>
      </c>
      <c r="AJ23" s="348">
        <v>88</v>
      </c>
      <c r="AK23" s="348">
        <v>92</v>
      </c>
      <c r="AL23" s="348">
        <v>90</v>
      </c>
      <c r="AM23" s="348">
        <v>88</v>
      </c>
      <c r="AN23" s="348">
        <v>82</v>
      </c>
      <c r="AO23" s="348">
        <v>82</v>
      </c>
      <c r="AP23" s="348">
        <v>76</v>
      </c>
      <c r="AQ23" s="348">
        <v>75</v>
      </c>
      <c r="AR23" s="348">
        <v>77</v>
      </c>
      <c r="AS23" s="348">
        <v>72</v>
      </c>
      <c r="AT23" s="348">
        <v>71</v>
      </c>
      <c r="AU23" s="348">
        <v>68</v>
      </c>
      <c r="AV23" s="348">
        <v>65</v>
      </c>
      <c r="AW23" s="348">
        <v>69</v>
      </c>
      <c r="AX23" s="348">
        <v>67</v>
      </c>
      <c r="AY23" s="348">
        <v>66</v>
      </c>
      <c r="AZ23" s="348">
        <v>69</v>
      </c>
      <c r="BA23" s="348">
        <v>67</v>
      </c>
      <c r="BB23" s="348">
        <v>65</v>
      </c>
      <c r="BC23" s="348">
        <v>67</v>
      </c>
      <c r="BD23" s="348">
        <v>72</v>
      </c>
      <c r="BE23" s="348">
        <v>70</v>
      </c>
      <c r="BF23" s="348">
        <v>68</v>
      </c>
      <c r="BG23" s="348">
        <v>69</v>
      </c>
      <c r="BH23" s="348">
        <v>68</v>
      </c>
      <c r="BI23" s="348">
        <v>73</v>
      </c>
      <c r="BJ23" s="348">
        <v>72</v>
      </c>
      <c r="BK23" s="348">
        <v>73</v>
      </c>
      <c r="BL23" s="348">
        <v>68</v>
      </c>
      <c r="BM23" s="348">
        <v>66</v>
      </c>
      <c r="BN23" s="348">
        <v>61</v>
      </c>
      <c r="BO23" s="348">
        <v>59</v>
      </c>
      <c r="BP23" s="348">
        <v>56</v>
      </c>
      <c r="BQ23" s="348">
        <v>55</v>
      </c>
      <c r="BR23" s="348">
        <v>56</v>
      </c>
      <c r="BS23" s="348">
        <v>53</v>
      </c>
      <c r="BT23" s="348">
        <v>55</v>
      </c>
      <c r="BU23" s="348">
        <v>0</v>
      </c>
    </row>
    <row r="24" spans="1:73" x14ac:dyDescent="0.35">
      <c r="A24" s="349" t="s">
        <v>0</v>
      </c>
      <c r="B24" s="349">
        <f>SUM(B20:B23)</f>
        <v>18965</v>
      </c>
      <c r="C24" s="349">
        <f t="shared" ref="C24:M24" si="0">SUM(C20:C23)</f>
        <v>18470</v>
      </c>
      <c r="D24" s="349">
        <f t="shared" si="0"/>
        <v>18253</v>
      </c>
      <c r="E24" s="349">
        <f t="shared" si="0"/>
        <v>18052</v>
      </c>
      <c r="F24" s="349">
        <f t="shared" si="0"/>
        <v>17541</v>
      </c>
      <c r="G24" s="349">
        <f t="shared" si="0"/>
        <v>17223</v>
      </c>
      <c r="H24" s="349">
        <f t="shared" si="0"/>
        <v>16478</v>
      </c>
      <c r="I24" s="349">
        <f t="shared" si="0"/>
        <v>15007</v>
      </c>
      <c r="J24" s="349">
        <f t="shared" si="0"/>
        <v>14471</v>
      </c>
      <c r="K24" s="349">
        <f t="shared" si="0"/>
        <v>14514</v>
      </c>
      <c r="L24" s="349">
        <f t="shared" si="0"/>
        <v>14291</v>
      </c>
      <c r="M24" s="349">
        <f t="shared" si="0"/>
        <v>13834</v>
      </c>
      <c r="N24" s="349">
        <v>12859</v>
      </c>
      <c r="O24" s="349">
        <v>12634</v>
      </c>
      <c r="P24" s="349">
        <v>12006</v>
      </c>
      <c r="Q24" s="349">
        <v>11966</v>
      </c>
      <c r="R24" s="349">
        <v>12002</v>
      </c>
      <c r="S24" s="349">
        <v>11533</v>
      </c>
      <c r="T24" s="349">
        <v>12548</v>
      </c>
      <c r="U24" s="349">
        <v>14702</v>
      </c>
      <c r="V24" s="349">
        <v>17791</v>
      </c>
      <c r="W24" s="349">
        <v>19448</v>
      </c>
      <c r="X24" s="349">
        <v>21736</v>
      </c>
      <c r="Y24" s="349">
        <v>22150</v>
      </c>
      <c r="Z24" s="349">
        <v>23037</v>
      </c>
      <c r="AA24" s="349">
        <v>21320</v>
      </c>
      <c r="AB24" s="349">
        <v>22250</v>
      </c>
      <c r="AC24" s="349">
        <v>20498</v>
      </c>
      <c r="AD24" s="349">
        <v>19454</v>
      </c>
      <c r="AE24" s="349">
        <v>19112</v>
      </c>
      <c r="AF24" s="349">
        <v>20214</v>
      </c>
      <c r="AG24" s="349">
        <v>20990</v>
      </c>
      <c r="AH24" s="349">
        <v>21618</v>
      </c>
      <c r="AI24" s="349">
        <v>20105</v>
      </c>
      <c r="AJ24" s="349">
        <v>19999</v>
      </c>
      <c r="AK24" s="349">
        <v>20768</v>
      </c>
      <c r="AL24" s="349">
        <v>19575</v>
      </c>
      <c r="AM24" s="349">
        <v>20619</v>
      </c>
      <c r="AN24" s="349">
        <v>19217</v>
      </c>
      <c r="AO24" s="349">
        <v>17973</v>
      </c>
      <c r="AP24" s="349">
        <v>19967</v>
      </c>
      <c r="AQ24" s="349">
        <v>19900</v>
      </c>
      <c r="AR24" s="349">
        <v>18440</v>
      </c>
      <c r="AS24" s="349">
        <v>20896</v>
      </c>
      <c r="AT24" s="349">
        <v>23301</v>
      </c>
      <c r="AU24" s="349">
        <v>25554</v>
      </c>
      <c r="AV24" s="349">
        <v>23553</v>
      </c>
      <c r="AW24" s="349">
        <v>23076</v>
      </c>
      <c r="AX24" s="349">
        <v>22008</v>
      </c>
      <c r="AY24" s="349">
        <v>22045</v>
      </c>
      <c r="AZ24" s="349">
        <v>24035</v>
      </c>
      <c r="BA24" s="349">
        <v>25120</v>
      </c>
      <c r="BB24" s="349">
        <v>23599</v>
      </c>
      <c r="BC24" s="349">
        <v>23806</v>
      </c>
      <c r="BD24" s="349">
        <v>26381</v>
      </c>
      <c r="BE24" s="349">
        <v>28872</v>
      </c>
      <c r="BF24" s="349">
        <v>28675</v>
      </c>
      <c r="BG24" s="349">
        <v>27262</v>
      </c>
      <c r="BH24" s="349">
        <v>22562</v>
      </c>
      <c r="BI24" s="349">
        <v>18219</v>
      </c>
      <c r="BJ24" s="349">
        <v>19451</v>
      </c>
      <c r="BK24" s="349">
        <v>23087</v>
      </c>
      <c r="BL24" s="349">
        <v>24232</v>
      </c>
      <c r="BM24" s="349">
        <v>24609</v>
      </c>
      <c r="BN24" s="350">
        <v>24367</v>
      </c>
      <c r="BO24" s="349">
        <v>23026</v>
      </c>
      <c r="BP24" s="350">
        <v>21797</v>
      </c>
      <c r="BQ24" s="349">
        <v>19989</v>
      </c>
      <c r="BR24" s="350">
        <v>21798</v>
      </c>
      <c r="BS24" s="349">
        <v>27777</v>
      </c>
      <c r="BT24" s="350">
        <v>27418</v>
      </c>
      <c r="BU24" s="349">
        <v>0</v>
      </c>
    </row>
    <row r="25" spans="1:73" x14ac:dyDescent="0.35">
      <c r="A25" s="345" t="s">
        <v>880</v>
      </c>
      <c r="B25" s="346"/>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46"/>
      <c r="AH25" s="346"/>
      <c r="AI25" s="346"/>
      <c r="AJ25" s="346"/>
      <c r="AK25" s="346"/>
      <c r="AL25" s="346"/>
      <c r="AM25" s="346"/>
      <c r="AN25" s="346"/>
      <c r="AO25" s="346"/>
      <c r="AP25" s="346"/>
      <c r="AQ25" s="346"/>
      <c r="AR25" s="346"/>
      <c r="AS25" s="346"/>
      <c r="AT25" s="346"/>
      <c r="AU25" s="346"/>
      <c r="AV25" s="346"/>
      <c r="AW25" s="346"/>
      <c r="AX25" s="346"/>
      <c r="AY25" s="346"/>
      <c r="AZ25" s="346"/>
      <c r="BA25" s="346"/>
      <c r="BB25" s="346"/>
      <c r="BC25" s="346"/>
      <c r="BD25" s="346"/>
      <c r="BE25" s="346"/>
      <c r="BF25" s="346"/>
      <c r="BG25" s="346"/>
      <c r="BH25" s="346"/>
      <c r="BI25" s="346"/>
      <c r="BJ25" s="346"/>
      <c r="BK25" s="346"/>
      <c r="BL25" s="346"/>
      <c r="BM25" s="346"/>
      <c r="BN25" s="346"/>
      <c r="BO25" s="346"/>
      <c r="BP25" s="346"/>
      <c r="BQ25" s="346"/>
      <c r="BR25" s="346"/>
      <c r="BS25" s="346"/>
      <c r="BT25" s="346"/>
      <c r="BU25" s="346"/>
    </row>
    <row r="26" spans="1:73" x14ac:dyDescent="0.35">
      <c r="A26" s="347" t="s">
        <v>884</v>
      </c>
      <c r="B26" s="347">
        <v>244</v>
      </c>
      <c r="C26" s="347">
        <v>197</v>
      </c>
      <c r="D26" s="347">
        <v>99</v>
      </c>
      <c r="E26" s="347">
        <v>116</v>
      </c>
      <c r="F26" s="347">
        <v>89</v>
      </c>
      <c r="G26" s="347">
        <v>228</v>
      </c>
      <c r="H26" s="347">
        <v>209</v>
      </c>
      <c r="I26" s="347">
        <v>146</v>
      </c>
      <c r="J26" s="347">
        <v>149</v>
      </c>
      <c r="K26" s="347">
        <v>211</v>
      </c>
      <c r="L26" s="347">
        <v>153</v>
      </c>
      <c r="M26" s="347">
        <v>227</v>
      </c>
      <c r="N26" s="347">
        <v>164</v>
      </c>
      <c r="O26" s="347">
        <v>554</v>
      </c>
      <c r="P26" s="347">
        <v>416</v>
      </c>
      <c r="Q26" s="347">
        <v>257</v>
      </c>
      <c r="R26" s="347">
        <v>1051</v>
      </c>
      <c r="S26" s="347">
        <v>1225</v>
      </c>
      <c r="T26" s="347">
        <v>1016</v>
      </c>
      <c r="U26" s="347">
        <v>320</v>
      </c>
      <c r="V26" s="347">
        <v>484</v>
      </c>
      <c r="W26" s="347">
        <v>1226</v>
      </c>
      <c r="X26" s="347">
        <v>1119</v>
      </c>
      <c r="Y26" s="347">
        <v>935</v>
      </c>
      <c r="Z26" s="347">
        <v>1135</v>
      </c>
      <c r="AA26" s="347">
        <v>1092</v>
      </c>
      <c r="AB26" s="347">
        <v>1195</v>
      </c>
      <c r="AC26" s="347">
        <v>1165</v>
      </c>
      <c r="AD26" s="347">
        <v>775</v>
      </c>
      <c r="AE26" s="347">
        <v>591</v>
      </c>
      <c r="AF26" s="347">
        <v>1128</v>
      </c>
      <c r="AG26" s="347">
        <v>1031</v>
      </c>
      <c r="AH26" s="347">
        <v>1178</v>
      </c>
      <c r="AI26" s="347">
        <v>1449</v>
      </c>
      <c r="AJ26" s="347">
        <v>1007</v>
      </c>
      <c r="AK26" s="347">
        <v>155</v>
      </c>
      <c r="AL26" s="347">
        <v>313</v>
      </c>
      <c r="AM26" s="347">
        <v>312</v>
      </c>
      <c r="AN26" s="347">
        <v>294</v>
      </c>
      <c r="AO26" s="347">
        <v>147</v>
      </c>
      <c r="AP26" s="347">
        <v>100</v>
      </c>
      <c r="AQ26" s="347">
        <v>0</v>
      </c>
      <c r="AR26" s="347">
        <v>0</v>
      </c>
      <c r="AS26" s="347">
        <v>0</v>
      </c>
      <c r="AT26" s="347">
        <v>0</v>
      </c>
      <c r="AU26" s="347">
        <v>0</v>
      </c>
      <c r="AV26" s="347">
        <v>0</v>
      </c>
      <c r="AW26" s="347">
        <v>0</v>
      </c>
      <c r="AX26" s="347">
        <v>0</v>
      </c>
      <c r="AY26" s="347">
        <v>0</v>
      </c>
      <c r="AZ26" s="347">
        <v>0</v>
      </c>
      <c r="BA26" s="347">
        <v>0</v>
      </c>
      <c r="BB26" s="347">
        <v>0</v>
      </c>
      <c r="BC26" s="347">
        <v>0</v>
      </c>
      <c r="BD26" s="347">
        <v>0</v>
      </c>
      <c r="BE26" s="347">
        <v>0</v>
      </c>
      <c r="BF26" s="347">
        <v>0</v>
      </c>
      <c r="BG26" s="347">
        <v>0</v>
      </c>
      <c r="BH26" s="347">
        <v>0</v>
      </c>
      <c r="BI26" s="347">
        <v>0</v>
      </c>
      <c r="BJ26" s="347">
        <v>0</v>
      </c>
      <c r="BK26" s="347">
        <v>0</v>
      </c>
      <c r="BL26" s="347">
        <v>0</v>
      </c>
      <c r="BM26" s="347">
        <v>0</v>
      </c>
      <c r="BN26" s="347">
        <v>0</v>
      </c>
      <c r="BO26" s="347">
        <v>0</v>
      </c>
      <c r="BP26" s="347">
        <v>0</v>
      </c>
      <c r="BQ26" s="347">
        <v>0</v>
      </c>
      <c r="BR26" s="347">
        <v>0</v>
      </c>
      <c r="BS26" s="347">
        <v>0</v>
      </c>
      <c r="BT26" s="347">
        <v>0</v>
      </c>
      <c r="BU26" s="347">
        <v>0</v>
      </c>
    </row>
    <row r="27" spans="1:73" x14ac:dyDescent="0.35">
      <c r="A27" s="347" t="s">
        <v>885</v>
      </c>
      <c r="B27" s="347">
        <v>42</v>
      </c>
      <c r="C27" s="347">
        <v>40</v>
      </c>
      <c r="D27" s="347">
        <v>40</v>
      </c>
      <c r="E27" s="347">
        <v>26</v>
      </c>
      <c r="F27" s="347">
        <v>12</v>
      </c>
      <c r="G27" s="347">
        <v>10</v>
      </c>
      <c r="H27" s="347">
        <v>12</v>
      </c>
      <c r="I27" s="347">
        <v>2</v>
      </c>
      <c r="J27" s="347">
        <v>2</v>
      </c>
      <c r="K27" s="347">
        <v>2</v>
      </c>
      <c r="L27" s="347">
        <v>2</v>
      </c>
      <c r="M27" s="347">
        <v>0</v>
      </c>
      <c r="N27" s="347">
        <v>0</v>
      </c>
      <c r="O27" s="347">
        <v>0</v>
      </c>
      <c r="P27" s="347">
        <v>0</v>
      </c>
      <c r="Q27" s="347">
        <v>0</v>
      </c>
      <c r="R27" s="347">
        <v>0</v>
      </c>
      <c r="S27" s="347">
        <v>0</v>
      </c>
      <c r="T27" s="347">
        <v>0</v>
      </c>
      <c r="U27" s="347">
        <v>0</v>
      </c>
      <c r="V27" s="347">
        <v>0</v>
      </c>
      <c r="W27" s="347">
        <v>0</v>
      </c>
      <c r="X27" s="347">
        <v>0</v>
      </c>
      <c r="Y27" s="347">
        <v>0</v>
      </c>
      <c r="Z27" s="347">
        <v>0</v>
      </c>
      <c r="AA27" s="347">
        <v>0</v>
      </c>
      <c r="AB27" s="347">
        <v>0</v>
      </c>
      <c r="AC27" s="347">
        <v>0</v>
      </c>
      <c r="AD27" s="347">
        <v>0</v>
      </c>
      <c r="AE27" s="347">
        <v>0</v>
      </c>
      <c r="AF27" s="347">
        <v>0</v>
      </c>
      <c r="AG27" s="347">
        <v>0</v>
      </c>
      <c r="AH27" s="347">
        <v>0</v>
      </c>
      <c r="AI27" s="347">
        <v>0</v>
      </c>
      <c r="AJ27" s="347">
        <v>0</v>
      </c>
      <c r="AK27" s="347">
        <v>0</v>
      </c>
      <c r="AL27" s="347">
        <v>0</v>
      </c>
      <c r="AM27" s="347">
        <v>0</v>
      </c>
      <c r="AN27" s="347">
        <v>0</v>
      </c>
      <c r="AO27" s="347">
        <v>0</v>
      </c>
      <c r="AP27" s="347">
        <v>0</v>
      </c>
      <c r="AQ27" s="347">
        <v>0</v>
      </c>
      <c r="AR27" s="347">
        <v>0</v>
      </c>
      <c r="AS27" s="347">
        <v>0</v>
      </c>
      <c r="AT27" s="347">
        <v>0</v>
      </c>
      <c r="AU27" s="347">
        <v>0</v>
      </c>
      <c r="AV27" s="347">
        <v>0</v>
      </c>
      <c r="AW27" s="347">
        <v>0</v>
      </c>
      <c r="AX27" s="347">
        <v>0</v>
      </c>
      <c r="AY27" s="347">
        <v>0</v>
      </c>
      <c r="AZ27" s="347">
        <v>0</v>
      </c>
      <c r="BA27" s="347">
        <v>0</v>
      </c>
      <c r="BB27" s="347">
        <v>0</v>
      </c>
      <c r="BC27" s="347">
        <v>0</v>
      </c>
      <c r="BD27" s="347">
        <v>0</v>
      </c>
      <c r="BE27" s="347">
        <v>0</v>
      </c>
      <c r="BF27" s="347">
        <v>0</v>
      </c>
      <c r="BG27" s="347">
        <v>0</v>
      </c>
      <c r="BH27" s="347">
        <v>0</v>
      </c>
      <c r="BI27" s="347">
        <v>0</v>
      </c>
      <c r="BJ27" s="347">
        <v>0</v>
      </c>
      <c r="BK27" s="347">
        <v>0</v>
      </c>
      <c r="BL27" s="347">
        <v>0</v>
      </c>
      <c r="BM27" s="347">
        <v>0</v>
      </c>
      <c r="BN27" s="347">
        <v>0</v>
      </c>
      <c r="BO27" s="347">
        <v>0</v>
      </c>
      <c r="BP27" s="347">
        <v>0</v>
      </c>
      <c r="BQ27" s="347">
        <v>0</v>
      </c>
      <c r="BR27" s="347">
        <v>0</v>
      </c>
      <c r="BS27" s="347">
        <v>0</v>
      </c>
      <c r="BT27" s="347">
        <v>0</v>
      </c>
      <c r="BU27" s="347">
        <v>0</v>
      </c>
    </row>
    <row r="28" spans="1:73" x14ac:dyDescent="0.35">
      <c r="A28" s="347" t="s">
        <v>886</v>
      </c>
      <c r="B28" s="347">
        <v>0</v>
      </c>
      <c r="C28" s="347">
        <v>0</v>
      </c>
      <c r="D28" s="347">
        <v>0</v>
      </c>
      <c r="E28" s="347">
        <v>15</v>
      </c>
      <c r="F28" s="347">
        <v>25</v>
      </c>
      <c r="G28" s="347">
        <v>25</v>
      </c>
      <c r="H28" s="347">
        <v>24</v>
      </c>
      <c r="I28" s="347">
        <v>22</v>
      </c>
      <c r="J28" s="347">
        <v>20</v>
      </c>
      <c r="K28" s="347">
        <v>20</v>
      </c>
      <c r="L28" s="347">
        <v>20</v>
      </c>
      <c r="M28" s="347">
        <v>12</v>
      </c>
      <c r="N28" s="347">
        <v>10</v>
      </c>
      <c r="O28" s="347">
        <v>10</v>
      </c>
      <c r="P28" s="347">
        <v>0</v>
      </c>
      <c r="Q28" s="347">
        <v>0</v>
      </c>
      <c r="R28" s="347">
        <v>0</v>
      </c>
      <c r="S28" s="347">
        <v>0</v>
      </c>
      <c r="T28" s="347">
        <v>0</v>
      </c>
      <c r="U28" s="347">
        <v>0</v>
      </c>
      <c r="V28" s="347">
        <v>0</v>
      </c>
      <c r="W28" s="347">
        <v>0</v>
      </c>
      <c r="X28" s="347">
        <v>0</v>
      </c>
      <c r="Y28" s="347">
        <v>0</v>
      </c>
      <c r="Z28" s="347">
        <v>0</v>
      </c>
      <c r="AA28" s="347">
        <v>0</v>
      </c>
      <c r="AB28" s="347">
        <v>0</v>
      </c>
      <c r="AC28" s="347">
        <v>0</v>
      </c>
      <c r="AD28" s="347">
        <v>0</v>
      </c>
      <c r="AE28" s="347">
        <v>0</v>
      </c>
      <c r="AF28" s="347">
        <v>0</v>
      </c>
      <c r="AG28" s="347">
        <v>0</v>
      </c>
      <c r="AH28" s="347">
        <v>0</v>
      </c>
      <c r="AI28" s="347">
        <v>0</v>
      </c>
      <c r="AJ28" s="347">
        <v>0</v>
      </c>
      <c r="AK28" s="347">
        <v>0</v>
      </c>
      <c r="AL28" s="347">
        <v>0</v>
      </c>
      <c r="AM28" s="347">
        <v>0</v>
      </c>
      <c r="AN28" s="347">
        <v>0</v>
      </c>
      <c r="AO28" s="347">
        <v>0</v>
      </c>
      <c r="AP28" s="347">
        <v>0</v>
      </c>
      <c r="AQ28" s="347">
        <v>0</v>
      </c>
      <c r="AR28" s="347">
        <v>0</v>
      </c>
      <c r="AS28" s="347">
        <v>0</v>
      </c>
      <c r="AT28" s="347">
        <v>0</v>
      </c>
      <c r="AU28" s="347">
        <v>0</v>
      </c>
      <c r="AV28" s="347">
        <v>0</v>
      </c>
      <c r="AW28" s="347">
        <v>0</v>
      </c>
      <c r="AX28" s="347">
        <v>0</v>
      </c>
      <c r="AY28" s="347">
        <v>0</v>
      </c>
      <c r="AZ28" s="347">
        <v>0</v>
      </c>
      <c r="BA28" s="347">
        <v>0</v>
      </c>
      <c r="BB28" s="347">
        <v>0</v>
      </c>
      <c r="BC28" s="347">
        <v>0</v>
      </c>
      <c r="BD28" s="347">
        <v>0</v>
      </c>
      <c r="BE28" s="347">
        <v>0</v>
      </c>
      <c r="BF28" s="347">
        <v>0</v>
      </c>
      <c r="BG28" s="347">
        <v>0</v>
      </c>
      <c r="BH28" s="347">
        <v>0</v>
      </c>
      <c r="BI28" s="347">
        <v>0</v>
      </c>
      <c r="BJ28" s="347">
        <v>0</v>
      </c>
      <c r="BK28" s="347">
        <v>0</v>
      </c>
      <c r="BL28" s="347">
        <v>0</v>
      </c>
      <c r="BM28" s="347">
        <v>0</v>
      </c>
      <c r="BN28" s="347">
        <v>0</v>
      </c>
      <c r="BO28" s="347">
        <v>0</v>
      </c>
      <c r="BP28" s="347">
        <v>0</v>
      </c>
      <c r="BQ28" s="347">
        <v>0</v>
      </c>
      <c r="BR28" s="347">
        <v>0</v>
      </c>
      <c r="BS28" s="347">
        <v>0</v>
      </c>
      <c r="BT28" s="347">
        <v>0</v>
      </c>
      <c r="BU28" s="347">
        <v>0</v>
      </c>
    </row>
    <row r="29" spans="1:73" ht="16" thickBot="1" x14ac:dyDescent="0.4">
      <c r="A29" s="348" t="s">
        <v>887</v>
      </c>
      <c r="B29" s="348">
        <v>0</v>
      </c>
      <c r="C29" s="348">
        <v>0</v>
      </c>
      <c r="D29" s="348">
        <v>0</v>
      </c>
      <c r="E29" s="348">
        <v>0</v>
      </c>
      <c r="F29" s="348">
        <v>0</v>
      </c>
      <c r="G29" s="348">
        <v>0</v>
      </c>
      <c r="H29" s="348">
        <v>0</v>
      </c>
      <c r="I29" s="348">
        <v>0</v>
      </c>
      <c r="J29" s="348">
        <v>0</v>
      </c>
      <c r="K29" s="348">
        <v>0</v>
      </c>
      <c r="L29" s="348">
        <v>0</v>
      </c>
      <c r="M29" s="348">
        <v>0</v>
      </c>
      <c r="N29" s="348">
        <v>0</v>
      </c>
      <c r="O29" s="348">
        <v>0</v>
      </c>
      <c r="P29" s="348">
        <v>0</v>
      </c>
      <c r="Q29" s="348">
        <v>0</v>
      </c>
      <c r="R29" s="348">
        <v>0</v>
      </c>
      <c r="S29" s="348">
        <v>0</v>
      </c>
      <c r="T29" s="348">
        <v>0</v>
      </c>
      <c r="U29" s="348">
        <v>0</v>
      </c>
      <c r="V29" s="348">
        <v>0</v>
      </c>
      <c r="W29" s="348">
        <v>0</v>
      </c>
      <c r="X29" s="348">
        <v>0</v>
      </c>
      <c r="Y29" s="348">
        <v>0</v>
      </c>
      <c r="Z29" s="348">
        <v>0</v>
      </c>
      <c r="AA29" s="348">
        <v>0</v>
      </c>
      <c r="AB29" s="348">
        <v>0</v>
      </c>
      <c r="AC29" s="348">
        <v>0</v>
      </c>
      <c r="AD29" s="348">
        <v>0</v>
      </c>
      <c r="AE29" s="348">
        <v>0</v>
      </c>
      <c r="AF29" s="348">
        <v>0</v>
      </c>
      <c r="AG29" s="348">
        <v>0</v>
      </c>
      <c r="AH29" s="348">
        <v>0</v>
      </c>
      <c r="AI29" s="348">
        <v>0</v>
      </c>
      <c r="AJ29" s="348">
        <v>0</v>
      </c>
      <c r="AK29" s="348">
        <v>0</v>
      </c>
      <c r="AL29" s="348">
        <v>0</v>
      </c>
      <c r="AM29" s="348">
        <v>0</v>
      </c>
      <c r="AN29" s="348">
        <v>0</v>
      </c>
      <c r="AO29" s="348">
        <v>0</v>
      </c>
      <c r="AP29" s="348">
        <v>0</v>
      </c>
      <c r="AQ29" s="348">
        <v>0</v>
      </c>
      <c r="AR29" s="348">
        <v>0</v>
      </c>
      <c r="AS29" s="348">
        <v>0</v>
      </c>
      <c r="AT29" s="348">
        <v>0</v>
      </c>
      <c r="AU29" s="348">
        <v>0</v>
      </c>
      <c r="AV29" s="348">
        <v>0</v>
      </c>
      <c r="AW29" s="348">
        <v>0</v>
      </c>
      <c r="AX29" s="348">
        <v>0</v>
      </c>
      <c r="AY29" s="348">
        <v>0</v>
      </c>
      <c r="AZ29" s="348">
        <v>0</v>
      </c>
      <c r="BA29" s="348">
        <v>0</v>
      </c>
      <c r="BB29" s="348">
        <v>0</v>
      </c>
      <c r="BC29" s="348">
        <v>0</v>
      </c>
      <c r="BD29" s="348">
        <v>0</v>
      </c>
      <c r="BE29" s="348">
        <v>0</v>
      </c>
      <c r="BF29" s="348">
        <v>0</v>
      </c>
      <c r="BG29" s="348">
        <v>0</v>
      </c>
      <c r="BH29" s="348">
        <v>0</v>
      </c>
      <c r="BI29" s="348">
        <v>0</v>
      </c>
      <c r="BJ29" s="348">
        <v>0</v>
      </c>
      <c r="BK29" s="348">
        <v>0</v>
      </c>
      <c r="BL29" s="348">
        <v>0</v>
      </c>
      <c r="BM29" s="348">
        <v>0</v>
      </c>
      <c r="BN29" s="348">
        <v>0</v>
      </c>
      <c r="BO29" s="348">
        <v>0</v>
      </c>
      <c r="BP29" s="348">
        <v>0</v>
      </c>
      <c r="BQ29" s="348">
        <v>0</v>
      </c>
      <c r="BR29" s="348">
        <v>0</v>
      </c>
      <c r="BS29" s="348">
        <v>0</v>
      </c>
      <c r="BT29" s="348">
        <v>0</v>
      </c>
      <c r="BU29" s="348">
        <v>0</v>
      </c>
    </row>
    <row r="30" spans="1:73" x14ac:dyDescent="0.35">
      <c r="A30" s="349" t="s">
        <v>0</v>
      </c>
      <c r="B30" s="349">
        <f>SUM(B26:B29)</f>
        <v>286</v>
      </c>
      <c r="C30" s="349">
        <f t="shared" ref="C30:M30" si="1">SUM(C26:C29)</f>
        <v>237</v>
      </c>
      <c r="D30" s="349">
        <f t="shared" si="1"/>
        <v>139</v>
      </c>
      <c r="E30" s="349">
        <f t="shared" si="1"/>
        <v>157</v>
      </c>
      <c r="F30" s="349">
        <f t="shared" si="1"/>
        <v>126</v>
      </c>
      <c r="G30" s="349">
        <f t="shared" si="1"/>
        <v>263</v>
      </c>
      <c r="H30" s="349">
        <f t="shared" si="1"/>
        <v>245</v>
      </c>
      <c r="I30" s="349">
        <f t="shared" si="1"/>
        <v>170</v>
      </c>
      <c r="J30" s="349">
        <f t="shared" si="1"/>
        <v>171</v>
      </c>
      <c r="K30" s="349">
        <f t="shared" si="1"/>
        <v>233</v>
      </c>
      <c r="L30" s="349">
        <f t="shared" si="1"/>
        <v>175</v>
      </c>
      <c r="M30" s="349">
        <f t="shared" si="1"/>
        <v>239</v>
      </c>
      <c r="N30" s="349">
        <v>174</v>
      </c>
      <c r="O30" s="349">
        <v>564</v>
      </c>
      <c r="P30" s="349">
        <v>416</v>
      </c>
      <c r="Q30" s="349">
        <v>257</v>
      </c>
      <c r="R30" s="349">
        <v>1051</v>
      </c>
      <c r="S30" s="349">
        <v>1225</v>
      </c>
      <c r="T30" s="349">
        <v>1016</v>
      </c>
      <c r="U30" s="349">
        <v>320</v>
      </c>
      <c r="V30" s="349">
        <v>484</v>
      </c>
      <c r="W30" s="349">
        <v>1226</v>
      </c>
      <c r="X30" s="349">
        <v>1119</v>
      </c>
      <c r="Y30" s="349">
        <v>935</v>
      </c>
      <c r="Z30" s="349">
        <v>1135</v>
      </c>
      <c r="AA30" s="349">
        <v>1092</v>
      </c>
      <c r="AB30" s="349">
        <v>1195</v>
      </c>
      <c r="AC30" s="349">
        <v>1165</v>
      </c>
      <c r="AD30" s="349">
        <v>775</v>
      </c>
      <c r="AE30" s="349">
        <v>591</v>
      </c>
      <c r="AF30" s="349">
        <v>1128</v>
      </c>
      <c r="AG30" s="349">
        <v>1031</v>
      </c>
      <c r="AH30" s="349">
        <v>1178</v>
      </c>
      <c r="AI30" s="349">
        <v>1449</v>
      </c>
      <c r="AJ30" s="349">
        <v>1007</v>
      </c>
      <c r="AK30" s="349">
        <v>155</v>
      </c>
      <c r="AL30" s="349">
        <v>313</v>
      </c>
      <c r="AM30" s="349">
        <v>312</v>
      </c>
      <c r="AN30" s="349">
        <v>294</v>
      </c>
      <c r="AO30" s="349">
        <v>147</v>
      </c>
      <c r="AP30" s="349">
        <v>100</v>
      </c>
      <c r="AQ30" s="349">
        <f t="shared" ref="AQ30:BH30" si="2">SUM(AQ26:AQ29)</f>
        <v>0</v>
      </c>
      <c r="AR30" s="349">
        <f t="shared" si="2"/>
        <v>0</v>
      </c>
      <c r="AS30" s="349">
        <f t="shared" si="2"/>
        <v>0</v>
      </c>
      <c r="AT30" s="349">
        <f t="shared" si="2"/>
        <v>0</v>
      </c>
      <c r="AU30" s="349">
        <f t="shared" si="2"/>
        <v>0</v>
      </c>
      <c r="AV30" s="349">
        <f t="shared" si="2"/>
        <v>0</v>
      </c>
      <c r="AW30" s="349">
        <f t="shared" si="2"/>
        <v>0</v>
      </c>
      <c r="AX30" s="349">
        <f t="shared" si="2"/>
        <v>0</v>
      </c>
      <c r="AY30" s="349">
        <f t="shared" si="2"/>
        <v>0</v>
      </c>
      <c r="AZ30" s="349">
        <f t="shared" si="2"/>
        <v>0</v>
      </c>
      <c r="BA30" s="349">
        <f t="shared" si="2"/>
        <v>0</v>
      </c>
      <c r="BB30" s="349">
        <f t="shared" si="2"/>
        <v>0</v>
      </c>
      <c r="BC30" s="349">
        <f t="shared" si="2"/>
        <v>0</v>
      </c>
      <c r="BD30" s="349">
        <f t="shared" si="2"/>
        <v>0</v>
      </c>
      <c r="BE30" s="349">
        <f t="shared" si="2"/>
        <v>0</v>
      </c>
      <c r="BF30" s="349">
        <f t="shared" si="2"/>
        <v>0</v>
      </c>
      <c r="BG30" s="349">
        <f t="shared" si="2"/>
        <v>0</v>
      </c>
      <c r="BH30" s="349">
        <f t="shared" si="2"/>
        <v>0</v>
      </c>
      <c r="BI30" s="349">
        <v>0</v>
      </c>
      <c r="BJ30" s="349">
        <v>0</v>
      </c>
      <c r="BK30" s="349">
        <v>0</v>
      </c>
      <c r="BL30" s="349">
        <v>0</v>
      </c>
      <c r="BM30" s="349">
        <v>0</v>
      </c>
      <c r="BN30" s="349">
        <v>0</v>
      </c>
      <c r="BO30" s="349">
        <v>0</v>
      </c>
      <c r="BP30" s="349">
        <v>0</v>
      </c>
      <c r="BQ30" s="349">
        <v>0</v>
      </c>
      <c r="BR30" s="349">
        <v>0</v>
      </c>
      <c r="BS30" s="349">
        <v>0</v>
      </c>
      <c r="BT30" s="349">
        <v>0</v>
      </c>
      <c r="BU30" s="349">
        <v>0</v>
      </c>
    </row>
    <row r="31" spans="1:73" x14ac:dyDescent="0.35">
      <c r="A31" s="345" t="s">
        <v>881</v>
      </c>
      <c r="B31" s="346"/>
      <c r="C31" s="346"/>
      <c r="D31" s="346"/>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6"/>
      <c r="BD31" s="346"/>
      <c r="BE31" s="346"/>
      <c r="BF31" s="346"/>
      <c r="BG31" s="346"/>
      <c r="BH31" s="346"/>
      <c r="BI31" s="346"/>
      <c r="BJ31" s="346"/>
      <c r="BK31" s="346"/>
      <c r="BL31" s="346"/>
      <c r="BM31" s="346"/>
      <c r="BN31" s="346"/>
      <c r="BO31" s="346"/>
      <c r="BP31" s="346"/>
      <c r="BQ31" s="346"/>
      <c r="BR31" s="346"/>
      <c r="BS31" s="346"/>
      <c r="BT31" s="346"/>
      <c r="BU31" s="346"/>
    </row>
    <row r="32" spans="1:73" x14ac:dyDescent="0.35">
      <c r="A32" s="347" t="s">
        <v>884</v>
      </c>
      <c r="B32" s="347">
        <v>1037</v>
      </c>
      <c r="C32" s="347">
        <v>855</v>
      </c>
      <c r="D32" s="347">
        <v>795</v>
      </c>
      <c r="E32" s="347">
        <v>644</v>
      </c>
      <c r="F32" s="347">
        <v>542</v>
      </c>
      <c r="G32" s="347">
        <v>502</v>
      </c>
      <c r="H32" s="347">
        <v>531</v>
      </c>
      <c r="I32" s="347">
        <v>511</v>
      </c>
      <c r="J32" s="347">
        <v>487</v>
      </c>
      <c r="K32" s="347">
        <v>519</v>
      </c>
      <c r="L32" s="347">
        <v>548</v>
      </c>
      <c r="M32" s="347">
        <v>560</v>
      </c>
      <c r="N32" s="347">
        <v>648</v>
      </c>
      <c r="O32" s="347">
        <v>637</v>
      </c>
      <c r="P32" s="347">
        <v>699</v>
      </c>
      <c r="Q32" s="347">
        <v>855</v>
      </c>
      <c r="R32" s="347">
        <v>1097</v>
      </c>
      <c r="S32" s="347">
        <v>1529</v>
      </c>
      <c r="T32" s="347">
        <v>1625</v>
      </c>
      <c r="U32" s="347">
        <v>2075</v>
      </c>
      <c r="V32" s="347">
        <v>2672</v>
      </c>
      <c r="W32" s="347">
        <v>3212</v>
      </c>
      <c r="X32" s="347">
        <v>3691</v>
      </c>
      <c r="Y32" s="347">
        <v>4359</v>
      </c>
      <c r="Z32" s="347">
        <v>3336</v>
      </c>
      <c r="AA32" s="347">
        <v>3326</v>
      </c>
      <c r="AB32" s="347">
        <v>2608</v>
      </c>
      <c r="AC32" s="347">
        <v>2484</v>
      </c>
      <c r="AD32" s="347">
        <v>2225</v>
      </c>
      <c r="AE32" s="347">
        <v>2397</v>
      </c>
      <c r="AF32" s="347">
        <v>2261</v>
      </c>
      <c r="AG32" s="347">
        <v>2216</v>
      </c>
      <c r="AH32" s="347">
        <v>2555</v>
      </c>
      <c r="AI32" s="347">
        <v>2223</v>
      </c>
      <c r="AJ32" s="347">
        <v>1816</v>
      </c>
      <c r="AK32" s="347">
        <v>1429</v>
      </c>
      <c r="AL32" s="347">
        <v>1225</v>
      </c>
      <c r="AM32" s="347">
        <v>1430</v>
      </c>
      <c r="AN32" s="347">
        <v>1580</v>
      </c>
      <c r="AO32" s="347">
        <v>1410</v>
      </c>
      <c r="AP32" s="347">
        <v>1365</v>
      </c>
      <c r="AQ32" s="347">
        <v>1038</v>
      </c>
      <c r="AR32" s="347">
        <v>1038</v>
      </c>
      <c r="AS32" s="347">
        <v>1151</v>
      </c>
      <c r="AT32" s="347">
        <v>1084</v>
      </c>
      <c r="AU32" s="347">
        <v>918</v>
      </c>
      <c r="AV32" s="347">
        <v>1461</v>
      </c>
      <c r="AW32" s="347">
        <v>1609</v>
      </c>
      <c r="AX32" s="347">
        <v>1782</v>
      </c>
      <c r="AY32" s="347">
        <v>1834</v>
      </c>
      <c r="AZ32" s="347">
        <v>2103</v>
      </c>
      <c r="BA32" s="347">
        <v>2215</v>
      </c>
      <c r="BB32" s="347">
        <v>2554</v>
      </c>
      <c r="BC32" s="347">
        <v>2700</v>
      </c>
      <c r="BD32" s="347">
        <v>2393</v>
      </c>
      <c r="BE32" s="347">
        <v>2622</v>
      </c>
      <c r="BF32" s="347">
        <v>3073</v>
      </c>
      <c r="BG32" s="347">
        <v>3149</v>
      </c>
      <c r="BH32" s="347">
        <v>3790</v>
      </c>
      <c r="BI32" s="347">
        <v>2544</v>
      </c>
      <c r="BJ32" s="347">
        <v>2093</v>
      </c>
      <c r="BK32" s="347">
        <v>2861</v>
      </c>
      <c r="BL32" s="347">
        <v>3124</v>
      </c>
      <c r="BM32" s="347">
        <v>3679</v>
      </c>
      <c r="BN32" s="347">
        <v>4535</v>
      </c>
      <c r="BO32" s="347">
        <v>4212</v>
      </c>
      <c r="BP32" s="347">
        <v>3892</v>
      </c>
      <c r="BQ32" s="347">
        <v>3254</v>
      </c>
      <c r="BR32" s="347">
        <v>2739</v>
      </c>
      <c r="BS32" s="347">
        <v>3327</v>
      </c>
      <c r="BT32" s="347">
        <v>3883</v>
      </c>
      <c r="BU32" s="347">
        <v>0</v>
      </c>
    </row>
    <row r="33" spans="1:73" x14ac:dyDescent="0.35">
      <c r="A33" s="347" t="s">
        <v>885</v>
      </c>
      <c r="B33" s="347">
        <v>1207</v>
      </c>
      <c r="C33" s="347">
        <v>1052</v>
      </c>
      <c r="D33" s="347">
        <v>1013</v>
      </c>
      <c r="E33" s="347">
        <v>879</v>
      </c>
      <c r="F33" s="347">
        <v>781</v>
      </c>
      <c r="G33" s="347">
        <v>678</v>
      </c>
      <c r="H33" s="347">
        <v>552</v>
      </c>
      <c r="I33" s="347">
        <v>428</v>
      </c>
      <c r="J33" s="347">
        <v>343</v>
      </c>
      <c r="K33" s="347">
        <v>306</v>
      </c>
      <c r="L33" s="347">
        <v>257</v>
      </c>
      <c r="M33" s="347">
        <v>210</v>
      </c>
      <c r="N33" s="347">
        <v>189</v>
      </c>
      <c r="O33" s="347">
        <v>159</v>
      </c>
      <c r="P33" s="347">
        <v>130</v>
      </c>
      <c r="Q33" s="347">
        <v>112</v>
      </c>
      <c r="R33" s="347">
        <v>87</v>
      </c>
      <c r="S33" s="347">
        <v>57</v>
      </c>
      <c r="T33" s="347">
        <v>53</v>
      </c>
      <c r="U33" s="347">
        <v>46</v>
      </c>
      <c r="V33" s="347">
        <v>45</v>
      </c>
      <c r="W33" s="347">
        <v>56</v>
      </c>
      <c r="X33" s="347">
        <v>60</v>
      </c>
      <c r="Y33" s="347">
        <v>68</v>
      </c>
      <c r="Z33" s="347">
        <v>61</v>
      </c>
      <c r="AA33" s="347">
        <v>58</v>
      </c>
      <c r="AB33" s="347">
        <v>60</v>
      </c>
      <c r="AC33" s="347">
        <v>70</v>
      </c>
      <c r="AD33" s="347">
        <v>80</v>
      </c>
      <c r="AE33" s="347">
        <v>77</v>
      </c>
      <c r="AF33" s="347">
        <v>56</v>
      </c>
      <c r="AG33" s="347">
        <v>65</v>
      </c>
      <c r="AH33" s="347">
        <v>73</v>
      </c>
      <c r="AI33" s="347">
        <v>71</v>
      </c>
      <c r="AJ33" s="347">
        <v>62</v>
      </c>
      <c r="AK33" s="347">
        <v>64</v>
      </c>
      <c r="AL33" s="347">
        <v>67</v>
      </c>
      <c r="AM33" s="347">
        <v>72</v>
      </c>
      <c r="AN33" s="347">
        <v>63</v>
      </c>
      <c r="AO33" s="347">
        <v>65</v>
      </c>
      <c r="AP33" s="347">
        <v>63</v>
      </c>
      <c r="AQ33" s="347">
        <v>72</v>
      </c>
      <c r="AR33" s="347">
        <v>71</v>
      </c>
      <c r="AS33" s="347">
        <v>69</v>
      </c>
      <c r="AT33" s="347">
        <v>67</v>
      </c>
      <c r="AU33" s="347">
        <v>74</v>
      </c>
      <c r="AV33" s="347">
        <v>81</v>
      </c>
      <c r="AW33" s="347">
        <v>81</v>
      </c>
      <c r="AX33" s="347">
        <v>87</v>
      </c>
      <c r="AY33" s="347">
        <v>96</v>
      </c>
      <c r="AZ33" s="347">
        <v>96</v>
      </c>
      <c r="BA33" s="347">
        <v>96</v>
      </c>
      <c r="BB33" s="347">
        <v>95</v>
      </c>
      <c r="BC33" s="347">
        <v>95</v>
      </c>
      <c r="BD33" s="347">
        <v>104</v>
      </c>
      <c r="BE33" s="347">
        <v>114</v>
      </c>
      <c r="BF33" s="347">
        <v>118</v>
      </c>
      <c r="BG33" s="347">
        <v>139</v>
      </c>
      <c r="BH33" s="347">
        <v>154</v>
      </c>
      <c r="BI33" s="347">
        <v>154</v>
      </c>
      <c r="BJ33" s="347">
        <v>153</v>
      </c>
      <c r="BK33" s="347">
        <v>157</v>
      </c>
      <c r="BL33" s="347">
        <v>175</v>
      </c>
      <c r="BM33" s="347">
        <v>183</v>
      </c>
      <c r="BN33" s="347">
        <v>180</v>
      </c>
      <c r="BO33" s="347">
        <v>172</v>
      </c>
      <c r="BP33" s="347">
        <v>166</v>
      </c>
      <c r="BQ33" s="347">
        <v>164</v>
      </c>
      <c r="BR33" s="347">
        <v>118</v>
      </c>
      <c r="BS33" s="347">
        <v>116</v>
      </c>
      <c r="BT33" s="347">
        <v>116</v>
      </c>
      <c r="BU33" s="347">
        <v>0</v>
      </c>
    </row>
    <row r="34" spans="1:73" x14ac:dyDescent="0.35">
      <c r="A34" s="347" t="s">
        <v>886</v>
      </c>
      <c r="B34" s="347">
        <v>1127</v>
      </c>
      <c r="C34" s="347">
        <v>1220</v>
      </c>
      <c r="D34" s="347">
        <v>1214</v>
      </c>
      <c r="E34" s="347">
        <v>1268</v>
      </c>
      <c r="F34" s="347">
        <v>1278</v>
      </c>
      <c r="G34" s="347">
        <v>1245</v>
      </c>
      <c r="H34" s="347">
        <v>1188</v>
      </c>
      <c r="I34" s="347">
        <v>1150</v>
      </c>
      <c r="J34" s="347">
        <v>1098</v>
      </c>
      <c r="K34" s="347">
        <v>1029</v>
      </c>
      <c r="L34" s="347">
        <v>948</v>
      </c>
      <c r="M34" s="347">
        <v>874</v>
      </c>
      <c r="N34" s="347">
        <v>826</v>
      </c>
      <c r="O34" s="347">
        <v>755</v>
      </c>
      <c r="P34" s="347">
        <v>672</v>
      </c>
      <c r="Q34" s="347">
        <v>623</v>
      </c>
      <c r="R34" s="347">
        <v>477</v>
      </c>
      <c r="S34" s="347">
        <v>181</v>
      </c>
      <c r="T34" s="347">
        <v>84</v>
      </c>
      <c r="U34" s="347">
        <v>56</v>
      </c>
      <c r="V34" s="347">
        <v>48</v>
      </c>
      <c r="W34" s="347">
        <v>41</v>
      </c>
      <c r="X34" s="347">
        <v>40</v>
      </c>
      <c r="Y34" s="347">
        <v>41</v>
      </c>
      <c r="Z34" s="347">
        <v>36</v>
      </c>
      <c r="AA34" s="347">
        <v>40</v>
      </c>
      <c r="AB34" s="347">
        <v>36</v>
      </c>
      <c r="AC34" s="347">
        <v>32</v>
      </c>
      <c r="AD34" s="347">
        <v>30</v>
      </c>
      <c r="AE34" s="347">
        <v>30</v>
      </c>
      <c r="AF34" s="347">
        <v>12</v>
      </c>
      <c r="AG34" s="347">
        <v>15</v>
      </c>
      <c r="AH34" s="347">
        <v>17</v>
      </c>
      <c r="AI34" s="347">
        <v>18</v>
      </c>
      <c r="AJ34" s="347">
        <v>17</v>
      </c>
      <c r="AK34" s="347">
        <v>15</v>
      </c>
      <c r="AL34" s="347">
        <v>15</v>
      </c>
      <c r="AM34" s="347">
        <v>14</v>
      </c>
      <c r="AN34" s="347">
        <v>14</v>
      </c>
      <c r="AO34" s="347">
        <v>17</v>
      </c>
      <c r="AP34" s="347">
        <v>15</v>
      </c>
      <c r="AQ34" s="347">
        <v>12</v>
      </c>
      <c r="AR34" s="347">
        <v>13</v>
      </c>
      <c r="AS34" s="347">
        <v>13</v>
      </c>
      <c r="AT34" s="347">
        <v>15</v>
      </c>
      <c r="AU34" s="347">
        <v>16</v>
      </c>
      <c r="AV34" s="347">
        <v>17</v>
      </c>
      <c r="AW34" s="347">
        <v>16</v>
      </c>
      <c r="AX34" s="347">
        <v>16</v>
      </c>
      <c r="AY34" s="347">
        <v>18</v>
      </c>
      <c r="AZ34" s="347">
        <v>20</v>
      </c>
      <c r="BA34" s="347">
        <v>20</v>
      </c>
      <c r="BB34" s="347">
        <v>23</v>
      </c>
      <c r="BC34" s="347">
        <v>27</v>
      </c>
      <c r="BD34" s="347">
        <v>32</v>
      </c>
      <c r="BE34" s="347">
        <v>30</v>
      </c>
      <c r="BF34" s="347">
        <v>25</v>
      </c>
      <c r="BG34" s="347">
        <v>21</v>
      </c>
      <c r="BH34" s="347">
        <v>26</v>
      </c>
      <c r="BI34" s="347">
        <v>28</v>
      </c>
      <c r="BJ34" s="347">
        <v>30</v>
      </c>
      <c r="BK34" s="347">
        <v>31</v>
      </c>
      <c r="BL34" s="347">
        <v>33</v>
      </c>
      <c r="BM34" s="347">
        <v>32</v>
      </c>
      <c r="BN34" s="347">
        <v>29</v>
      </c>
      <c r="BO34" s="347">
        <v>32</v>
      </c>
      <c r="BP34" s="347">
        <v>38</v>
      </c>
      <c r="BQ34" s="347">
        <v>39</v>
      </c>
      <c r="BR34" s="347">
        <v>35</v>
      </c>
      <c r="BS34" s="347">
        <v>32</v>
      </c>
      <c r="BT34" s="347">
        <v>34</v>
      </c>
      <c r="BU34" s="347">
        <v>0</v>
      </c>
    </row>
    <row r="35" spans="1:73" ht="16" thickBot="1" x14ac:dyDescent="0.4">
      <c r="A35" s="348" t="s">
        <v>887</v>
      </c>
      <c r="B35" s="348">
        <v>1</v>
      </c>
      <c r="C35" s="348">
        <v>1</v>
      </c>
      <c r="D35" s="348">
        <v>1</v>
      </c>
      <c r="E35" s="348">
        <v>1</v>
      </c>
      <c r="F35" s="348">
        <v>1</v>
      </c>
      <c r="G35" s="348">
        <v>10</v>
      </c>
      <c r="H35" s="348">
        <v>12</v>
      </c>
      <c r="I35" s="348">
        <v>17</v>
      </c>
      <c r="J35" s="348">
        <v>20</v>
      </c>
      <c r="K35" s="348">
        <v>23</v>
      </c>
      <c r="L35" s="348">
        <v>32</v>
      </c>
      <c r="M35" s="348">
        <v>38</v>
      </c>
      <c r="N35" s="348">
        <v>54</v>
      </c>
      <c r="O35" s="348">
        <v>57</v>
      </c>
      <c r="P35" s="348">
        <v>65</v>
      </c>
      <c r="Q35" s="348">
        <v>64</v>
      </c>
      <c r="R35" s="348">
        <v>60</v>
      </c>
      <c r="S35" s="348">
        <v>35</v>
      </c>
      <c r="T35" s="348">
        <v>23</v>
      </c>
      <c r="U35" s="348">
        <v>14</v>
      </c>
      <c r="V35" s="348">
        <v>11</v>
      </c>
      <c r="W35" s="348">
        <v>11</v>
      </c>
      <c r="X35" s="348">
        <v>10</v>
      </c>
      <c r="Y35" s="348">
        <v>10</v>
      </c>
      <c r="Z35" s="348">
        <v>11</v>
      </c>
      <c r="AA35" s="348">
        <v>11</v>
      </c>
      <c r="AB35" s="348">
        <v>13</v>
      </c>
      <c r="AC35" s="348">
        <v>12</v>
      </c>
      <c r="AD35" s="348">
        <v>13</v>
      </c>
      <c r="AE35" s="348">
        <v>13</v>
      </c>
      <c r="AF35" s="348">
        <v>2</v>
      </c>
      <c r="AG35" s="348">
        <v>1</v>
      </c>
      <c r="AH35" s="348">
        <v>1</v>
      </c>
      <c r="AI35" s="348">
        <v>2</v>
      </c>
      <c r="AJ35" s="348">
        <v>2</v>
      </c>
      <c r="AK35" s="348">
        <v>3</v>
      </c>
      <c r="AL35" s="348">
        <v>3</v>
      </c>
      <c r="AM35" s="348">
        <v>5</v>
      </c>
      <c r="AN35" s="348">
        <v>5</v>
      </c>
      <c r="AO35" s="348">
        <v>5</v>
      </c>
      <c r="AP35" s="348">
        <v>5</v>
      </c>
      <c r="AQ35" s="348">
        <v>6</v>
      </c>
      <c r="AR35" s="348">
        <v>5</v>
      </c>
      <c r="AS35" s="348">
        <v>6</v>
      </c>
      <c r="AT35" s="348">
        <v>5</v>
      </c>
      <c r="AU35" s="348">
        <v>5</v>
      </c>
      <c r="AV35" s="348">
        <v>5</v>
      </c>
      <c r="AW35" s="348">
        <v>7</v>
      </c>
      <c r="AX35" s="348">
        <v>7</v>
      </c>
      <c r="AY35" s="348">
        <v>7</v>
      </c>
      <c r="AZ35" s="348">
        <v>7</v>
      </c>
      <c r="BA35" s="348">
        <v>6</v>
      </c>
      <c r="BB35" s="348">
        <v>6</v>
      </c>
      <c r="BC35" s="348">
        <v>4</v>
      </c>
      <c r="BD35" s="348">
        <v>4</v>
      </c>
      <c r="BE35" s="348">
        <v>5</v>
      </c>
      <c r="BF35" s="348">
        <v>5</v>
      </c>
      <c r="BG35" s="348">
        <v>6</v>
      </c>
      <c r="BH35" s="348">
        <v>6</v>
      </c>
      <c r="BI35" s="348">
        <v>6</v>
      </c>
      <c r="BJ35" s="348">
        <v>6</v>
      </c>
      <c r="BK35" s="348">
        <v>6</v>
      </c>
      <c r="BL35" s="348">
        <v>6</v>
      </c>
      <c r="BM35" s="348">
        <v>6</v>
      </c>
      <c r="BN35" s="348">
        <v>6</v>
      </c>
      <c r="BO35" s="348">
        <v>6</v>
      </c>
      <c r="BP35" s="348">
        <v>5</v>
      </c>
      <c r="BQ35" s="348">
        <v>5</v>
      </c>
      <c r="BR35" s="348">
        <v>5</v>
      </c>
      <c r="BS35" s="348">
        <v>5</v>
      </c>
      <c r="BT35" s="348">
        <v>5</v>
      </c>
      <c r="BU35" s="348">
        <v>0</v>
      </c>
    </row>
    <row r="36" spans="1:73" x14ac:dyDescent="0.35">
      <c r="A36" s="349" t="s">
        <v>0</v>
      </c>
      <c r="B36" s="349">
        <v>3372</v>
      </c>
      <c r="C36" s="349">
        <v>3128</v>
      </c>
      <c r="D36" s="349">
        <v>3023</v>
      </c>
      <c r="E36" s="349">
        <v>2792</v>
      </c>
      <c r="F36" s="349">
        <v>2602</v>
      </c>
      <c r="G36" s="349">
        <v>2435</v>
      </c>
      <c r="H36" s="349">
        <v>2283</v>
      </c>
      <c r="I36" s="349">
        <v>2106</v>
      </c>
      <c r="J36" s="349">
        <v>1948</v>
      </c>
      <c r="K36" s="349">
        <v>1877</v>
      </c>
      <c r="L36" s="349">
        <v>1785</v>
      </c>
      <c r="M36" s="349">
        <v>1682</v>
      </c>
      <c r="N36" s="349">
        <v>1717</v>
      </c>
      <c r="O36" s="349">
        <v>1608</v>
      </c>
      <c r="P36" s="349">
        <v>1566</v>
      </c>
      <c r="Q36" s="349">
        <v>1654</v>
      </c>
      <c r="R36" s="349">
        <v>1721</v>
      </c>
      <c r="S36" s="349">
        <v>1802</v>
      </c>
      <c r="T36" s="349">
        <v>1785</v>
      </c>
      <c r="U36" s="349">
        <v>2191</v>
      </c>
      <c r="V36" s="349">
        <v>2776</v>
      </c>
      <c r="W36" s="349">
        <v>3320</v>
      </c>
      <c r="X36" s="349">
        <v>3801</v>
      </c>
      <c r="Y36" s="349">
        <v>4478</v>
      </c>
      <c r="Z36" s="349">
        <v>3444</v>
      </c>
      <c r="AA36" s="349">
        <v>3435</v>
      </c>
      <c r="AB36" s="349">
        <v>2717</v>
      </c>
      <c r="AC36" s="349">
        <v>2598</v>
      </c>
      <c r="AD36" s="349">
        <v>2348</v>
      </c>
      <c r="AE36" s="349">
        <v>2517</v>
      </c>
      <c r="AF36" s="349">
        <v>2331</v>
      </c>
      <c r="AG36" s="349">
        <v>2297</v>
      </c>
      <c r="AH36" s="349">
        <v>2646</v>
      </c>
      <c r="AI36" s="349">
        <v>2314</v>
      </c>
      <c r="AJ36" s="349">
        <v>1897</v>
      </c>
      <c r="AK36" s="349">
        <v>1511</v>
      </c>
      <c r="AL36" s="349">
        <v>1310</v>
      </c>
      <c r="AM36" s="349">
        <v>1521</v>
      </c>
      <c r="AN36" s="349">
        <v>1662</v>
      </c>
      <c r="AO36" s="349">
        <v>1497</v>
      </c>
      <c r="AP36" s="349">
        <v>1448</v>
      </c>
      <c r="AQ36" s="349">
        <v>1128</v>
      </c>
      <c r="AR36" s="349">
        <v>1127</v>
      </c>
      <c r="AS36" s="349">
        <v>1239</v>
      </c>
      <c r="AT36" s="349">
        <v>1171</v>
      </c>
      <c r="AU36" s="349">
        <v>1013</v>
      </c>
      <c r="AV36" s="349">
        <v>1564</v>
      </c>
      <c r="AW36" s="349">
        <v>1713</v>
      </c>
      <c r="AX36" s="349">
        <v>1892</v>
      </c>
      <c r="AY36" s="349">
        <v>1955</v>
      </c>
      <c r="AZ36" s="349">
        <v>2226</v>
      </c>
      <c r="BA36" s="349">
        <v>2337</v>
      </c>
      <c r="BB36" s="349">
        <v>2678</v>
      </c>
      <c r="BC36" s="349">
        <v>2826</v>
      </c>
      <c r="BD36" s="349">
        <v>2533</v>
      </c>
      <c r="BE36" s="349">
        <v>2771</v>
      </c>
      <c r="BF36" s="349">
        <v>3221</v>
      </c>
      <c r="BG36" s="349">
        <v>3315</v>
      </c>
      <c r="BH36" s="349">
        <v>3976</v>
      </c>
      <c r="BI36" s="349">
        <v>2732</v>
      </c>
      <c r="BJ36" s="349">
        <v>2282</v>
      </c>
      <c r="BK36" s="349">
        <v>3055</v>
      </c>
      <c r="BL36" s="349">
        <v>3338</v>
      </c>
      <c r="BM36" s="349">
        <v>3900</v>
      </c>
      <c r="BN36" s="349">
        <v>4750</v>
      </c>
      <c r="BO36" s="349">
        <v>4422</v>
      </c>
      <c r="BP36" s="349">
        <v>4101</v>
      </c>
      <c r="BQ36" s="349">
        <v>3462</v>
      </c>
      <c r="BR36" s="349">
        <v>2897</v>
      </c>
      <c r="BS36" s="349">
        <v>3480</v>
      </c>
      <c r="BT36" s="349">
        <v>4038</v>
      </c>
      <c r="BU36" s="349">
        <v>0</v>
      </c>
    </row>
    <row r="37" spans="1:73" x14ac:dyDescent="0.35">
      <c r="A37" s="345" t="s">
        <v>882</v>
      </c>
      <c r="B37" s="346"/>
      <c r="C37" s="346"/>
      <c r="D37" s="346"/>
      <c r="E37" s="346"/>
      <c r="F37" s="346"/>
      <c r="G37" s="346"/>
      <c r="H37" s="346"/>
      <c r="I37" s="346"/>
      <c r="J37" s="34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346"/>
      <c r="AH37" s="346"/>
      <c r="AI37" s="346"/>
      <c r="AJ37" s="346"/>
      <c r="AK37" s="346"/>
      <c r="AL37" s="346"/>
      <c r="AM37" s="346"/>
      <c r="AN37" s="346"/>
      <c r="AO37" s="346"/>
      <c r="AP37" s="346"/>
      <c r="AQ37" s="346"/>
      <c r="AR37" s="346"/>
      <c r="AS37" s="346"/>
      <c r="AT37" s="346"/>
      <c r="AU37" s="346"/>
      <c r="AV37" s="346"/>
      <c r="AW37" s="346"/>
      <c r="AX37" s="346"/>
      <c r="AY37" s="346"/>
      <c r="AZ37" s="346"/>
      <c r="BA37" s="346"/>
      <c r="BB37" s="346"/>
      <c r="BC37" s="346"/>
      <c r="BD37" s="346"/>
      <c r="BE37" s="346"/>
      <c r="BF37" s="346"/>
      <c r="BG37" s="346"/>
      <c r="BH37" s="346"/>
      <c r="BI37" s="346"/>
      <c r="BJ37" s="346"/>
      <c r="BK37" s="346"/>
      <c r="BL37" s="346"/>
      <c r="BM37" s="346"/>
      <c r="BN37" s="346"/>
      <c r="BO37" s="346"/>
      <c r="BP37" s="346"/>
      <c r="BQ37" s="346"/>
      <c r="BR37" s="346"/>
      <c r="BS37" s="346"/>
      <c r="BT37" s="346"/>
      <c r="BU37" s="346"/>
    </row>
    <row r="38" spans="1:73" x14ac:dyDescent="0.35">
      <c r="A38" s="347" t="s">
        <v>884</v>
      </c>
      <c r="B38" s="347">
        <v>38</v>
      </c>
      <c r="C38" s="347">
        <v>54</v>
      </c>
      <c r="D38" s="347">
        <v>46</v>
      </c>
      <c r="E38" s="347">
        <v>30</v>
      </c>
      <c r="F38" s="347">
        <v>7</v>
      </c>
      <c r="G38" s="347">
        <v>13</v>
      </c>
      <c r="H38" s="347">
        <v>46</v>
      </c>
      <c r="I38" s="347">
        <v>39</v>
      </c>
      <c r="J38" s="347">
        <v>20</v>
      </c>
      <c r="K38" s="347">
        <v>64</v>
      </c>
      <c r="L38" s="347">
        <v>33</v>
      </c>
      <c r="M38" s="347">
        <v>58</v>
      </c>
      <c r="N38" s="347">
        <v>90</v>
      </c>
      <c r="O38" s="347">
        <v>76</v>
      </c>
      <c r="P38" s="347">
        <v>78</v>
      </c>
      <c r="Q38" s="347">
        <v>62</v>
      </c>
      <c r="R38" s="347">
        <v>0</v>
      </c>
      <c r="S38" s="347">
        <v>0</v>
      </c>
      <c r="T38" s="347">
        <v>0</v>
      </c>
      <c r="U38" s="347">
        <v>0</v>
      </c>
      <c r="V38" s="347">
        <v>0</v>
      </c>
      <c r="W38" s="347">
        <v>0</v>
      </c>
      <c r="X38" s="347">
        <v>0</v>
      </c>
      <c r="Y38" s="347">
        <v>0</v>
      </c>
      <c r="Z38" s="347">
        <v>0</v>
      </c>
      <c r="AA38" s="347">
        <v>5</v>
      </c>
      <c r="AB38" s="347">
        <v>0</v>
      </c>
      <c r="AC38" s="347">
        <v>0</v>
      </c>
      <c r="AD38" s="347">
        <v>0</v>
      </c>
      <c r="AE38" s="347">
        <v>0</v>
      </c>
      <c r="AF38" s="347">
        <v>2</v>
      </c>
      <c r="AG38" s="347">
        <v>0</v>
      </c>
      <c r="AH38" s="347">
        <v>2</v>
      </c>
      <c r="AI38" s="347">
        <v>3</v>
      </c>
      <c r="AJ38" s="347">
        <v>0</v>
      </c>
      <c r="AK38" s="347">
        <v>0</v>
      </c>
      <c r="AL38" s="347">
        <v>0</v>
      </c>
      <c r="AM38" s="347">
        <v>0</v>
      </c>
      <c r="AN38" s="347">
        <v>0</v>
      </c>
      <c r="AO38" s="347">
        <v>0</v>
      </c>
      <c r="AP38" s="347">
        <v>0</v>
      </c>
      <c r="AQ38" s="347">
        <v>0</v>
      </c>
      <c r="AR38" s="347">
        <v>0</v>
      </c>
      <c r="AS38" s="347">
        <v>0</v>
      </c>
      <c r="AT38" s="347">
        <v>0</v>
      </c>
      <c r="AU38" s="347">
        <v>0</v>
      </c>
      <c r="AV38" s="347">
        <v>0</v>
      </c>
      <c r="AW38" s="347">
        <v>0</v>
      </c>
      <c r="AX38" s="347"/>
      <c r="AY38" s="347"/>
      <c r="AZ38" s="347">
        <v>0</v>
      </c>
      <c r="BA38" s="347">
        <v>0</v>
      </c>
      <c r="BB38" s="347">
        <v>0</v>
      </c>
      <c r="BC38" s="347">
        <v>0</v>
      </c>
      <c r="BD38" s="347">
        <v>0</v>
      </c>
      <c r="BE38" s="347">
        <v>0</v>
      </c>
      <c r="BF38" s="347">
        <v>0</v>
      </c>
      <c r="BG38" s="347">
        <v>0</v>
      </c>
      <c r="BH38" s="347">
        <v>0</v>
      </c>
      <c r="BI38" s="347">
        <v>0</v>
      </c>
      <c r="BJ38" s="347">
        <v>0</v>
      </c>
      <c r="BK38" s="347">
        <v>0</v>
      </c>
      <c r="BL38" s="347">
        <v>0</v>
      </c>
      <c r="BM38" s="347">
        <v>0</v>
      </c>
      <c r="BN38" s="347">
        <v>0</v>
      </c>
      <c r="BO38" s="347">
        <v>0</v>
      </c>
      <c r="BP38" s="347">
        <v>0</v>
      </c>
      <c r="BQ38" s="347">
        <v>0</v>
      </c>
      <c r="BR38" s="347">
        <v>0</v>
      </c>
      <c r="BS38" s="347">
        <v>0</v>
      </c>
      <c r="BT38" s="347">
        <v>0</v>
      </c>
      <c r="BU38" s="347">
        <v>0</v>
      </c>
    </row>
    <row r="39" spans="1:73" x14ac:dyDescent="0.35">
      <c r="A39" s="347" t="s">
        <v>885</v>
      </c>
      <c r="B39" s="347">
        <v>49</v>
      </c>
      <c r="C39" s="347">
        <v>52</v>
      </c>
      <c r="D39" s="347">
        <v>52</v>
      </c>
      <c r="E39" s="347">
        <v>30</v>
      </c>
      <c r="F39" s="347">
        <v>36</v>
      </c>
      <c r="G39" s="347">
        <v>22</v>
      </c>
      <c r="H39" s="347">
        <v>10</v>
      </c>
      <c r="I39" s="347">
        <v>10</v>
      </c>
      <c r="J39" s="347">
        <v>10</v>
      </c>
      <c r="K39" s="347">
        <v>10</v>
      </c>
      <c r="L39" s="347">
        <v>6</v>
      </c>
      <c r="M39" s="347">
        <v>6</v>
      </c>
      <c r="N39" s="347">
        <v>3</v>
      </c>
      <c r="O39" s="347">
        <v>0</v>
      </c>
      <c r="P39" s="347">
        <v>0</v>
      </c>
      <c r="Q39" s="347">
        <v>0</v>
      </c>
      <c r="R39" s="347">
        <v>0</v>
      </c>
      <c r="S39" s="347">
        <v>0</v>
      </c>
      <c r="T39" s="347">
        <v>0</v>
      </c>
      <c r="U39" s="347">
        <v>0</v>
      </c>
      <c r="V39" s="347">
        <v>0</v>
      </c>
      <c r="W39" s="347">
        <v>0</v>
      </c>
      <c r="X39" s="347">
        <v>0</v>
      </c>
      <c r="Y39" s="347">
        <v>0</v>
      </c>
      <c r="Z39" s="347">
        <v>0</v>
      </c>
      <c r="AA39" s="347">
        <v>0</v>
      </c>
      <c r="AB39" s="347">
        <v>0</v>
      </c>
      <c r="AC39" s="347">
        <v>0</v>
      </c>
      <c r="AD39" s="347">
        <v>0</v>
      </c>
      <c r="AE39" s="347">
        <v>0</v>
      </c>
      <c r="AF39" s="347">
        <v>0</v>
      </c>
      <c r="AG39" s="347">
        <v>0</v>
      </c>
      <c r="AH39" s="347">
        <v>0</v>
      </c>
      <c r="AI39" s="347">
        <v>0</v>
      </c>
      <c r="AJ39" s="347">
        <v>0</v>
      </c>
      <c r="AK39" s="347">
        <v>0</v>
      </c>
      <c r="AL39" s="347">
        <v>0</v>
      </c>
      <c r="AM39" s="347">
        <v>0</v>
      </c>
      <c r="AN39" s="347">
        <v>0</v>
      </c>
      <c r="AO39" s="347">
        <v>0</v>
      </c>
      <c r="AP39" s="347">
        <v>0</v>
      </c>
      <c r="AQ39" s="347">
        <v>0</v>
      </c>
      <c r="AR39" s="347">
        <v>0</v>
      </c>
      <c r="AS39" s="347">
        <v>0</v>
      </c>
      <c r="AT39" s="347">
        <v>0</v>
      </c>
      <c r="AU39" s="347">
        <v>0</v>
      </c>
      <c r="AV39" s="347">
        <v>0</v>
      </c>
      <c r="AW39" s="347">
        <v>0</v>
      </c>
      <c r="AX39" s="347"/>
      <c r="AY39" s="347"/>
      <c r="AZ39" s="347">
        <v>0</v>
      </c>
      <c r="BA39" s="347">
        <v>0</v>
      </c>
      <c r="BB39" s="347">
        <v>0</v>
      </c>
      <c r="BC39" s="347">
        <v>0</v>
      </c>
      <c r="BD39" s="347">
        <v>0</v>
      </c>
      <c r="BE39" s="347">
        <v>0</v>
      </c>
      <c r="BF39" s="347">
        <v>0</v>
      </c>
      <c r="BG39" s="347">
        <v>0</v>
      </c>
      <c r="BH39" s="347">
        <v>0</v>
      </c>
      <c r="BI39" s="347">
        <v>0</v>
      </c>
      <c r="BJ39" s="347">
        <v>0</v>
      </c>
      <c r="BK39" s="347">
        <v>0</v>
      </c>
      <c r="BL39" s="347">
        <v>0</v>
      </c>
      <c r="BM39" s="347">
        <v>0</v>
      </c>
      <c r="BN39" s="347">
        <v>0</v>
      </c>
      <c r="BO39" s="347">
        <v>0</v>
      </c>
      <c r="BP39" s="347">
        <v>0</v>
      </c>
      <c r="BQ39" s="347">
        <v>0</v>
      </c>
      <c r="BR39" s="347">
        <v>0</v>
      </c>
      <c r="BS39" s="347">
        <v>0</v>
      </c>
      <c r="BT39" s="347">
        <v>0</v>
      </c>
      <c r="BU39" s="347">
        <v>0</v>
      </c>
    </row>
    <row r="40" spans="1:73" x14ac:dyDescent="0.35">
      <c r="A40" s="347" t="s">
        <v>886</v>
      </c>
      <c r="B40" s="347">
        <v>0</v>
      </c>
      <c r="C40" s="347">
        <v>0</v>
      </c>
      <c r="D40" s="347">
        <v>0</v>
      </c>
      <c r="E40" s="347">
        <v>22</v>
      </c>
      <c r="F40" s="347">
        <v>26</v>
      </c>
      <c r="G40" s="347">
        <v>30</v>
      </c>
      <c r="H40" s="347">
        <v>33</v>
      </c>
      <c r="I40" s="347">
        <v>21</v>
      </c>
      <c r="J40" s="347">
        <v>21</v>
      </c>
      <c r="K40" s="347">
        <v>21</v>
      </c>
      <c r="L40" s="347">
        <v>21</v>
      </c>
      <c r="M40" s="347">
        <v>0</v>
      </c>
      <c r="N40" s="347">
        <v>0</v>
      </c>
      <c r="O40" s="347">
        <v>0</v>
      </c>
      <c r="P40" s="347">
        <v>0</v>
      </c>
      <c r="Q40" s="347">
        <v>0</v>
      </c>
      <c r="R40" s="347">
        <v>0</v>
      </c>
      <c r="S40" s="347">
        <v>0</v>
      </c>
      <c r="T40" s="347">
        <v>0</v>
      </c>
      <c r="U40" s="347">
        <v>0</v>
      </c>
      <c r="V40" s="347">
        <v>0</v>
      </c>
      <c r="W40" s="347">
        <v>0</v>
      </c>
      <c r="X40" s="347">
        <v>0</v>
      </c>
      <c r="Y40" s="347">
        <v>0</v>
      </c>
      <c r="Z40" s="347">
        <v>0</v>
      </c>
      <c r="AA40" s="347">
        <v>0</v>
      </c>
      <c r="AB40" s="347">
        <v>0</v>
      </c>
      <c r="AC40" s="347">
        <v>0</v>
      </c>
      <c r="AD40" s="347">
        <v>0</v>
      </c>
      <c r="AE40" s="347">
        <v>0</v>
      </c>
      <c r="AF40" s="347">
        <v>0</v>
      </c>
      <c r="AG40" s="347">
        <v>0</v>
      </c>
      <c r="AH40" s="347">
        <v>0</v>
      </c>
      <c r="AI40" s="347">
        <v>0</v>
      </c>
      <c r="AJ40" s="347">
        <v>0</v>
      </c>
      <c r="AK40" s="347">
        <v>0</v>
      </c>
      <c r="AL40" s="347">
        <v>0</v>
      </c>
      <c r="AM40" s="347">
        <v>0</v>
      </c>
      <c r="AN40" s="347">
        <v>0</v>
      </c>
      <c r="AO40" s="347">
        <v>0</v>
      </c>
      <c r="AP40" s="347">
        <v>0</v>
      </c>
      <c r="AQ40" s="347">
        <v>0</v>
      </c>
      <c r="AR40" s="347">
        <v>0</v>
      </c>
      <c r="AS40" s="347">
        <v>0</v>
      </c>
      <c r="AT40" s="347">
        <v>0</v>
      </c>
      <c r="AU40" s="347">
        <v>0</v>
      </c>
      <c r="AV40" s="347">
        <v>0</v>
      </c>
      <c r="AW40" s="347">
        <v>0</v>
      </c>
      <c r="AX40" s="347"/>
      <c r="AY40" s="347"/>
      <c r="AZ40" s="347">
        <v>0</v>
      </c>
      <c r="BA40" s="347">
        <v>0</v>
      </c>
      <c r="BB40" s="347">
        <v>0</v>
      </c>
      <c r="BC40" s="347">
        <v>0</v>
      </c>
      <c r="BD40" s="347">
        <v>0</v>
      </c>
      <c r="BE40" s="347">
        <v>0</v>
      </c>
      <c r="BF40" s="347">
        <v>0</v>
      </c>
      <c r="BG40" s="347">
        <v>0</v>
      </c>
      <c r="BH40" s="347">
        <v>0</v>
      </c>
      <c r="BI40" s="347">
        <v>0</v>
      </c>
      <c r="BJ40" s="347">
        <v>0</v>
      </c>
      <c r="BK40" s="347">
        <v>0</v>
      </c>
      <c r="BL40" s="347">
        <v>0</v>
      </c>
      <c r="BM40" s="347">
        <v>0</v>
      </c>
      <c r="BN40" s="347">
        <v>0</v>
      </c>
      <c r="BO40" s="347">
        <v>0</v>
      </c>
      <c r="BP40" s="347">
        <v>0</v>
      </c>
      <c r="BQ40" s="347">
        <v>0</v>
      </c>
      <c r="BR40" s="347">
        <v>0</v>
      </c>
      <c r="BS40" s="347">
        <v>0</v>
      </c>
      <c r="BT40" s="347">
        <v>0</v>
      </c>
      <c r="BU40" s="347">
        <v>0</v>
      </c>
    </row>
    <row r="41" spans="1:73" ht="16" thickBot="1" x14ac:dyDescent="0.4">
      <c r="A41" s="348" t="s">
        <v>887</v>
      </c>
      <c r="B41" s="348">
        <v>0</v>
      </c>
      <c r="C41" s="348">
        <v>0</v>
      </c>
      <c r="D41" s="348">
        <v>0</v>
      </c>
      <c r="E41" s="348">
        <v>0</v>
      </c>
      <c r="F41" s="348">
        <v>0</v>
      </c>
      <c r="G41" s="348">
        <v>0</v>
      </c>
      <c r="H41" s="348">
        <v>0</v>
      </c>
      <c r="I41" s="348">
        <v>0</v>
      </c>
      <c r="J41" s="348">
        <v>0</v>
      </c>
      <c r="K41" s="348">
        <v>0</v>
      </c>
      <c r="L41" s="348">
        <v>0</v>
      </c>
      <c r="M41" s="348">
        <v>0</v>
      </c>
      <c r="N41" s="348">
        <v>0</v>
      </c>
      <c r="O41" s="348">
        <v>0</v>
      </c>
      <c r="P41" s="348">
        <v>0</v>
      </c>
      <c r="Q41" s="348">
        <v>0</v>
      </c>
      <c r="R41" s="348">
        <v>0</v>
      </c>
      <c r="S41" s="348">
        <v>0</v>
      </c>
      <c r="T41" s="348">
        <v>0</v>
      </c>
      <c r="U41" s="348">
        <v>0</v>
      </c>
      <c r="V41" s="348">
        <v>0</v>
      </c>
      <c r="W41" s="348">
        <v>0</v>
      </c>
      <c r="X41" s="348">
        <v>0</v>
      </c>
      <c r="Y41" s="348">
        <v>0</v>
      </c>
      <c r="Z41" s="348">
        <v>0</v>
      </c>
      <c r="AA41" s="348">
        <v>0</v>
      </c>
      <c r="AB41" s="348">
        <v>0</v>
      </c>
      <c r="AC41" s="348">
        <v>0</v>
      </c>
      <c r="AD41" s="348">
        <v>0</v>
      </c>
      <c r="AE41" s="348">
        <v>0</v>
      </c>
      <c r="AF41" s="348">
        <v>0</v>
      </c>
      <c r="AG41" s="348">
        <v>0</v>
      </c>
      <c r="AH41" s="348">
        <v>0</v>
      </c>
      <c r="AI41" s="348">
        <v>0</v>
      </c>
      <c r="AJ41" s="348">
        <v>0</v>
      </c>
      <c r="AK41" s="348">
        <v>0</v>
      </c>
      <c r="AL41" s="348">
        <v>0</v>
      </c>
      <c r="AM41" s="348">
        <v>0</v>
      </c>
      <c r="AN41" s="348">
        <v>0</v>
      </c>
      <c r="AO41" s="348">
        <v>0</v>
      </c>
      <c r="AP41" s="348">
        <v>0</v>
      </c>
      <c r="AQ41" s="348">
        <v>0</v>
      </c>
      <c r="AR41" s="348">
        <v>0</v>
      </c>
      <c r="AS41" s="348">
        <v>0</v>
      </c>
      <c r="AT41" s="348">
        <v>0</v>
      </c>
      <c r="AU41" s="348">
        <v>0</v>
      </c>
      <c r="AV41" s="348">
        <v>0</v>
      </c>
      <c r="AW41" s="348">
        <v>0</v>
      </c>
      <c r="AX41" s="348"/>
      <c r="AY41" s="348"/>
      <c r="AZ41" s="348">
        <v>0</v>
      </c>
      <c r="BA41" s="348">
        <v>0</v>
      </c>
      <c r="BB41" s="348">
        <v>0</v>
      </c>
      <c r="BC41" s="348">
        <v>0</v>
      </c>
      <c r="BD41" s="348">
        <v>0</v>
      </c>
      <c r="BE41" s="348">
        <v>0</v>
      </c>
      <c r="BF41" s="348">
        <v>0</v>
      </c>
      <c r="BG41" s="348">
        <v>0</v>
      </c>
      <c r="BH41" s="348">
        <v>0</v>
      </c>
      <c r="BI41" s="348">
        <v>0</v>
      </c>
      <c r="BJ41" s="348">
        <v>0</v>
      </c>
      <c r="BK41" s="348">
        <v>0</v>
      </c>
      <c r="BL41" s="348">
        <v>0</v>
      </c>
      <c r="BM41" s="348">
        <v>0</v>
      </c>
      <c r="BN41" s="348">
        <v>0</v>
      </c>
      <c r="BO41" s="348">
        <v>0</v>
      </c>
      <c r="BP41" s="348">
        <v>0</v>
      </c>
      <c r="BQ41" s="348">
        <v>0</v>
      </c>
      <c r="BR41" s="348">
        <v>0</v>
      </c>
      <c r="BS41" s="348">
        <v>0</v>
      </c>
      <c r="BT41" s="348">
        <v>0</v>
      </c>
      <c r="BU41" s="348">
        <v>0</v>
      </c>
    </row>
    <row r="42" spans="1:73" x14ac:dyDescent="0.35">
      <c r="A42" s="349" t="s">
        <v>0</v>
      </c>
      <c r="B42" s="349">
        <v>87</v>
      </c>
      <c r="C42" s="349">
        <v>106</v>
      </c>
      <c r="D42" s="349">
        <v>98</v>
      </c>
      <c r="E42" s="349">
        <v>82</v>
      </c>
      <c r="F42" s="349">
        <v>69</v>
      </c>
      <c r="G42" s="349">
        <v>65</v>
      </c>
      <c r="H42" s="349">
        <v>89</v>
      </c>
      <c r="I42" s="349">
        <v>70</v>
      </c>
      <c r="J42" s="349">
        <v>51</v>
      </c>
      <c r="K42" s="349">
        <v>95</v>
      </c>
      <c r="L42" s="349">
        <v>60</v>
      </c>
      <c r="M42" s="349">
        <v>64</v>
      </c>
      <c r="N42" s="349">
        <v>93</v>
      </c>
      <c r="O42" s="349">
        <v>76</v>
      </c>
      <c r="P42" s="349">
        <v>78</v>
      </c>
      <c r="Q42" s="349">
        <v>62</v>
      </c>
      <c r="R42" s="349">
        <v>0</v>
      </c>
      <c r="S42" s="349">
        <v>0</v>
      </c>
      <c r="T42" s="349">
        <v>0</v>
      </c>
      <c r="U42" s="349">
        <v>0</v>
      </c>
      <c r="V42" s="349">
        <v>0</v>
      </c>
      <c r="W42" s="349">
        <v>0</v>
      </c>
      <c r="X42" s="349">
        <v>0</v>
      </c>
      <c r="Y42" s="349">
        <v>0</v>
      </c>
      <c r="Z42" s="349">
        <v>0</v>
      </c>
      <c r="AA42" s="349">
        <v>5</v>
      </c>
      <c r="AB42" s="349">
        <v>0</v>
      </c>
      <c r="AC42" s="349">
        <v>0</v>
      </c>
      <c r="AD42" s="349">
        <v>0</v>
      </c>
      <c r="AE42" s="349">
        <v>0</v>
      </c>
      <c r="AF42" s="349">
        <v>2</v>
      </c>
      <c r="AG42" s="349">
        <v>0</v>
      </c>
      <c r="AH42" s="349">
        <v>2</v>
      </c>
      <c r="AI42" s="349">
        <v>3</v>
      </c>
      <c r="AJ42" s="349">
        <v>0</v>
      </c>
      <c r="AK42" s="349">
        <v>0</v>
      </c>
      <c r="AL42" s="349">
        <v>0</v>
      </c>
      <c r="AM42" s="349">
        <v>0</v>
      </c>
      <c r="AN42" s="349">
        <v>0</v>
      </c>
      <c r="AO42" s="349">
        <v>0</v>
      </c>
      <c r="AP42" s="349">
        <v>0</v>
      </c>
      <c r="AQ42" s="349">
        <v>0</v>
      </c>
      <c r="AR42" s="349">
        <v>0</v>
      </c>
      <c r="AS42" s="349">
        <v>0</v>
      </c>
      <c r="AT42" s="349">
        <v>0</v>
      </c>
      <c r="AU42" s="349">
        <v>0</v>
      </c>
      <c r="AV42" s="349">
        <v>0</v>
      </c>
      <c r="AW42" s="349">
        <v>0</v>
      </c>
      <c r="AX42" s="349"/>
      <c r="AY42" s="349"/>
      <c r="AZ42" s="349">
        <v>0</v>
      </c>
      <c r="BA42" s="349">
        <v>0</v>
      </c>
      <c r="BB42" s="349">
        <v>0</v>
      </c>
      <c r="BC42" s="349">
        <v>0</v>
      </c>
      <c r="BD42" s="349">
        <v>0</v>
      </c>
      <c r="BE42" s="349">
        <v>0</v>
      </c>
      <c r="BF42" s="349">
        <v>0</v>
      </c>
      <c r="BG42" s="349">
        <v>0</v>
      </c>
      <c r="BH42" s="349">
        <v>0</v>
      </c>
      <c r="BI42" s="349">
        <v>0</v>
      </c>
      <c r="BJ42" s="349">
        <v>0</v>
      </c>
      <c r="BK42" s="349">
        <v>0</v>
      </c>
      <c r="BL42" s="349">
        <v>0</v>
      </c>
      <c r="BM42" s="349">
        <v>0</v>
      </c>
      <c r="BN42" s="349">
        <v>0</v>
      </c>
      <c r="BO42" s="349">
        <v>0</v>
      </c>
      <c r="BP42" s="349">
        <v>0</v>
      </c>
      <c r="BQ42" s="349">
        <v>0</v>
      </c>
      <c r="BR42" s="349">
        <v>0</v>
      </c>
      <c r="BS42" s="349">
        <v>0</v>
      </c>
      <c r="BT42" s="349">
        <v>0</v>
      </c>
      <c r="BU42" s="349">
        <v>0</v>
      </c>
    </row>
    <row r="43" spans="1:73" x14ac:dyDescent="0.35">
      <c r="A43" s="345" t="s">
        <v>0</v>
      </c>
      <c r="B43" s="346"/>
      <c r="C43" s="346"/>
      <c r="D43" s="346"/>
      <c r="E43" s="346"/>
      <c r="F43" s="346"/>
      <c r="G43" s="346"/>
      <c r="H43" s="346"/>
      <c r="I43" s="346"/>
      <c r="J43" s="346"/>
      <c r="K43" s="346"/>
      <c r="L43" s="346"/>
      <c r="M43" s="346"/>
      <c r="N43" s="346"/>
      <c r="O43" s="346"/>
      <c r="P43" s="346"/>
      <c r="Q43" s="346"/>
      <c r="R43" s="346"/>
      <c r="S43" s="346"/>
      <c r="T43" s="346"/>
      <c r="U43" s="346"/>
      <c r="V43" s="346"/>
      <c r="W43" s="346"/>
      <c r="X43" s="346"/>
      <c r="Y43" s="346"/>
      <c r="Z43" s="346"/>
      <c r="AA43" s="346"/>
      <c r="AB43" s="346"/>
      <c r="AC43" s="346"/>
      <c r="AD43" s="346"/>
      <c r="AE43" s="346"/>
      <c r="AF43" s="346"/>
      <c r="AG43" s="346"/>
      <c r="AH43" s="346"/>
      <c r="AI43" s="346"/>
      <c r="AJ43" s="346"/>
      <c r="AK43" s="346"/>
      <c r="AL43" s="346"/>
      <c r="AM43" s="346"/>
      <c r="AN43" s="346"/>
      <c r="AO43" s="346"/>
      <c r="AP43" s="346"/>
      <c r="AQ43" s="346"/>
      <c r="AR43" s="346"/>
      <c r="AS43" s="346"/>
      <c r="AT43" s="346"/>
      <c r="AU43" s="346"/>
      <c r="AV43" s="346"/>
      <c r="AW43" s="346"/>
      <c r="AX43" s="346"/>
      <c r="AY43" s="346"/>
      <c r="AZ43" s="346"/>
      <c r="BA43" s="346"/>
      <c r="BB43" s="346"/>
      <c r="BC43" s="346"/>
      <c r="BD43" s="346"/>
      <c r="BE43" s="346"/>
      <c r="BF43" s="346"/>
      <c r="BG43" s="346"/>
      <c r="BH43" s="346"/>
      <c r="BI43" s="346"/>
      <c r="BJ43" s="346"/>
      <c r="BK43" s="346"/>
      <c r="BL43" s="346"/>
      <c r="BM43" s="346"/>
      <c r="BN43" s="346"/>
      <c r="BO43" s="346"/>
      <c r="BP43" s="346"/>
      <c r="BQ43" s="346"/>
      <c r="BR43" s="346"/>
      <c r="BS43" s="346"/>
      <c r="BT43" s="346"/>
      <c r="BU43" s="346"/>
    </row>
    <row r="44" spans="1:73" x14ac:dyDescent="0.35">
      <c r="A44" s="347" t="s">
        <v>884</v>
      </c>
      <c r="B44" s="347">
        <f t="shared" ref="B44:BM47" si="3">SUM(B20,B26,B32,B38)</f>
        <v>14505</v>
      </c>
      <c r="C44" s="347">
        <f t="shared" si="3"/>
        <v>13712</v>
      </c>
      <c r="D44" s="347">
        <f t="shared" si="3"/>
        <v>13213</v>
      </c>
      <c r="E44" s="347">
        <f t="shared" si="3"/>
        <v>12747</v>
      </c>
      <c r="F44" s="347">
        <f t="shared" si="3"/>
        <v>11954</v>
      </c>
      <c r="G44" s="347">
        <f t="shared" si="3"/>
        <v>12286</v>
      </c>
      <c r="H44" s="347">
        <f>SUM(H20,H26,H32,H38)</f>
        <v>12092</v>
      </c>
      <c r="I44" s="347">
        <f t="shared" si="3"/>
        <v>11232</v>
      </c>
      <c r="J44" s="347">
        <f t="shared" si="3"/>
        <v>11027</v>
      </c>
      <c r="K44" s="347">
        <f t="shared" si="3"/>
        <v>11457</v>
      </c>
      <c r="L44" s="347">
        <f t="shared" si="3"/>
        <v>11561</v>
      </c>
      <c r="M44" s="347">
        <f t="shared" si="3"/>
        <v>11418</v>
      </c>
      <c r="N44" s="347">
        <f t="shared" si="3"/>
        <v>10724</v>
      </c>
      <c r="O44" s="347">
        <f t="shared" si="3"/>
        <v>10978</v>
      </c>
      <c r="P44" s="347">
        <f t="shared" si="3"/>
        <v>10404</v>
      </c>
      <c r="Q44" s="347">
        <f t="shared" si="3"/>
        <v>10419</v>
      </c>
      <c r="R44" s="347">
        <f t="shared" si="3"/>
        <v>11715</v>
      </c>
      <c r="S44" s="347">
        <f t="shared" si="3"/>
        <v>12278</v>
      </c>
      <c r="T44" s="347">
        <f t="shared" si="3"/>
        <v>13390</v>
      </c>
      <c r="U44" s="347">
        <f t="shared" si="3"/>
        <v>15428</v>
      </c>
      <c r="V44" s="347">
        <f t="shared" si="3"/>
        <v>19339</v>
      </c>
      <c r="W44" s="347">
        <f t="shared" si="3"/>
        <v>22340</v>
      </c>
      <c r="X44" s="347">
        <f t="shared" si="3"/>
        <v>25016</v>
      </c>
      <c r="Y44" s="347">
        <f t="shared" si="3"/>
        <v>25982</v>
      </c>
      <c r="Z44" s="347">
        <f t="shared" si="3"/>
        <v>26124</v>
      </c>
      <c r="AA44" s="347">
        <f t="shared" si="3"/>
        <v>24432</v>
      </c>
      <c r="AB44" s="347">
        <f t="shared" si="3"/>
        <v>24808</v>
      </c>
      <c r="AC44" s="347">
        <f t="shared" si="3"/>
        <v>22935</v>
      </c>
      <c r="AD44" s="347">
        <f t="shared" si="3"/>
        <v>21236</v>
      </c>
      <c r="AE44" s="347">
        <f t="shared" si="3"/>
        <v>20892</v>
      </c>
      <c r="AF44" s="347">
        <f t="shared" si="3"/>
        <v>22902</v>
      </c>
      <c r="AG44" s="347">
        <f t="shared" si="3"/>
        <v>23522</v>
      </c>
      <c r="AH44" s="347">
        <f t="shared" si="3"/>
        <v>24642</v>
      </c>
      <c r="AI44" s="347">
        <f t="shared" si="3"/>
        <v>23034</v>
      </c>
      <c r="AJ44" s="347">
        <f t="shared" si="3"/>
        <v>22085</v>
      </c>
      <c r="AK44" s="347">
        <f t="shared" si="3"/>
        <v>21569</v>
      </c>
      <c r="AL44" s="347">
        <f t="shared" si="3"/>
        <v>20287</v>
      </c>
      <c r="AM44" s="347">
        <f t="shared" si="3"/>
        <v>21472</v>
      </c>
      <c r="AN44" s="347">
        <f t="shared" si="3"/>
        <v>20192</v>
      </c>
      <c r="AO44" s="347">
        <f t="shared" si="3"/>
        <v>18647</v>
      </c>
      <c r="AP44" s="347">
        <f t="shared" si="3"/>
        <v>20581</v>
      </c>
      <c r="AQ44" s="347">
        <f t="shared" si="3"/>
        <v>20103</v>
      </c>
      <c r="AR44" s="347">
        <f t="shared" si="3"/>
        <v>18669</v>
      </c>
      <c r="AS44" s="347">
        <f t="shared" si="3"/>
        <v>21278</v>
      </c>
      <c r="AT44" s="347">
        <f t="shared" si="3"/>
        <v>23591</v>
      </c>
      <c r="AU44" s="347">
        <f t="shared" si="3"/>
        <v>25667</v>
      </c>
      <c r="AV44" s="347">
        <f t="shared" si="3"/>
        <v>24212</v>
      </c>
      <c r="AW44" s="347">
        <f t="shared" si="3"/>
        <v>23877</v>
      </c>
      <c r="AX44" s="347">
        <f t="shared" si="3"/>
        <v>22956</v>
      </c>
      <c r="AY44" s="347">
        <f t="shared" si="3"/>
        <v>23039</v>
      </c>
      <c r="AZ44" s="347">
        <f t="shared" si="3"/>
        <v>25299</v>
      </c>
      <c r="BA44" s="347">
        <f t="shared" si="3"/>
        <v>26506</v>
      </c>
      <c r="BB44" s="347">
        <f t="shared" si="3"/>
        <v>25236</v>
      </c>
      <c r="BC44" s="347">
        <f t="shared" si="3"/>
        <v>25522</v>
      </c>
      <c r="BD44" s="347">
        <f t="shared" si="3"/>
        <v>27762</v>
      </c>
      <c r="BE44" s="347">
        <f t="shared" si="3"/>
        <v>30364</v>
      </c>
      <c r="BF44" s="347">
        <f t="shared" si="3"/>
        <v>30583</v>
      </c>
      <c r="BG44" s="347">
        <f t="shared" si="3"/>
        <v>29176</v>
      </c>
      <c r="BH44" s="347">
        <f t="shared" si="3"/>
        <v>25165</v>
      </c>
      <c r="BI44" s="347">
        <f t="shared" si="3"/>
        <v>19688</v>
      </c>
      <c r="BJ44" s="347">
        <f t="shared" si="3"/>
        <v>20448</v>
      </c>
      <c r="BK44" s="347">
        <f t="shared" si="3"/>
        <v>24890</v>
      </c>
      <c r="BL44" s="347">
        <f t="shared" si="3"/>
        <v>26301</v>
      </c>
      <c r="BM44" s="347">
        <f t="shared" si="3"/>
        <v>27251</v>
      </c>
      <c r="BN44" s="347">
        <f t="shared" ref="BN44:BU47" si="4">SUM(BN20,BN26,BN32,BN38)</f>
        <v>27865</v>
      </c>
      <c r="BO44" s="347">
        <f t="shared" si="4"/>
        <v>26200</v>
      </c>
      <c r="BP44" s="347">
        <f t="shared" si="4"/>
        <v>24645</v>
      </c>
      <c r="BQ44" s="347">
        <f t="shared" si="4"/>
        <v>22169</v>
      </c>
      <c r="BR44" s="347">
        <f t="shared" si="4"/>
        <v>23451</v>
      </c>
      <c r="BS44" s="347">
        <f t="shared" si="4"/>
        <v>30075</v>
      </c>
      <c r="BT44" s="347">
        <f t="shared" si="4"/>
        <v>30296</v>
      </c>
      <c r="BU44" s="347">
        <f t="shared" si="4"/>
        <v>0</v>
      </c>
    </row>
    <row r="45" spans="1:73" x14ac:dyDescent="0.35">
      <c r="A45" s="347" t="s">
        <v>885</v>
      </c>
      <c r="B45" s="347">
        <f t="shared" si="3"/>
        <v>5219</v>
      </c>
      <c r="C45" s="347">
        <f t="shared" si="3"/>
        <v>5107</v>
      </c>
      <c r="D45" s="347">
        <f t="shared" si="3"/>
        <v>5155</v>
      </c>
      <c r="E45" s="347">
        <f t="shared" si="3"/>
        <v>5030</v>
      </c>
      <c r="F45" s="347">
        <f t="shared" si="3"/>
        <v>5051</v>
      </c>
      <c r="G45" s="347">
        <f t="shared" si="3"/>
        <v>4388</v>
      </c>
      <c r="H45" s="347">
        <f t="shared" si="3"/>
        <v>3706</v>
      </c>
      <c r="I45" s="347">
        <f t="shared" si="3"/>
        <v>2940</v>
      </c>
      <c r="J45" s="347">
        <f t="shared" si="3"/>
        <v>2537</v>
      </c>
      <c r="K45" s="347">
        <f t="shared" si="3"/>
        <v>2276</v>
      </c>
      <c r="L45" s="347">
        <f t="shared" si="3"/>
        <v>1985</v>
      </c>
      <c r="M45" s="347">
        <f t="shared" si="3"/>
        <v>1796</v>
      </c>
      <c r="N45" s="347">
        <f t="shared" si="3"/>
        <v>1617</v>
      </c>
      <c r="O45" s="347">
        <f t="shared" si="3"/>
        <v>1494</v>
      </c>
      <c r="P45" s="347">
        <f t="shared" si="3"/>
        <v>1384</v>
      </c>
      <c r="Q45" s="347">
        <f t="shared" si="3"/>
        <v>1288</v>
      </c>
      <c r="R45" s="347">
        <f t="shared" si="3"/>
        <v>1147</v>
      </c>
      <c r="S45" s="347">
        <f t="shared" si="3"/>
        <v>996</v>
      </c>
      <c r="T45" s="347">
        <f t="shared" si="3"/>
        <v>942</v>
      </c>
      <c r="U45" s="347">
        <f t="shared" si="3"/>
        <v>894</v>
      </c>
      <c r="V45" s="347">
        <f t="shared" si="3"/>
        <v>869</v>
      </c>
      <c r="W45" s="347">
        <f t="shared" si="3"/>
        <v>874</v>
      </c>
      <c r="X45" s="347">
        <f t="shared" si="3"/>
        <v>896</v>
      </c>
      <c r="Y45" s="347">
        <f t="shared" si="3"/>
        <v>876</v>
      </c>
      <c r="Z45" s="347">
        <f t="shared" si="3"/>
        <v>822</v>
      </c>
      <c r="AA45" s="347">
        <f t="shared" si="3"/>
        <v>761</v>
      </c>
      <c r="AB45" s="347">
        <f t="shared" si="3"/>
        <v>709</v>
      </c>
      <c r="AC45" s="347">
        <f t="shared" si="3"/>
        <v>693</v>
      </c>
      <c r="AD45" s="347">
        <f t="shared" si="3"/>
        <v>711</v>
      </c>
      <c r="AE45" s="347">
        <f t="shared" si="3"/>
        <v>703</v>
      </c>
      <c r="AF45" s="347">
        <f t="shared" si="3"/>
        <v>428</v>
      </c>
      <c r="AG45" s="347">
        <f t="shared" si="3"/>
        <v>455</v>
      </c>
      <c r="AH45" s="347">
        <f t="shared" si="3"/>
        <v>468</v>
      </c>
      <c r="AI45" s="347">
        <f t="shared" si="3"/>
        <v>496</v>
      </c>
      <c r="AJ45" s="347">
        <f t="shared" si="3"/>
        <v>499</v>
      </c>
      <c r="AK45" s="347">
        <f t="shared" si="3"/>
        <v>538</v>
      </c>
      <c r="AL45" s="347">
        <f t="shared" si="3"/>
        <v>595</v>
      </c>
      <c r="AM45" s="347">
        <f t="shared" si="3"/>
        <v>662</v>
      </c>
      <c r="AN45" s="347">
        <f t="shared" si="3"/>
        <v>682</v>
      </c>
      <c r="AO45" s="347">
        <f t="shared" si="3"/>
        <v>677</v>
      </c>
      <c r="AP45" s="347">
        <f t="shared" si="3"/>
        <v>660</v>
      </c>
      <c r="AQ45" s="347">
        <f t="shared" si="3"/>
        <v>665</v>
      </c>
      <c r="AR45" s="347">
        <f t="shared" si="3"/>
        <v>649</v>
      </c>
      <c r="AS45" s="347">
        <f t="shared" si="3"/>
        <v>620</v>
      </c>
      <c r="AT45" s="347">
        <f t="shared" si="3"/>
        <v>646</v>
      </c>
      <c r="AU45" s="347">
        <f t="shared" si="3"/>
        <v>675</v>
      </c>
      <c r="AV45" s="347">
        <f t="shared" si="3"/>
        <v>671</v>
      </c>
      <c r="AW45" s="347">
        <f t="shared" si="3"/>
        <v>667</v>
      </c>
      <c r="AX45" s="347">
        <f t="shared" si="3"/>
        <v>678</v>
      </c>
      <c r="AY45" s="347">
        <f t="shared" si="3"/>
        <v>687</v>
      </c>
      <c r="AZ45" s="347">
        <f t="shared" si="3"/>
        <v>685</v>
      </c>
      <c r="BA45" s="347">
        <f t="shared" si="3"/>
        <v>677</v>
      </c>
      <c r="BB45" s="347">
        <f t="shared" si="3"/>
        <v>756</v>
      </c>
      <c r="BC45" s="347">
        <f t="shared" si="3"/>
        <v>815</v>
      </c>
      <c r="BD45" s="347">
        <f t="shared" si="3"/>
        <v>851</v>
      </c>
      <c r="BE45" s="347">
        <f t="shared" si="3"/>
        <v>978</v>
      </c>
      <c r="BF45" s="347">
        <f t="shared" si="3"/>
        <v>1016</v>
      </c>
      <c r="BG45" s="347">
        <f t="shared" si="3"/>
        <v>1102</v>
      </c>
      <c r="BH45" s="347">
        <f t="shared" si="3"/>
        <v>1069</v>
      </c>
      <c r="BI45" s="347">
        <f t="shared" si="3"/>
        <v>952</v>
      </c>
      <c r="BJ45" s="347">
        <f t="shared" si="3"/>
        <v>953</v>
      </c>
      <c r="BK45" s="347">
        <f t="shared" si="3"/>
        <v>925</v>
      </c>
      <c r="BL45" s="347">
        <f t="shared" si="3"/>
        <v>947</v>
      </c>
      <c r="BM45" s="347">
        <f t="shared" si="3"/>
        <v>949</v>
      </c>
      <c r="BN45" s="347">
        <f t="shared" si="4"/>
        <v>960</v>
      </c>
      <c r="BO45" s="347">
        <f t="shared" si="4"/>
        <v>964</v>
      </c>
      <c r="BP45" s="347">
        <f t="shared" si="4"/>
        <v>956</v>
      </c>
      <c r="BQ45" s="347">
        <f t="shared" si="4"/>
        <v>981</v>
      </c>
      <c r="BR45" s="347">
        <f t="shared" si="4"/>
        <v>937</v>
      </c>
      <c r="BS45" s="347">
        <f t="shared" si="4"/>
        <v>892</v>
      </c>
      <c r="BT45" s="347">
        <f t="shared" si="4"/>
        <v>866</v>
      </c>
      <c r="BU45" s="347">
        <f t="shared" si="4"/>
        <v>0</v>
      </c>
    </row>
    <row r="46" spans="1:73" x14ac:dyDescent="0.35">
      <c r="A46" s="347" t="s">
        <v>886</v>
      </c>
      <c r="B46" s="347">
        <f t="shared" si="3"/>
        <v>2553</v>
      </c>
      <c r="C46" s="347">
        <f t="shared" si="3"/>
        <v>2676</v>
      </c>
      <c r="D46" s="347">
        <f t="shared" si="3"/>
        <v>2701</v>
      </c>
      <c r="E46" s="347">
        <f t="shared" si="3"/>
        <v>2836</v>
      </c>
      <c r="F46" s="347">
        <f t="shared" si="3"/>
        <v>2885</v>
      </c>
      <c r="G46" s="347">
        <f t="shared" si="3"/>
        <v>2869</v>
      </c>
      <c r="H46" s="347">
        <f t="shared" si="3"/>
        <v>2845</v>
      </c>
      <c r="I46" s="347">
        <f t="shared" si="3"/>
        <v>2749</v>
      </c>
      <c r="J46" s="347">
        <f t="shared" si="3"/>
        <v>2665</v>
      </c>
      <c r="K46" s="347">
        <f t="shared" si="3"/>
        <v>2599</v>
      </c>
      <c r="L46" s="347">
        <f t="shared" si="3"/>
        <v>2395</v>
      </c>
      <c r="M46" s="347">
        <f t="shared" si="3"/>
        <v>2235</v>
      </c>
      <c r="N46" s="347">
        <f t="shared" si="3"/>
        <v>2131</v>
      </c>
      <c r="O46" s="347">
        <f t="shared" si="3"/>
        <v>2049</v>
      </c>
      <c r="P46" s="347">
        <f t="shared" si="3"/>
        <v>1925</v>
      </c>
      <c r="Q46" s="347">
        <f t="shared" si="3"/>
        <v>1892</v>
      </c>
      <c r="R46" s="347">
        <f t="shared" si="3"/>
        <v>1590</v>
      </c>
      <c r="S46" s="347">
        <f t="shared" si="3"/>
        <v>1019</v>
      </c>
      <c r="T46" s="347">
        <f t="shared" si="3"/>
        <v>788</v>
      </c>
      <c r="U46" s="347">
        <f t="shared" si="3"/>
        <v>676</v>
      </c>
      <c r="V46" s="347">
        <f t="shared" si="3"/>
        <v>637</v>
      </c>
      <c r="W46" s="347">
        <f t="shared" si="3"/>
        <v>568</v>
      </c>
      <c r="X46" s="347">
        <f t="shared" si="3"/>
        <v>534</v>
      </c>
      <c r="Y46" s="347">
        <f t="shared" si="3"/>
        <v>498</v>
      </c>
      <c r="Z46" s="347">
        <f t="shared" si="3"/>
        <v>469</v>
      </c>
      <c r="AA46" s="347">
        <f t="shared" si="3"/>
        <v>459</v>
      </c>
      <c r="AB46" s="347">
        <f t="shared" si="3"/>
        <v>449</v>
      </c>
      <c r="AC46" s="347">
        <f t="shared" si="3"/>
        <v>440</v>
      </c>
      <c r="AD46" s="347">
        <f t="shared" si="3"/>
        <v>438</v>
      </c>
      <c r="AE46" s="347">
        <f t="shared" si="3"/>
        <v>422</v>
      </c>
      <c r="AF46" s="347">
        <f t="shared" si="3"/>
        <v>250</v>
      </c>
      <c r="AG46" s="347">
        <f t="shared" si="3"/>
        <v>246</v>
      </c>
      <c r="AH46" s="347">
        <f t="shared" si="3"/>
        <v>238</v>
      </c>
      <c r="AI46" s="347">
        <f t="shared" si="3"/>
        <v>243</v>
      </c>
      <c r="AJ46" s="347">
        <f t="shared" si="3"/>
        <v>229</v>
      </c>
      <c r="AK46" s="347">
        <f t="shared" si="3"/>
        <v>232</v>
      </c>
      <c r="AL46" s="347">
        <f t="shared" si="3"/>
        <v>223</v>
      </c>
      <c r="AM46" s="347">
        <f t="shared" si="3"/>
        <v>225</v>
      </c>
      <c r="AN46" s="347">
        <f t="shared" si="3"/>
        <v>212</v>
      </c>
      <c r="AO46" s="347">
        <f t="shared" si="3"/>
        <v>206</v>
      </c>
      <c r="AP46" s="347">
        <f t="shared" si="3"/>
        <v>193</v>
      </c>
      <c r="AQ46" s="347">
        <f t="shared" si="3"/>
        <v>179</v>
      </c>
      <c r="AR46" s="347">
        <f t="shared" si="3"/>
        <v>167</v>
      </c>
      <c r="AS46" s="347">
        <f t="shared" si="3"/>
        <v>159</v>
      </c>
      <c r="AT46" s="347">
        <f t="shared" si="3"/>
        <v>159</v>
      </c>
      <c r="AU46" s="347">
        <f t="shared" si="3"/>
        <v>152</v>
      </c>
      <c r="AV46" s="347">
        <f t="shared" si="3"/>
        <v>164</v>
      </c>
      <c r="AW46" s="347">
        <f t="shared" si="3"/>
        <v>169</v>
      </c>
      <c r="AX46" s="347">
        <f t="shared" si="3"/>
        <v>192</v>
      </c>
      <c r="AY46" s="347">
        <f t="shared" si="3"/>
        <v>201</v>
      </c>
      <c r="AZ46" s="347">
        <f t="shared" si="3"/>
        <v>201</v>
      </c>
      <c r="BA46" s="347">
        <f t="shared" si="3"/>
        <v>201</v>
      </c>
      <c r="BB46" s="347">
        <f t="shared" si="3"/>
        <v>214</v>
      </c>
      <c r="BC46" s="347">
        <f t="shared" si="3"/>
        <v>224</v>
      </c>
      <c r="BD46" s="347">
        <f t="shared" si="3"/>
        <v>225</v>
      </c>
      <c r="BE46" s="347">
        <f t="shared" si="3"/>
        <v>226</v>
      </c>
      <c r="BF46" s="347">
        <f t="shared" si="3"/>
        <v>224</v>
      </c>
      <c r="BG46" s="347">
        <f t="shared" si="3"/>
        <v>224</v>
      </c>
      <c r="BH46" s="347">
        <f t="shared" si="3"/>
        <v>230</v>
      </c>
      <c r="BI46" s="347">
        <f t="shared" si="3"/>
        <v>232</v>
      </c>
      <c r="BJ46" s="347">
        <f t="shared" si="3"/>
        <v>254</v>
      </c>
      <c r="BK46" s="347">
        <f t="shared" si="3"/>
        <v>248</v>
      </c>
      <c r="BL46" s="347">
        <f t="shared" si="3"/>
        <v>248</v>
      </c>
      <c r="BM46" s="347">
        <f t="shared" si="3"/>
        <v>237</v>
      </c>
      <c r="BN46" s="347">
        <f t="shared" si="4"/>
        <v>225</v>
      </c>
      <c r="BO46" s="347">
        <f t="shared" si="4"/>
        <v>219</v>
      </c>
      <c r="BP46" s="347">
        <f t="shared" si="4"/>
        <v>236</v>
      </c>
      <c r="BQ46" s="347">
        <f t="shared" si="4"/>
        <v>241</v>
      </c>
      <c r="BR46" s="347">
        <f t="shared" si="4"/>
        <v>246</v>
      </c>
      <c r="BS46" s="347">
        <f t="shared" si="4"/>
        <v>232</v>
      </c>
      <c r="BT46" s="347">
        <f t="shared" si="4"/>
        <v>234</v>
      </c>
      <c r="BU46" s="347">
        <f t="shared" si="4"/>
        <v>0</v>
      </c>
    </row>
    <row r="47" spans="1:73" ht="16" thickBot="1" x14ac:dyDescent="0.4">
      <c r="A47" s="348" t="s">
        <v>887</v>
      </c>
      <c r="B47" s="348">
        <f t="shared" si="3"/>
        <v>433</v>
      </c>
      <c r="C47" s="348">
        <f t="shared" si="3"/>
        <v>446</v>
      </c>
      <c r="D47" s="348">
        <f t="shared" si="3"/>
        <v>444</v>
      </c>
      <c r="E47" s="348">
        <f t="shared" si="3"/>
        <v>470</v>
      </c>
      <c r="F47" s="348">
        <f t="shared" si="3"/>
        <v>448</v>
      </c>
      <c r="G47" s="348">
        <f t="shared" si="3"/>
        <v>443</v>
      </c>
      <c r="H47" s="348">
        <f t="shared" si="3"/>
        <v>452</v>
      </c>
      <c r="I47" s="348">
        <f t="shared" si="3"/>
        <v>432</v>
      </c>
      <c r="J47" s="348">
        <f t="shared" si="3"/>
        <v>412</v>
      </c>
      <c r="K47" s="348">
        <f t="shared" si="3"/>
        <v>387</v>
      </c>
      <c r="L47" s="348">
        <f t="shared" si="3"/>
        <v>370</v>
      </c>
      <c r="M47" s="348">
        <f t="shared" si="3"/>
        <v>370</v>
      </c>
      <c r="N47" s="348">
        <f t="shared" si="3"/>
        <v>371</v>
      </c>
      <c r="O47" s="348">
        <f t="shared" si="3"/>
        <v>361</v>
      </c>
      <c r="P47" s="348">
        <f t="shared" si="3"/>
        <v>353</v>
      </c>
      <c r="Q47" s="348">
        <f t="shared" si="3"/>
        <v>340</v>
      </c>
      <c r="R47" s="348">
        <f t="shared" si="3"/>
        <v>322</v>
      </c>
      <c r="S47" s="348">
        <f t="shared" si="3"/>
        <v>267</v>
      </c>
      <c r="T47" s="348">
        <f t="shared" si="3"/>
        <v>229</v>
      </c>
      <c r="U47" s="348">
        <f t="shared" si="3"/>
        <v>215</v>
      </c>
      <c r="V47" s="348">
        <f t="shared" si="3"/>
        <v>206</v>
      </c>
      <c r="W47" s="348">
        <f t="shared" si="3"/>
        <v>212</v>
      </c>
      <c r="X47" s="348">
        <f t="shared" si="3"/>
        <v>210</v>
      </c>
      <c r="Y47" s="348">
        <f t="shared" si="3"/>
        <v>207</v>
      </c>
      <c r="Z47" s="348">
        <f t="shared" si="3"/>
        <v>201</v>
      </c>
      <c r="AA47" s="348">
        <f t="shared" si="3"/>
        <v>200</v>
      </c>
      <c r="AB47" s="348">
        <f t="shared" si="3"/>
        <v>196</v>
      </c>
      <c r="AC47" s="348">
        <f t="shared" si="3"/>
        <v>193</v>
      </c>
      <c r="AD47" s="348">
        <f t="shared" si="3"/>
        <v>192</v>
      </c>
      <c r="AE47" s="348">
        <f t="shared" si="3"/>
        <v>203</v>
      </c>
      <c r="AF47" s="348">
        <f t="shared" si="3"/>
        <v>95</v>
      </c>
      <c r="AG47" s="348">
        <f t="shared" si="3"/>
        <v>95</v>
      </c>
      <c r="AH47" s="348">
        <f t="shared" si="3"/>
        <v>96</v>
      </c>
      <c r="AI47" s="348">
        <f t="shared" si="3"/>
        <v>98</v>
      </c>
      <c r="AJ47" s="348">
        <f t="shared" si="3"/>
        <v>90</v>
      </c>
      <c r="AK47" s="348">
        <f t="shared" si="3"/>
        <v>95</v>
      </c>
      <c r="AL47" s="348">
        <f t="shared" si="3"/>
        <v>93</v>
      </c>
      <c r="AM47" s="348">
        <f t="shared" si="3"/>
        <v>93</v>
      </c>
      <c r="AN47" s="348">
        <f t="shared" si="3"/>
        <v>87</v>
      </c>
      <c r="AO47" s="348">
        <f t="shared" si="3"/>
        <v>87</v>
      </c>
      <c r="AP47" s="348">
        <f t="shared" si="3"/>
        <v>81</v>
      </c>
      <c r="AQ47" s="348">
        <f t="shared" si="3"/>
        <v>81</v>
      </c>
      <c r="AR47" s="348">
        <f t="shared" si="3"/>
        <v>82</v>
      </c>
      <c r="AS47" s="348">
        <f t="shared" si="3"/>
        <v>78</v>
      </c>
      <c r="AT47" s="348">
        <f t="shared" si="3"/>
        <v>76</v>
      </c>
      <c r="AU47" s="348">
        <f t="shared" si="3"/>
        <v>73</v>
      </c>
      <c r="AV47" s="348">
        <f t="shared" si="3"/>
        <v>70</v>
      </c>
      <c r="AW47" s="348">
        <f t="shared" si="3"/>
        <v>76</v>
      </c>
      <c r="AX47" s="348">
        <f t="shared" si="3"/>
        <v>74</v>
      </c>
      <c r="AY47" s="348">
        <f t="shared" si="3"/>
        <v>73</v>
      </c>
      <c r="AZ47" s="348">
        <f t="shared" si="3"/>
        <v>76</v>
      </c>
      <c r="BA47" s="348">
        <f t="shared" si="3"/>
        <v>73</v>
      </c>
      <c r="BB47" s="348">
        <f t="shared" si="3"/>
        <v>71</v>
      </c>
      <c r="BC47" s="348">
        <f t="shared" si="3"/>
        <v>71</v>
      </c>
      <c r="BD47" s="348">
        <f t="shared" si="3"/>
        <v>76</v>
      </c>
      <c r="BE47" s="348">
        <f t="shared" si="3"/>
        <v>75</v>
      </c>
      <c r="BF47" s="348">
        <f t="shared" si="3"/>
        <v>73</v>
      </c>
      <c r="BG47" s="348">
        <f t="shared" si="3"/>
        <v>75</v>
      </c>
      <c r="BH47" s="348">
        <f t="shared" si="3"/>
        <v>74</v>
      </c>
      <c r="BI47" s="348">
        <f t="shared" si="3"/>
        <v>79</v>
      </c>
      <c r="BJ47" s="348">
        <f t="shared" si="3"/>
        <v>78</v>
      </c>
      <c r="BK47" s="348">
        <f t="shared" si="3"/>
        <v>79</v>
      </c>
      <c r="BL47" s="348">
        <f t="shared" si="3"/>
        <v>74</v>
      </c>
      <c r="BM47" s="348">
        <f t="shared" si="3"/>
        <v>72</v>
      </c>
      <c r="BN47" s="348">
        <f t="shared" si="4"/>
        <v>67</v>
      </c>
      <c r="BO47" s="348">
        <f t="shared" si="4"/>
        <v>65</v>
      </c>
      <c r="BP47" s="348">
        <f t="shared" si="4"/>
        <v>61</v>
      </c>
      <c r="BQ47" s="348">
        <f t="shared" si="4"/>
        <v>60</v>
      </c>
      <c r="BR47" s="348">
        <f t="shared" si="4"/>
        <v>61</v>
      </c>
      <c r="BS47" s="348">
        <f t="shared" si="4"/>
        <v>58</v>
      </c>
      <c r="BT47" s="348">
        <f t="shared" si="4"/>
        <v>60</v>
      </c>
      <c r="BU47" s="348">
        <f t="shared" si="4"/>
        <v>0</v>
      </c>
    </row>
    <row r="48" spans="1:73" x14ac:dyDescent="0.35">
      <c r="A48" s="349" t="s">
        <v>0</v>
      </c>
      <c r="B48" s="349">
        <f t="shared" ref="B48:BH48" si="5">SUM(B44:B47)</f>
        <v>22710</v>
      </c>
      <c r="C48" s="349">
        <f t="shared" si="5"/>
        <v>21941</v>
      </c>
      <c r="D48" s="349">
        <f t="shared" si="5"/>
        <v>21513</v>
      </c>
      <c r="E48" s="349">
        <f t="shared" si="5"/>
        <v>21083</v>
      </c>
      <c r="F48" s="349">
        <f t="shared" si="5"/>
        <v>20338</v>
      </c>
      <c r="G48" s="349">
        <f t="shared" si="5"/>
        <v>19986</v>
      </c>
      <c r="H48" s="349">
        <f t="shared" si="5"/>
        <v>19095</v>
      </c>
      <c r="I48" s="349">
        <f t="shared" si="5"/>
        <v>17353</v>
      </c>
      <c r="J48" s="349">
        <f t="shared" si="5"/>
        <v>16641</v>
      </c>
      <c r="K48" s="349">
        <f t="shared" si="5"/>
        <v>16719</v>
      </c>
      <c r="L48" s="349">
        <f t="shared" si="5"/>
        <v>16311</v>
      </c>
      <c r="M48" s="349">
        <f t="shared" si="5"/>
        <v>15819</v>
      </c>
      <c r="N48" s="349">
        <f t="shared" si="5"/>
        <v>14843</v>
      </c>
      <c r="O48" s="349">
        <f t="shared" si="5"/>
        <v>14882</v>
      </c>
      <c r="P48" s="349">
        <f t="shared" si="5"/>
        <v>14066</v>
      </c>
      <c r="Q48" s="349">
        <f t="shared" si="5"/>
        <v>13939</v>
      </c>
      <c r="R48" s="349">
        <f t="shared" si="5"/>
        <v>14774</v>
      </c>
      <c r="S48" s="349">
        <f t="shared" si="5"/>
        <v>14560</v>
      </c>
      <c r="T48" s="349">
        <f t="shared" si="5"/>
        <v>15349</v>
      </c>
      <c r="U48" s="349">
        <f t="shared" si="5"/>
        <v>17213</v>
      </c>
      <c r="V48" s="349">
        <f t="shared" si="5"/>
        <v>21051</v>
      </c>
      <c r="W48" s="349">
        <f t="shared" si="5"/>
        <v>23994</v>
      </c>
      <c r="X48" s="349">
        <f t="shared" si="5"/>
        <v>26656</v>
      </c>
      <c r="Y48" s="349">
        <f t="shared" si="5"/>
        <v>27563</v>
      </c>
      <c r="Z48" s="349">
        <f t="shared" si="5"/>
        <v>27616</v>
      </c>
      <c r="AA48" s="349">
        <f t="shared" si="5"/>
        <v>25852</v>
      </c>
      <c r="AB48" s="349">
        <f t="shared" si="5"/>
        <v>26162</v>
      </c>
      <c r="AC48" s="349">
        <f t="shared" si="5"/>
        <v>24261</v>
      </c>
      <c r="AD48" s="349">
        <f t="shared" si="5"/>
        <v>22577</v>
      </c>
      <c r="AE48" s="349">
        <f t="shared" si="5"/>
        <v>22220</v>
      </c>
      <c r="AF48" s="349">
        <f t="shared" si="5"/>
        <v>23675</v>
      </c>
      <c r="AG48" s="349">
        <f t="shared" si="5"/>
        <v>24318</v>
      </c>
      <c r="AH48" s="349">
        <f t="shared" si="5"/>
        <v>25444</v>
      </c>
      <c r="AI48" s="349">
        <f t="shared" si="5"/>
        <v>23871</v>
      </c>
      <c r="AJ48" s="349">
        <f t="shared" si="5"/>
        <v>22903</v>
      </c>
      <c r="AK48" s="349">
        <f t="shared" si="5"/>
        <v>22434</v>
      </c>
      <c r="AL48" s="349">
        <f t="shared" si="5"/>
        <v>21198</v>
      </c>
      <c r="AM48" s="349">
        <f t="shared" si="5"/>
        <v>22452</v>
      </c>
      <c r="AN48" s="349">
        <f t="shared" si="5"/>
        <v>21173</v>
      </c>
      <c r="AO48" s="349">
        <f t="shared" si="5"/>
        <v>19617</v>
      </c>
      <c r="AP48" s="349">
        <f t="shared" si="5"/>
        <v>21515</v>
      </c>
      <c r="AQ48" s="349">
        <f t="shared" si="5"/>
        <v>21028</v>
      </c>
      <c r="AR48" s="349">
        <f t="shared" si="5"/>
        <v>19567</v>
      </c>
      <c r="AS48" s="349">
        <f t="shared" si="5"/>
        <v>22135</v>
      </c>
      <c r="AT48" s="349">
        <f t="shared" si="5"/>
        <v>24472</v>
      </c>
      <c r="AU48" s="349">
        <f t="shared" si="5"/>
        <v>26567</v>
      </c>
      <c r="AV48" s="349">
        <f t="shared" si="5"/>
        <v>25117</v>
      </c>
      <c r="AW48" s="349">
        <f t="shared" si="5"/>
        <v>24789</v>
      </c>
      <c r="AX48" s="349">
        <f t="shared" si="5"/>
        <v>23900</v>
      </c>
      <c r="AY48" s="349">
        <f t="shared" si="5"/>
        <v>24000</v>
      </c>
      <c r="AZ48" s="349">
        <f t="shared" si="5"/>
        <v>26261</v>
      </c>
      <c r="BA48" s="349">
        <f t="shared" si="5"/>
        <v>27457</v>
      </c>
      <c r="BB48" s="349">
        <f t="shared" si="5"/>
        <v>26277</v>
      </c>
      <c r="BC48" s="349">
        <f t="shared" si="5"/>
        <v>26632</v>
      </c>
      <c r="BD48" s="349">
        <f t="shared" si="5"/>
        <v>28914</v>
      </c>
      <c r="BE48" s="349">
        <f t="shared" si="5"/>
        <v>31643</v>
      </c>
      <c r="BF48" s="349">
        <f t="shared" si="5"/>
        <v>31896</v>
      </c>
      <c r="BG48" s="349">
        <f t="shared" si="5"/>
        <v>30577</v>
      </c>
      <c r="BH48" s="349">
        <f t="shared" si="5"/>
        <v>26538</v>
      </c>
      <c r="BI48" s="349">
        <f t="shared" ref="BI48:BU48" si="6">SUM(BI44:BI47)</f>
        <v>20951</v>
      </c>
      <c r="BJ48" s="349">
        <f t="shared" si="6"/>
        <v>21733</v>
      </c>
      <c r="BK48" s="349">
        <f t="shared" si="6"/>
        <v>26142</v>
      </c>
      <c r="BL48" s="349">
        <f t="shared" si="6"/>
        <v>27570</v>
      </c>
      <c r="BM48" s="349">
        <f t="shared" si="6"/>
        <v>28509</v>
      </c>
      <c r="BN48" s="349">
        <f t="shared" si="6"/>
        <v>29117</v>
      </c>
      <c r="BO48" s="349">
        <f t="shared" si="6"/>
        <v>27448</v>
      </c>
      <c r="BP48" s="349">
        <f t="shared" si="6"/>
        <v>25898</v>
      </c>
      <c r="BQ48" s="349">
        <f t="shared" si="6"/>
        <v>23451</v>
      </c>
      <c r="BR48" s="349">
        <f t="shared" si="6"/>
        <v>24695</v>
      </c>
      <c r="BS48" s="349">
        <f t="shared" si="6"/>
        <v>31257</v>
      </c>
      <c r="BT48" s="349">
        <f t="shared" si="6"/>
        <v>31456</v>
      </c>
      <c r="BU48" s="349">
        <f t="shared" si="6"/>
        <v>0</v>
      </c>
    </row>
    <row r="49" spans="2:55" x14ac:dyDescent="0.35">
      <c r="B49" s="351"/>
      <c r="C49" s="351"/>
      <c r="D49" s="351"/>
      <c r="E49" s="351"/>
      <c r="F49" s="351"/>
      <c r="G49" s="351"/>
      <c r="H49" s="351"/>
      <c r="I49" s="351"/>
      <c r="J49" s="351"/>
      <c r="K49" s="351"/>
      <c r="L49" s="351"/>
      <c r="M49" s="351"/>
    </row>
    <row r="50" spans="2:55" x14ac:dyDescent="0.35">
      <c r="N50" s="351"/>
      <c r="O50" s="351"/>
      <c r="P50" s="351"/>
      <c r="Q50" s="351"/>
      <c r="R50" s="351"/>
      <c r="S50" s="351"/>
      <c r="T50" s="351"/>
      <c r="U50" s="351"/>
      <c r="V50" s="351"/>
      <c r="W50" s="351"/>
      <c r="X50" s="351"/>
      <c r="Y50" s="351"/>
      <c r="Z50" s="351"/>
      <c r="AA50" s="351"/>
      <c r="AB50" s="351"/>
      <c r="AC50" s="351"/>
      <c r="AD50" s="351"/>
      <c r="AE50" s="352"/>
      <c r="AF50" s="352"/>
      <c r="AG50" s="352"/>
      <c r="AH50" s="352"/>
      <c r="AI50" s="352"/>
      <c r="AJ50" s="352"/>
      <c r="AK50" s="352"/>
      <c r="AL50" s="352"/>
      <c r="AM50" s="352"/>
      <c r="AN50" s="352"/>
      <c r="AO50" s="352"/>
      <c r="AP50" s="352"/>
      <c r="AQ50" s="352"/>
      <c r="AR50" s="352"/>
      <c r="AS50" s="352"/>
      <c r="AT50" s="352"/>
      <c r="AU50" s="352"/>
      <c r="AV50" s="352"/>
      <c r="AW50" s="352"/>
      <c r="AX50" s="352"/>
      <c r="AY50" s="352"/>
      <c r="AZ50" s="352"/>
      <c r="BA50" s="352"/>
      <c r="BB50" s="352"/>
    </row>
    <row r="51" spans="2:55" x14ac:dyDescent="0.35">
      <c r="AE51" s="352"/>
      <c r="AF51" s="352"/>
      <c r="AG51" s="352"/>
      <c r="AH51" s="352"/>
      <c r="AI51" s="352"/>
      <c r="AJ51" s="352"/>
      <c r="AK51" s="352"/>
      <c r="AL51" s="352"/>
      <c r="AM51" s="352"/>
      <c r="AN51" s="352"/>
      <c r="AO51" s="352"/>
      <c r="AP51" s="352"/>
      <c r="AQ51" s="352"/>
      <c r="AR51" s="352"/>
      <c r="AS51" s="352"/>
      <c r="AT51" s="352"/>
      <c r="AU51" s="352"/>
      <c r="AV51" s="352"/>
      <c r="AW51" s="352"/>
      <c r="AX51" s="352"/>
      <c r="AY51" s="352"/>
      <c r="AZ51" s="352"/>
      <c r="BA51" s="352"/>
      <c r="BB51" s="352"/>
      <c r="BC51" s="352"/>
    </row>
    <row r="52" spans="2:55" x14ac:dyDescent="0.35">
      <c r="AE52" s="352"/>
      <c r="AF52" s="352"/>
      <c r="AG52" s="352"/>
      <c r="AH52" s="352"/>
      <c r="AI52" s="352"/>
      <c r="AJ52" s="352"/>
      <c r="AK52" s="352"/>
      <c r="AL52" s="352"/>
      <c r="AM52" s="352"/>
      <c r="AN52" s="352"/>
      <c r="AO52" s="352"/>
      <c r="AP52" s="352"/>
      <c r="AQ52" s="352"/>
      <c r="AR52" s="352"/>
      <c r="AS52" s="352"/>
      <c r="AT52" s="352"/>
      <c r="AU52" s="352"/>
      <c r="AV52" s="352"/>
      <c r="AW52" s="352"/>
      <c r="AX52" s="352"/>
      <c r="AY52" s="352"/>
      <c r="AZ52" s="352"/>
      <c r="BA52" s="352"/>
      <c r="BB52" s="352"/>
      <c r="BC52" s="352"/>
    </row>
  </sheetData>
  <mergeCells count="74">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AJ5:AK5"/>
    <mergeCell ref="AL5:AM5"/>
    <mergeCell ref="AN5:AO5"/>
    <mergeCell ref="AP5:AQ5"/>
    <mergeCell ref="AR5:AS5"/>
    <mergeCell ref="BR5:BS5"/>
    <mergeCell ref="AV5:AW5"/>
    <mergeCell ref="AX5:AY5"/>
    <mergeCell ref="AZ5:BA5"/>
    <mergeCell ref="BB5:BC5"/>
    <mergeCell ref="BD5:BE5"/>
    <mergeCell ref="BF5:BG5"/>
    <mergeCell ref="AB17:AC17"/>
    <mergeCell ref="BT5:BU5"/>
    <mergeCell ref="A16:A18"/>
    <mergeCell ref="B17:C17"/>
    <mergeCell ref="D17:E17"/>
    <mergeCell ref="F17:G17"/>
    <mergeCell ref="H17:I17"/>
    <mergeCell ref="J17:K17"/>
    <mergeCell ref="L17:M17"/>
    <mergeCell ref="N17:O17"/>
    <mergeCell ref="P17:Q17"/>
    <mergeCell ref="BH5:BI5"/>
    <mergeCell ref="BJ5:BK5"/>
    <mergeCell ref="BL5:BM5"/>
    <mergeCell ref="BN5:BO5"/>
    <mergeCell ref="BP5:BQ5"/>
    <mergeCell ref="R17:S17"/>
    <mergeCell ref="T17:U17"/>
    <mergeCell ref="V17:W17"/>
    <mergeCell ref="X17:Y17"/>
    <mergeCell ref="Z17:AA17"/>
    <mergeCell ref="AZ17:BA17"/>
    <mergeCell ref="AD17:AE17"/>
    <mergeCell ref="AF17:AG17"/>
    <mergeCell ref="AH17:AI17"/>
    <mergeCell ref="AJ17:AK17"/>
    <mergeCell ref="AL17:AM17"/>
    <mergeCell ref="AN17:AO17"/>
    <mergeCell ref="AP17:AQ17"/>
    <mergeCell ref="AR17:AS17"/>
    <mergeCell ref="AT17:AU17"/>
    <mergeCell ref="AV17:AW17"/>
    <mergeCell ref="AX17:AY17"/>
    <mergeCell ref="BN17:BO17"/>
    <mergeCell ref="BP17:BQ17"/>
    <mergeCell ref="BR17:BS17"/>
    <mergeCell ref="BT17:BU17"/>
    <mergeCell ref="BB17:BC17"/>
    <mergeCell ref="BD17:BE17"/>
    <mergeCell ref="BF17:BG17"/>
    <mergeCell ref="BH17:BI17"/>
    <mergeCell ref="BJ17:BK17"/>
    <mergeCell ref="BL17:BM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76D2-D0B9-4521-B6CF-B6F1BB1DC683}">
  <dimension ref="A1:O8"/>
  <sheetViews>
    <sheetView showGridLines="0" zoomScale="80" zoomScaleNormal="80" workbookViewId="0">
      <selection activeCell="I10" sqref="I10"/>
    </sheetView>
  </sheetViews>
  <sheetFormatPr defaultColWidth="8.7265625" defaultRowHeight="15.5" x14ac:dyDescent="0.35"/>
  <cols>
    <col min="1" max="1" width="37.453125" style="115" customWidth="1"/>
    <col min="2" max="7" width="12.7265625" style="115" customWidth="1"/>
    <col min="8" max="8" width="11" style="115" bestFit="1" customWidth="1"/>
    <col min="9" max="9" width="12.1796875" style="115" customWidth="1"/>
    <col min="10" max="10" width="10.7265625" style="115" bestFit="1" customWidth="1"/>
    <col min="11" max="11" width="10.7265625" style="115" customWidth="1"/>
    <col min="12" max="12" width="12.81640625" style="115" customWidth="1"/>
    <col min="13" max="13" width="10.1796875" style="115" bestFit="1" customWidth="1"/>
    <col min="14" max="14" width="11.453125" style="115" customWidth="1"/>
    <col min="15" max="15" width="11.36328125" style="115" customWidth="1"/>
    <col min="16" max="16384" width="8.7265625" style="115"/>
  </cols>
  <sheetData>
    <row r="1" spans="1:15" x14ac:dyDescent="0.35">
      <c r="A1" s="318" t="s">
        <v>888</v>
      </c>
    </row>
    <row r="2" spans="1:15" ht="16" thickBot="1" x14ac:dyDescent="0.4"/>
    <row r="3" spans="1:15" x14ac:dyDescent="0.35">
      <c r="A3" s="353"/>
      <c r="B3" s="354">
        <v>44682</v>
      </c>
      <c r="C3" s="354">
        <v>44713</v>
      </c>
      <c r="D3" s="354">
        <v>44743</v>
      </c>
      <c r="E3" s="354">
        <v>44774</v>
      </c>
      <c r="F3" s="354">
        <v>44805</v>
      </c>
      <c r="G3" s="355">
        <v>44835</v>
      </c>
      <c r="H3" s="355">
        <v>44866</v>
      </c>
      <c r="I3" s="355">
        <v>44896</v>
      </c>
      <c r="J3" s="355">
        <v>44927</v>
      </c>
      <c r="K3" s="355">
        <v>44958</v>
      </c>
      <c r="L3" s="355">
        <v>44986</v>
      </c>
      <c r="M3" s="355">
        <v>45017</v>
      </c>
      <c r="N3" s="355">
        <v>45047</v>
      </c>
      <c r="O3" s="356">
        <v>45078</v>
      </c>
    </row>
    <row r="4" spans="1:15" x14ac:dyDescent="0.35">
      <c r="A4" s="357" t="s">
        <v>889</v>
      </c>
      <c r="B4" s="358">
        <v>16689</v>
      </c>
      <c r="C4" s="358">
        <v>18319</v>
      </c>
      <c r="D4" s="358">
        <v>15557</v>
      </c>
      <c r="E4" s="358">
        <v>15103</v>
      </c>
      <c r="F4" s="358">
        <v>13147</v>
      </c>
      <c r="G4" s="358">
        <v>9722</v>
      </c>
      <c r="H4" s="358">
        <v>12477</v>
      </c>
      <c r="I4" s="358">
        <v>20305</v>
      </c>
      <c r="J4" s="358">
        <v>10904</v>
      </c>
      <c r="K4" s="358">
        <v>10115</v>
      </c>
      <c r="L4" s="358">
        <v>14261</v>
      </c>
      <c r="M4" s="358">
        <v>12675</v>
      </c>
      <c r="N4" s="358">
        <v>12439</v>
      </c>
      <c r="O4" s="359">
        <v>5952</v>
      </c>
    </row>
    <row r="5" spans="1:15" x14ac:dyDescent="0.35">
      <c r="A5" s="357" t="s">
        <v>890</v>
      </c>
      <c r="B5" s="358">
        <v>2720</v>
      </c>
      <c r="C5" s="358">
        <v>3450</v>
      </c>
      <c r="D5" s="358">
        <v>3070</v>
      </c>
      <c r="E5" s="358">
        <v>3397</v>
      </c>
      <c r="F5" s="358">
        <v>2843</v>
      </c>
      <c r="G5" s="358">
        <v>2715</v>
      </c>
      <c r="H5" s="358">
        <v>2851</v>
      </c>
      <c r="I5" s="358">
        <v>1942</v>
      </c>
      <c r="J5" s="358">
        <v>913</v>
      </c>
      <c r="K5" s="358">
        <v>1073</v>
      </c>
      <c r="L5" s="358">
        <v>2038</v>
      </c>
      <c r="M5" s="358">
        <v>1018</v>
      </c>
      <c r="N5" s="358">
        <v>1259</v>
      </c>
      <c r="O5" s="359">
        <v>531</v>
      </c>
    </row>
    <row r="6" spans="1:15" x14ac:dyDescent="0.35">
      <c r="A6" s="357" t="s">
        <v>891</v>
      </c>
      <c r="B6" s="360">
        <f t="shared" ref="B6:O6" si="0">IF(ISERROR(B5/B4),0,B5/B4)</f>
        <v>0.1629816046497693</v>
      </c>
      <c r="C6" s="360">
        <f t="shared" si="0"/>
        <v>0.18832905726295104</v>
      </c>
      <c r="D6" s="360">
        <f t="shared" si="0"/>
        <v>0.19733881853827859</v>
      </c>
      <c r="E6" s="360">
        <f t="shared" si="0"/>
        <v>0.22492220088724094</v>
      </c>
      <c r="F6" s="360">
        <f t="shared" si="0"/>
        <v>0.21624705255951929</v>
      </c>
      <c r="G6" s="360">
        <f t="shared" si="0"/>
        <v>0.27926352602345195</v>
      </c>
      <c r="H6" s="360">
        <f t="shared" si="0"/>
        <v>0.22850044081109241</v>
      </c>
      <c r="I6" s="360">
        <f t="shared" si="0"/>
        <v>9.5641467618813106E-2</v>
      </c>
      <c r="J6" s="360">
        <f t="shared" si="0"/>
        <v>8.3730741012472493E-2</v>
      </c>
      <c r="K6" s="360">
        <f t="shared" si="0"/>
        <v>0.10608007909045972</v>
      </c>
      <c r="L6" s="360">
        <f t="shared" si="0"/>
        <v>0.14290722950704718</v>
      </c>
      <c r="M6" s="360">
        <f t="shared" si="0"/>
        <v>8.0315581854043389E-2</v>
      </c>
      <c r="N6" s="360">
        <f t="shared" si="0"/>
        <v>0.10121392394887049</v>
      </c>
      <c r="O6" s="361">
        <f t="shared" si="0"/>
        <v>8.9213709677419359E-2</v>
      </c>
    </row>
    <row r="7" spans="1:15" x14ac:dyDescent="0.35">
      <c r="A7" s="357" t="s">
        <v>892</v>
      </c>
      <c r="B7" s="358">
        <v>5439.1628236963497</v>
      </c>
      <c r="C7" s="358">
        <v>4753.0787104269502</v>
      </c>
      <c r="D7" s="358">
        <v>5433.4336342360402</v>
      </c>
      <c r="E7" s="358">
        <v>5305.2949640287798</v>
      </c>
      <c r="F7" s="358">
        <v>5611.5643845335198</v>
      </c>
      <c r="G7" s="358">
        <v>5512.8279883381902</v>
      </c>
      <c r="H7" s="358">
        <v>6498.8564391273803</v>
      </c>
      <c r="I7" s="358">
        <v>5888.9180672268903</v>
      </c>
      <c r="J7" s="358">
        <v>5333.5129310344801</v>
      </c>
      <c r="K7" s="362">
        <v>5433.9796860572496</v>
      </c>
      <c r="L7" s="362">
        <v>4149.3917274939204</v>
      </c>
      <c r="M7" s="362">
        <v>6354.3983822042501</v>
      </c>
      <c r="N7" s="362">
        <v>6341.3197172034597</v>
      </c>
      <c r="O7" s="363">
        <v>6908.8345864661696</v>
      </c>
    </row>
    <row r="8" spans="1:15" ht="16" thickBot="1" x14ac:dyDescent="0.4">
      <c r="A8" s="364" t="s">
        <v>893</v>
      </c>
      <c r="B8" s="365">
        <v>41.692647058823503</v>
      </c>
      <c r="C8" s="365">
        <v>38.944637681159399</v>
      </c>
      <c r="D8" s="365">
        <v>43.503908794788302</v>
      </c>
      <c r="E8" s="365">
        <v>43.136296732410997</v>
      </c>
      <c r="F8" s="365">
        <v>46.504748505100203</v>
      </c>
      <c r="G8" s="365">
        <v>46.425782688766098</v>
      </c>
      <c r="H8" s="365">
        <v>46.095054366888803</v>
      </c>
      <c r="I8" s="365">
        <v>48.101441812564403</v>
      </c>
      <c r="J8" s="365">
        <v>56.725082146768898</v>
      </c>
      <c r="K8" s="365">
        <v>56.894687791239498</v>
      </c>
      <c r="L8" s="365">
        <v>34.748773307163901</v>
      </c>
      <c r="M8" s="365">
        <v>46.578585461689599</v>
      </c>
      <c r="N8" s="365">
        <v>44.413026211278797</v>
      </c>
      <c r="O8" s="366">
        <v>46.177024482109204</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99AD-68E7-4E85-AE03-D996FF5F6B9D}">
  <dimension ref="A1:L139"/>
  <sheetViews>
    <sheetView showGridLines="0" zoomScale="80" zoomScaleNormal="80" workbookViewId="0">
      <selection activeCell="A3" sqref="A3"/>
    </sheetView>
  </sheetViews>
  <sheetFormatPr defaultRowHeight="14.5" x14ac:dyDescent="0.35"/>
  <cols>
    <col min="1" max="1" width="35.7265625" customWidth="1"/>
    <col min="2" max="2" width="11.1796875" customWidth="1"/>
    <col min="3" max="3" width="10.81640625" customWidth="1"/>
  </cols>
  <sheetData>
    <row r="1" spans="1:12" ht="98.5" customHeight="1" x14ac:dyDescent="0.35">
      <c r="A1" s="448" t="s">
        <v>894</v>
      </c>
      <c r="B1" s="449"/>
      <c r="C1" s="449"/>
      <c r="D1" s="449"/>
      <c r="E1" s="449"/>
      <c r="F1" s="449"/>
      <c r="G1" s="449"/>
      <c r="H1" s="449"/>
      <c r="I1" s="449"/>
      <c r="J1" s="449"/>
      <c r="K1" s="449"/>
      <c r="L1" s="449"/>
    </row>
    <row r="2" spans="1:12" ht="12.65" customHeight="1" x14ac:dyDescent="0.35"/>
    <row r="3" spans="1:12" ht="16" thickBot="1" x14ac:dyDescent="0.4">
      <c r="A3" s="318" t="s">
        <v>895</v>
      </c>
      <c r="B3" s="115"/>
      <c r="C3" s="115"/>
    </row>
    <row r="4" spans="1:12" ht="15" x14ac:dyDescent="0.35">
      <c r="A4" s="353" t="s">
        <v>856</v>
      </c>
      <c r="B4" s="356" t="s">
        <v>896</v>
      </c>
    </row>
    <row r="5" spans="1:12" ht="15.5" x14ac:dyDescent="0.35">
      <c r="A5" s="357" t="s">
        <v>897</v>
      </c>
      <c r="B5" s="367">
        <v>15</v>
      </c>
    </row>
    <row r="6" spans="1:12" ht="15.5" x14ac:dyDescent="0.35">
      <c r="A6" s="357" t="s">
        <v>898</v>
      </c>
      <c r="B6" s="367">
        <v>9</v>
      </c>
    </row>
    <row r="7" spans="1:12" ht="15.5" x14ac:dyDescent="0.35">
      <c r="A7" s="357" t="s">
        <v>899</v>
      </c>
      <c r="B7" s="367">
        <v>10</v>
      </c>
    </row>
    <row r="8" spans="1:12" ht="15.5" x14ac:dyDescent="0.35">
      <c r="A8" s="357" t="s">
        <v>858</v>
      </c>
      <c r="B8" s="367">
        <v>25</v>
      </c>
    </row>
    <row r="9" spans="1:12" ht="15.5" x14ac:dyDescent="0.35">
      <c r="A9" s="357" t="s">
        <v>900</v>
      </c>
      <c r="B9" s="367">
        <v>17</v>
      </c>
    </row>
    <row r="10" spans="1:12" ht="16" thickBot="1" x14ac:dyDescent="0.4">
      <c r="A10" s="364" t="s">
        <v>806</v>
      </c>
      <c r="B10" s="368">
        <v>34</v>
      </c>
    </row>
    <row r="12" spans="1:12" ht="16" thickBot="1" x14ac:dyDescent="0.4">
      <c r="A12" s="318" t="s">
        <v>901</v>
      </c>
      <c r="B12" s="115"/>
    </row>
    <row r="13" spans="1:12" ht="15" x14ac:dyDescent="0.35">
      <c r="A13" s="353" t="s">
        <v>856</v>
      </c>
      <c r="B13" s="356" t="s">
        <v>902</v>
      </c>
    </row>
    <row r="14" spans="1:12" ht="15.5" x14ac:dyDescent="0.35">
      <c r="A14" s="357" t="s">
        <v>897</v>
      </c>
      <c r="B14" s="367">
        <v>22</v>
      </c>
    </row>
    <row r="15" spans="1:12" ht="15.5" x14ac:dyDescent="0.35">
      <c r="A15" s="357" t="s">
        <v>898</v>
      </c>
      <c r="B15" s="367">
        <v>21</v>
      </c>
    </row>
    <row r="16" spans="1:12" ht="15.5" x14ac:dyDescent="0.35">
      <c r="A16" s="357" t="s">
        <v>899</v>
      </c>
      <c r="B16" s="367">
        <v>19</v>
      </c>
    </row>
    <row r="17" spans="1:2" ht="15.5" x14ac:dyDescent="0.35">
      <c r="A17" s="357" t="s">
        <v>858</v>
      </c>
      <c r="B17" s="367">
        <v>19</v>
      </c>
    </row>
    <row r="18" spans="1:2" ht="15.5" x14ac:dyDescent="0.35">
      <c r="A18" s="357" t="s">
        <v>900</v>
      </c>
      <c r="B18" s="367">
        <v>19</v>
      </c>
    </row>
    <row r="19" spans="1:2" ht="16" thickBot="1" x14ac:dyDescent="0.4">
      <c r="A19" s="364" t="s">
        <v>806</v>
      </c>
      <c r="B19" s="368">
        <v>29</v>
      </c>
    </row>
    <row r="20" spans="1:2" ht="15.5" x14ac:dyDescent="0.35">
      <c r="B20" s="369"/>
    </row>
    <row r="21" spans="1:2" ht="16" thickBot="1" x14ac:dyDescent="0.4">
      <c r="A21" s="318" t="s">
        <v>903</v>
      </c>
      <c r="B21" s="115"/>
    </row>
    <row r="22" spans="1:2" ht="15" x14ac:dyDescent="0.35">
      <c r="A22" s="353" t="s">
        <v>856</v>
      </c>
      <c r="B22" s="356" t="s">
        <v>837</v>
      </c>
    </row>
    <row r="23" spans="1:2" ht="15.5" x14ac:dyDescent="0.35">
      <c r="A23" s="357" t="s">
        <v>897</v>
      </c>
      <c r="B23" s="359">
        <v>12</v>
      </c>
    </row>
    <row r="24" spans="1:2" ht="15.5" x14ac:dyDescent="0.35">
      <c r="A24" s="357" t="s">
        <v>898</v>
      </c>
      <c r="B24" s="359">
        <v>3</v>
      </c>
    </row>
    <row r="25" spans="1:2" ht="15.5" x14ac:dyDescent="0.35">
      <c r="A25" s="357" t="s">
        <v>899</v>
      </c>
      <c r="B25" s="359">
        <v>9</v>
      </c>
    </row>
    <row r="26" spans="1:2" ht="15.5" x14ac:dyDescent="0.35">
      <c r="A26" s="357" t="s">
        <v>858</v>
      </c>
      <c r="B26" s="359">
        <v>11</v>
      </c>
    </row>
    <row r="27" spans="1:2" ht="15.5" x14ac:dyDescent="0.35">
      <c r="A27" s="357" t="s">
        <v>900</v>
      </c>
      <c r="B27" s="359">
        <v>8</v>
      </c>
    </row>
    <row r="28" spans="1:2" ht="16" thickBot="1" x14ac:dyDescent="0.4">
      <c r="A28" s="364" t="s">
        <v>806</v>
      </c>
      <c r="B28" s="370">
        <v>10</v>
      </c>
    </row>
    <row r="29" spans="1:2" ht="15.5" x14ac:dyDescent="0.35">
      <c r="B29" s="369"/>
    </row>
    <row r="30" spans="1:2" ht="16" thickBot="1" x14ac:dyDescent="0.4">
      <c r="A30" s="318" t="s">
        <v>904</v>
      </c>
      <c r="B30" s="115"/>
    </row>
    <row r="31" spans="1:2" ht="15" x14ac:dyDescent="0.35">
      <c r="A31" s="353" t="s">
        <v>856</v>
      </c>
      <c r="B31" s="356" t="s">
        <v>896</v>
      </c>
    </row>
    <row r="32" spans="1:2" ht="15.5" x14ac:dyDescent="0.35">
      <c r="A32" s="357" t="s">
        <v>897</v>
      </c>
      <c r="B32" s="367">
        <v>30</v>
      </c>
    </row>
    <row r="33" spans="1:2" ht="15.5" x14ac:dyDescent="0.35">
      <c r="A33" s="357" t="s">
        <v>898</v>
      </c>
      <c r="B33" s="367">
        <v>12</v>
      </c>
    </row>
    <row r="34" spans="1:2" ht="15.5" x14ac:dyDescent="0.35">
      <c r="A34" s="357" t="s">
        <v>899</v>
      </c>
      <c r="B34" s="367">
        <v>11</v>
      </c>
    </row>
    <row r="35" spans="1:2" ht="15.5" x14ac:dyDescent="0.35">
      <c r="A35" s="357" t="s">
        <v>858</v>
      </c>
      <c r="B35" s="367">
        <v>6</v>
      </c>
    </row>
    <row r="36" spans="1:2" ht="15.5" x14ac:dyDescent="0.35">
      <c r="A36" s="357" t="s">
        <v>857</v>
      </c>
      <c r="B36" s="359">
        <v>1</v>
      </c>
    </row>
    <row r="37" spans="1:2" ht="16" thickBot="1" x14ac:dyDescent="0.4">
      <c r="A37" s="364" t="s">
        <v>806</v>
      </c>
      <c r="B37" s="370">
        <v>4</v>
      </c>
    </row>
    <row r="39" spans="1:2" ht="16" thickBot="1" x14ac:dyDescent="0.4">
      <c r="A39" s="318" t="s">
        <v>905</v>
      </c>
      <c r="B39" s="115"/>
    </row>
    <row r="40" spans="1:2" ht="15" x14ac:dyDescent="0.35">
      <c r="A40" s="353" t="s">
        <v>856</v>
      </c>
      <c r="B40" s="356" t="s">
        <v>902</v>
      </c>
    </row>
    <row r="41" spans="1:2" ht="15.5" x14ac:dyDescent="0.35">
      <c r="A41" s="357" t="s">
        <v>897</v>
      </c>
      <c r="B41" s="367">
        <v>19</v>
      </c>
    </row>
    <row r="42" spans="1:2" ht="15.5" x14ac:dyDescent="0.35">
      <c r="A42" s="357" t="s">
        <v>898</v>
      </c>
      <c r="B42" s="367">
        <v>8</v>
      </c>
    </row>
    <row r="43" spans="1:2" ht="15.5" x14ac:dyDescent="0.35">
      <c r="A43" s="357" t="s">
        <v>899</v>
      </c>
      <c r="B43" s="367">
        <v>9</v>
      </c>
    </row>
    <row r="44" spans="1:2" ht="15.5" x14ac:dyDescent="0.35">
      <c r="A44" s="357" t="s">
        <v>858</v>
      </c>
      <c r="B44" s="367">
        <v>4</v>
      </c>
    </row>
    <row r="45" spans="1:2" ht="15.5" x14ac:dyDescent="0.35">
      <c r="A45" s="357" t="s">
        <v>857</v>
      </c>
      <c r="B45" s="371">
        <v>1</v>
      </c>
    </row>
    <row r="46" spans="1:2" ht="16" thickBot="1" x14ac:dyDescent="0.4">
      <c r="A46" s="364" t="s">
        <v>806</v>
      </c>
      <c r="B46" s="372">
        <v>3</v>
      </c>
    </row>
    <row r="47" spans="1:2" ht="15.5" x14ac:dyDescent="0.35">
      <c r="B47" s="369"/>
    </row>
    <row r="48" spans="1:2" ht="16" thickBot="1" x14ac:dyDescent="0.4">
      <c r="A48" s="318" t="s">
        <v>906</v>
      </c>
      <c r="B48" s="115"/>
    </row>
    <row r="49" spans="1:2" ht="15" x14ac:dyDescent="0.35">
      <c r="A49" s="353" t="s">
        <v>856</v>
      </c>
      <c r="B49" s="356" t="s">
        <v>837</v>
      </c>
    </row>
    <row r="50" spans="1:2" ht="15.5" x14ac:dyDescent="0.35">
      <c r="A50" s="357" t="s">
        <v>897</v>
      </c>
      <c r="B50" s="359">
        <v>2</v>
      </c>
    </row>
    <row r="51" spans="1:2" ht="15.5" x14ac:dyDescent="0.35">
      <c r="A51" s="357" t="s">
        <v>898</v>
      </c>
      <c r="B51" s="359">
        <v>1</v>
      </c>
    </row>
    <row r="52" spans="1:2" ht="15.5" x14ac:dyDescent="0.35">
      <c r="A52" s="357" t="s">
        <v>899</v>
      </c>
      <c r="B52" s="359">
        <v>0</v>
      </c>
    </row>
    <row r="53" spans="1:2" ht="15.5" x14ac:dyDescent="0.35">
      <c r="A53" s="357" t="s">
        <v>858</v>
      </c>
      <c r="B53" s="359">
        <v>0</v>
      </c>
    </row>
    <row r="54" spans="1:2" ht="15.5" x14ac:dyDescent="0.35">
      <c r="A54" s="357" t="s">
        <v>900</v>
      </c>
      <c r="B54" s="359">
        <v>0</v>
      </c>
    </row>
    <row r="55" spans="1:2" ht="16" thickBot="1" x14ac:dyDescent="0.4">
      <c r="A55" s="364" t="s">
        <v>806</v>
      </c>
      <c r="B55" s="370">
        <v>0</v>
      </c>
    </row>
    <row r="56" spans="1:2" ht="15.5" x14ac:dyDescent="0.35">
      <c r="B56" s="369"/>
    </row>
    <row r="57" spans="1:2" ht="16" thickBot="1" x14ac:dyDescent="0.4">
      <c r="A57" s="318" t="s">
        <v>907</v>
      </c>
      <c r="B57" s="115"/>
    </row>
    <row r="58" spans="1:2" ht="15" x14ac:dyDescent="0.35">
      <c r="A58" s="353" t="s">
        <v>856</v>
      </c>
      <c r="B58" s="356" t="s">
        <v>896</v>
      </c>
    </row>
    <row r="59" spans="1:2" ht="15.5" x14ac:dyDescent="0.35">
      <c r="A59" s="357" t="s">
        <v>897</v>
      </c>
      <c r="B59" s="367">
        <v>24545</v>
      </c>
    </row>
    <row r="60" spans="1:2" ht="15.5" x14ac:dyDescent="0.35">
      <c r="A60" s="357" t="s">
        <v>898</v>
      </c>
      <c r="B60" s="367">
        <v>22976</v>
      </c>
    </row>
    <row r="61" spans="1:2" ht="15.5" x14ac:dyDescent="0.35">
      <c r="A61" s="357" t="s">
        <v>899</v>
      </c>
      <c r="B61" s="367">
        <v>16174</v>
      </c>
    </row>
    <row r="62" spans="1:2" ht="15.5" x14ac:dyDescent="0.35">
      <c r="A62" s="357" t="s">
        <v>858</v>
      </c>
      <c r="B62" s="367">
        <v>6941</v>
      </c>
    </row>
    <row r="63" spans="1:2" ht="15.5" x14ac:dyDescent="0.35">
      <c r="A63" s="357" t="s">
        <v>900</v>
      </c>
      <c r="B63" s="367">
        <v>5977</v>
      </c>
    </row>
    <row r="64" spans="1:2" ht="16" thickBot="1" x14ac:dyDescent="0.4">
      <c r="A64" s="364" t="s">
        <v>806</v>
      </c>
      <c r="B64" s="368">
        <v>4375</v>
      </c>
    </row>
    <row r="66" spans="1:2" ht="16" thickBot="1" x14ac:dyDescent="0.4">
      <c r="A66" s="318" t="s">
        <v>908</v>
      </c>
      <c r="B66" s="115"/>
    </row>
    <row r="67" spans="1:2" ht="15" x14ac:dyDescent="0.35">
      <c r="A67" s="353" t="s">
        <v>856</v>
      </c>
      <c r="B67" s="356" t="s">
        <v>902</v>
      </c>
    </row>
    <row r="68" spans="1:2" ht="15.5" x14ac:dyDescent="0.35">
      <c r="A68" s="357" t="s">
        <v>897</v>
      </c>
      <c r="B68" s="367">
        <v>25793</v>
      </c>
    </row>
    <row r="69" spans="1:2" ht="15.5" x14ac:dyDescent="0.35">
      <c r="A69" s="357" t="s">
        <v>898</v>
      </c>
      <c r="B69" s="367">
        <v>24371</v>
      </c>
    </row>
    <row r="70" spans="1:2" ht="15.5" x14ac:dyDescent="0.35">
      <c r="A70" s="357" t="s">
        <v>899</v>
      </c>
      <c r="B70" s="367">
        <v>17657</v>
      </c>
    </row>
    <row r="71" spans="1:2" ht="15.5" x14ac:dyDescent="0.35">
      <c r="A71" s="357" t="s">
        <v>858</v>
      </c>
      <c r="B71" s="367">
        <v>7422</v>
      </c>
    </row>
    <row r="72" spans="1:2" ht="15.5" x14ac:dyDescent="0.35">
      <c r="A72" s="357" t="s">
        <v>900</v>
      </c>
      <c r="B72" s="367">
        <v>6468</v>
      </c>
    </row>
    <row r="73" spans="1:2" ht="16" thickBot="1" x14ac:dyDescent="0.4">
      <c r="A73" s="364" t="s">
        <v>806</v>
      </c>
      <c r="B73" s="368">
        <v>4538</v>
      </c>
    </row>
    <row r="74" spans="1:2" ht="15.5" x14ac:dyDescent="0.35">
      <c r="B74" s="369"/>
    </row>
    <row r="75" spans="1:2" ht="16" thickBot="1" x14ac:dyDescent="0.4">
      <c r="A75" s="318" t="s">
        <v>909</v>
      </c>
      <c r="B75" s="115"/>
    </row>
    <row r="76" spans="1:2" ht="15" x14ac:dyDescent="0.35">
      <c r="A76" s="353" t="s">
        <v>856</v>
      </c>
      <c r="B76" s="356" t="s">
        <v>837</v>
      </c>
    </row>
    <row r="77" spans="1:2" ht="15.5" x14ac:dyDescent="0.35">
      <c r="A77" s="357" t="s">
        <v>897</v>
      </c>
      <c r="B77" s="359">
        <v>13632</v>
      </c>
    </row>
    <row r="78" spans="1:2" ht="15.5" x14ac:dyDescent="0.35">
      <c r="A78" s="357" t="s">
        <v>898</v>
      </c>
      <c r="B78" s="359">
        <v>13203</v>
      </c>
    </row>
    <row r="79" spans="1:2" ht="15.5" x14ac:dyDescent="0.35">
      <c r="A79" s="357" t="s">
        <v>899</v>
      </c>
      <c r="B79" s="359">
        <v>10998</v>
      </c>
    </row>
    <row r="80" spans="1:2" ht="15.5" x14ac:dyDescent="0.35">
      <c r="A80" s="357" t="s">
        <v>858</v>
      </c>
      <c r="B80" s="359">
        <v>64</v>
      </c>
    </row>
    <row r="81" spans="1:7" ht="15.5" x14ac:dyDescent="0.35">
      <c r="A81" s="357" t="s">
        <v>900</v>
      </c>
      <c r="B81" s="359">
        <v>4065</v>
      </c>
    </row>
    <row r="82" spans="1:7" ht="16" thickBot="1" x14ac:dyDescent="0.4">
      <c r="A82" s="364" t="s">
        <v>806</v>
      </c>
      <c r="B82" s="370">
        <v>2632</v>
      </c>
    </row>
    <row r="83" spans="1:7" ht="15.5" x14ac:dyDescent="0.35">
      <c r="B83" s="369"/>
    </row>
    <row r="84" spans="1:7" ht="16" thickBot="1" x14ac:dyDescent="0.4">
      <c r="A84" s="318" t="s">
        <v>910</v>
      </c>
      <c r="B84" s="115"/>
    </row>
    <row r="85" spans="1:7" ht="15" x14ac:dyDescent="0.35">
      <c r="A85" s="353" t="s">
        <v>911</v>
      </c>
      <c r="B85" s="355" t="s">
        <v>897</v>
      </c>
      <c r="C85" s="355" t="s">
        <v>898</v>
      </c>
      <c r="D85" s="355" t="s">
        <v>899</v>
      </c>
      <c r="E85" s="355" t="s">
        <v>858</v>
      </c>
      <c r="F85" s="355" t="s">
        <v>857</v>
      </c>
      <c r="G85" s="356" t="s">
        <v>806</v>
      </c>
    </row>
    <row r="86" spans="1:7" ht="15.5" x14ac:dyDescent="0.35">
      <c r="A86" s="357" t="s">
        <v>912</v>
      </c>
      <c r="B86" s="373"/>
      <c r="C86" s="373"/>
      <c r="D86" s="373"/>
      <c r="E86" s="373"/>
      <c r="F86" s="358">
        <v>23</v>
      </c>
      <c r="G86" s="359">
        <v>81</v>
      </c>
    </row>
    <row r="87" spans="1:7" ht="15.5" x14ac:dyDescent="0.35">
      <c r="A87" s="357" t="s">
        <v>913</v>
      </c>
      <c r="B87" s="373">
        <v>0</v>
      </c>
      <c r="C87" s="373">
        <v>0</v>
      </c>
      <c r="D87" s="373">
        <v>0</v>
      </c>
      <c r="E87" s="358">
        <v>10</v>
      </c>
      <c r="F87" s="358">
        <v>37</v>
      </c>
      <c r="G87" s="359">
        <v>46</v>
      </c>
    </row>
    <row r="88" spans="1:7" ht="15.5" x14ac:dyDescent="0.35">
      <c r="A88" s="357" t="s">
        <v>914</v>
      </c>
      <c r="B88" s="373"/>
      <c r="C88" s="373"/>
      <c r="D88" s="373"/>
      <c r="E88" s="373"/>
      <c r="F88" s="358">
        <v>54</v>
      </c>
      <c r="G88" s="359">
        <v>84</v>
      </c>
    </row>
    <row r="89" spans="1:7" ht="15.5" x14ac:dyDescent="0.35">
      <c r="A89" s="357" t="s">
        <v>915</v>
      </c>
      <c r="B89" s="358">
        <v>10119</v>
      </c>
      <c r="C89" s="358">
        <v>9164</v>
      </c>
      <c r="D89" s="358">
        <v>6123</v>
      </c>
      <c r="E89" s="358">
        <v>5270</v>
      </c>
      <c r="F89" s="358">
        <v>6607</v>
      </c>
      <c r="G89" s="359">
        <v>2579</v>
      </c>
    </row>
    <row r="90" spans="1:7" ht="15.5" x14ac:dyDescent="0.35">
      <c r="A90" s="357" t="s">
        <v>916</v>
      </c>
      <c r="B90" s="373"/>
      <c r="C90" s="373"/>
      <c r="D90" s="373"/>
      <c r="E90" s="373"/>
      <c r="F90" s="373"/>
      <c r="G90" s="359">
        <v>10</v>
      </c>
    </row>
    <row r="91" spans="1:7" ht="15.5" x14ac:dyDescent="0.35">
      <c r="A91" s="357" t="s">
        <v>917</v>
      </c>
      <c r="B91" s="373">
        <v>0</v>
      </c>
      <c r="C91" s="373">
        <v>0</v>
      </c>
      <c r="D91" s="373">
        <v>0</v>
      </c>
      <c r="E91" s="358">
        <v>1303</v>
      </c>
      <c r="F91" s="358">
        <v>4296</v>
      </c>
      <c r="G91" s="359">
        <v>667</v>
      </c>
    </row>
    <row r="92" spans="1:7" ht="15.5" x14ac:dyDescent="0.35">
      <c r="A92" s="357" t="s">
        <v>918</v>
      </c>
      <c r="B92" s="358">
        <v>13597</v>
      </c>
      <c r="C92" s="358">
        <v>13716</v>
      </c>
      <c r="D92" s="358">
        <v>9950</v>
      </c>
      <c r="E92" s="358">
        <v>10790</v>
      </c>
      <c r="F92" s="358">
        <v>16487</v>
      </c>
      <c r="G92" s="359">
        <v>5697</v>
      </c>
    </row>
    <row r="93" spans="1:7" ht="15.5" x14ac:dyDescent="0.35">
      <c r="A93" s="357" t="s">
        <v>919</v>
      </c>
      <c r="B93" s="358">
        <v>53</v>
      </c>
      <c r="C93" s="358">
        <v>34</v>
      </c>
      <c r="D93" s="358">
        <v>36</v>
      </c>
      <c r="E93" s="358">
        <v>11</v>
      </c>
      <c r="F93" s="358">
        <v>30</v>
      </c>
      <c r="G93" s="359">
        <v>33</v>
      </c>
    </row>
    <row r="94" spans="1:7" ht="15.5" x14ac:dyDescent="0.35">
      <c r="A94" s="357" t="s">
        <v>920</v>
      </c>
      <c r="B94" s="358">
        <v>637</v>
      </c>
      <c r="C94" s="358">
        <v>823</v>
      </c>
      <c r="D94" s="358">
        <v>543</v>
      </c>
      <c r="E94" s="358">
        <v>2222</v>
      </c>
      <c r="F94" s="358">
        <v>10858</v>
      </c>
      <c r="G94" s="359">
        <v>13805</v>
      </c>
    </row>
    <row r="95" spans="1:7" ht="15.5" x14ac:dyDescent="0.35">
      <c r="A95" s="357" t="s">
        <v>921</v>
      </c>
      <c r="B95" s="358">
        <v>236</v>
      </c>
      <c r="C95" s="358">
        <v>132</v>
      </c>
      <c r="D95" s="358">
        <v>105</v>
      </c>
      <c r="E95" s="358">
        <v>52</v>
      </c>
      <c r="F95" s="358">
        <v>88</v>
      </c>
      <c r="G95" s="359">
        <v>138</v>
      </c>
    </row>
    <row r="96" spans="1:7" ht="15.5" x14ac:dyDescent="0.35">
      <c r="A96" s="357" t="s">
        <v>922</v>
      </c>
      <c r="B96" s="358">
        <v>81</v>
      </c>
      <c r="C96" s="358">
        <v>40</v>
      </c>
      <c r="D96" s="358">
        <v>29</v>
      </c>
      <c r="E96" s="358">
        <v>12</v>
      </c>
      <c r="F96" s="358">
        <v>5</v>
      </c>
      <c r="G96" s="359">
        <v>6</v>
      </c>
    </row>
    <row r="97" spans="1:7" ht="15.5" x14ac:dyDescent="0.35">
      <c r="A97" s="357" t="s">
        <v>923</v>
      </c>
      <c r="B97" s="358">
        <v>134</v>
      </c>
      <c r="C97" s="358">
        <v>82</v>
      </c>
      <c r="D97" s="358">
        <v>72</v>
      </c>
      <c r="E97" s="358">
        <v>29</v>
      </c>
      <c r="F97" s="358">
        <v>26</v>
      </c>
      <c r="G97" s="359">
        <v>23</v>
      </c>
    </row>
    <row r="98" spans="1:7" ht="15.5" x14ac:dyDescent="0.35">
      <c r="A98" s="357" t="s">
        <v>924</v>
      </c>
      <c r="B98" s="358">
        <v>27</v>
      </c>
      <c r="C98" s="358">
        <v>19</v>
      </c>
      <c r="D98" s="358">
        <v>17</v>
      </c>
      <c r="E98" s="358">
        <v>7</v>
      </c>
      <c r="F98" s="358">
        <v>12</v>
      </c>
      <c r="G98" s="359">
        <v>17</v>
      </c>
    </row>
    <row r="99" spans="1:7" ht="15.5" x14ac:dyDescent="0.35">
      <c r="A99" s="357" t="s">
        <v>925</v>
      </c>
      <c r="B99" s="373"/>
      <c r="C99" s="373"/>
      <c r="D99" s="373"/>
      <c r="E99" s="373"/>
      <c r="F99" s="358">
        <v>86</v>
      </c>
      <c r="G99" s="359">
        <v>60</v>
      </c>
    </row>
    <row r="100" spans="1:7" ht="15.5" x14ac:dyDescent="0.35">
      <c r="A100" s="357" t="s">
        <v>926</v>
      </c>
      <c r="B100" s="373">
        <v>0</v>
      </c>
      <c r="C100" s="373">
        <v>0</v>
      </c>
      <c r="D100" s="373">
        <v>0</v>
      </c>
      <c r="E100" s="358">
        <v>2452</v>
      </c>
      <c r="F100" s="358">
        <v>17061</v>
      </c>
      <c r="G100" s="359">
        <v>10715</v>
      </c>
    </row>
    <row r="101" spans="1:7" ht="16" thickBot="1" x14ac:dyDescent="0.4">
      <c r="A101" s="364" t="s">
        <v>927</v>
      </c>
      <c r="B101" s="374">
        <v>51</v>
      </c>
      <c r="C101" s="374">
        <v>32</v>
      </c>
      <c r="D101" s="374">
        <v>14</v>
      </c>
      <c r="E101" s="374">
        <v>5</v>
      </c>
      <c r="F101" s="374">
        <v>24</v>
      </c>
      <c r="G101" s="370">
        <v>4</v>
      </c>
    </row>
    <row r="103" spans="1:7" ht="16" thickBot="1" x14ac:dyDescent="0.4">
      <c r="A103" s="318" t="s">
        <v>928</v>
      </c>
      <c r="B103" s="115"/>
    </row>
    <row r="104" spans="1:7" ht="15" x14ac:dyDescent="0.35">
      <c r="A104" s="353" t="s">
        <v>911</v>
      </c>
      <c r="B104" s="355" t="s">
        <v>897</v>
      </c>
      <c r="C104" s="355" t="s">
        <v>898</v>
      </c>
      <c r="D104" s="355" t="s">
        <v>899</v>
      </c>
      <c r="E104" s="355" t="s">
        <v>858</v>
      </c>
      <c r="F104" s="355" t="s">
        <v>857</v>
      </c>
      <c r="G104" s="356" t="s">
        <v>806</v>
      </c>
    </row>
    <row r="105" spans="1:7" ht="15.5" x14ac:dyDescent="0.35">
      <c r="A105" s="357" t="s">
        <v>912</v>
      </c>
      <c r="B105" s="373"/>
      <c r="C105" s="373"/>
      <c r="D105" s="373"/>
      <c r="E105" s="373"/>
      <c r="F105" s="358">
        <v>173</v>
      </c>
      <c r="G105" s="359">
        <v>432</v>
      </c>
    </row>
    <row r="106" spans="1:7" ht="15.5" x14ac:dyDescent="0.35">
      <c r="A106" s="357" t="s">
        <v>913</v>
      </c>
      <c r="B106" s="373">
        <v>0</v>
      </c>
      <c r="C106" s="373">
        <v>0</v>
      </c>
      <c r="D106" s="373">
        <v>0</v>
      </c>
      <c r="E106" s="358">
        <v>10</v>
      </c>
      <c r="F106" s="358">
        <v>36</v>
      </c>
      <c r="G106" s="359">
        <v>26</v>
      </c>
    </row>
    <row r="107" spans="1:7" ht="15.5" x14ac:dyDescent="0.35">
      <c r="A107" s="357" t="s">
        <v>914</v>
      </c>
      <c r="B107" s="373"/>
      <c r="C107" s="373"/>
      <c r="D107" s="373"/>
      <c r="E107" s="373"/>
      <c r="F107" s="358">
        <v>108</v>
      </c>
      <c r="G107" s="359">
        <v>290</v>
      </c>
    </row>
    <row r="108" spans="1:7" ht="15.5" x14ac:dyDescent="0.35">
      <c r="A108" s="357" t="s">
        <v>915</v>
      </c>
      <c r="B108" s="358">
        <v>33169</v>
      </c>
      <c r="C108" s="358">
        <v>43408</v>
      </c>
      <c r="D108" s="358">
        <v>11108</v>
      </c>
      <c r="E108" s="358">
        <v>5137</v>
      </c>
      <c r="F108" s="358">
        <v>5367</v>
      </c>
      <c r="G108" s="359">
        <v>2726</v>
      </c>
    </row>
    <row r="109" spans="1:7" ht="15.5" x14ac:dyDescent="0.35">
      <c r="A109" s="357" t="s">
        <v>916</v>
      </c>
      <c r="B109" s="373"/>
      <c r="C109" s="373"/>
      <c r="D109" s="373"/>
      <c r="E109" s="373"/>
      <c r="F109" s="373"/>
      <c r="G109" s="359">
        <v>43</v>
      </c>
    </row>
    <row r="110" spans="1:7" ht="15.5" x14ac:dyDescent="0.35">
      <c r="A110" s="357" t="s">
        <v>917</v>
      </c>
      <c r="B110" s="373">
        <v>0</v>
      </c>
      <c r="C110" s="373">
        <v>0</v>
      </c>
      <c r="D110" s="373">
        <v>0</v>
      </c>
      <c r="E110" s="358">
        <v>12331</v>
      </c>
      <c r="F110" s="358">
        <v>3926</v>
      </c>
      <c r="G110" s="359">
        <v>810</v>
      </c>
    </row>
    <row r="111" spans="1:7" ht="15.5" x14ac:dyDescent="0.35">
      <c r="A111" s="357" t="s">
        <v>918</v>
      </c>
      <c r="B111" s="358">
        <v>62461</v>
      </c>
      <c r="C111" s="358">
        <v>104166</v>
      </c>
      <c r="D111" s="358">
        <v>16860</v>
      </c>
      <c r="E111" s="358">
        <v>13106</v>
      </c>
      <c r="F111" s="358">
        <v>11239</v>
      </c>
      <c r="G111" s="359">
        <v>5543</v>
      </c>
    </row>
    <row r="112" spans="1:7" ht="15.5" x14ac:dyDescent="0.35">
      <c r="A112" s="357" t="s">
        <v>919</v>
      </c>
      <c r="B112" s="358">
        <v>777</v>
      </c>
      <c r="C112" s="358">
        <v>371</v>
      </c>
      <c r="D112" s="358">
        <v>152</v>
      </c>
      <c r="E112" s="358">
        <v>384</v>
      </c>
      <c r="F112" s="358">
        <v>962</v>
      </c>
      <c r="G112" s="359">
        <v>354</v>
      </c>
    </row>
    <row r="113" spans="1:7" ht="15.5" x14ac:dyDescent="0.35">
      <c r="A113" s="357" t="s">
        <v>920</v>
      </c>
      <c r="B113" s="358">
        <v>3428</v>
      </c>
      <c r="C113" s="358">
        <v>7893</v>
      </c>
      <c r="D113" s="358">
        <v>1467</v>
      </c>
      <c r="E113" s="358">
        <v>26920</v>
      </c>
      <c r="F113" s="358">
        <v>48045</v>
      </c>
      <c r="G113" s="359">
        <v>2635</v>
      </c>
    </row>
    <row r="114" spans="1:7" ht="15.5" x14ac:dyDescent="0.35">
      <c r="A114" s="357" t="s">
        <v>921</v>
      </c>
      <c r="B114" s="358">
        <v>290</v>
      </c>
      <c r="C114" s="358">
        <v>155</v>
      </c>
      <c r="D114" s="358">
        <v>129</v>
      </c>
      <c r="E114" s="358">
        <v>106</v>
      </c>
      <c r="F114" s="358">
        <v>502</v>
      </c>
      <c r="G114" s="359">
        <v>326</v>
      </c>
    </row>
    <row r="115" spans="1:7" ht="15.5" x14ac:dyDescent="0.35">
      <c r="A115" s="357" t="s">
        <v>922</v>
      </c>
      <c r="B115" s="358">
        <v>113</v>
      </c>
      <c r="C115" s="358">
        <v>61</v>
      </c>
      <c r="D115" s="358">
        <v>39</v>
      </c>
      <c r="E115" s="358">
        <v>15</v>
      </c>
      <c r="F115" s="358">
        <v>9</v>
      </c>
      <c r="G115" s="359">
        <v>7</v>
      </c>
    </row>
    <row r="116" spans="1:7" ht="15.5" x14ac:dyDescent="0.35">
      <c r="A116" s="357" t="s">
        <v>923</v>
      </c>
      <c r="B116" s="358">
        <v>121</v>
      </c>
      <c r="C116" s="358">
        <v>73</v>
      </c>
      <c r="D116" s="358">
        <v>68</v>
      </c>
      <c r="E116" s="358">
        <v>46</v>
      </c>
      <c r="F116" s="358">
        <v>58</v>
      </c>
      <c r="G116" s="359">
        <v>53</v>
      </c>
    </row>
    <row r="117" spans="1:7" ht="15.5" x14ac:dyDescent="0.35">
      <c r="A117" s="357" t="s">
        <v>924</v>
      </c>
      <c r="B117" s="358">
        <v>41</v>
      </c>
      <c r="C117" s="358">
        <v>31</v>
      </c>
      <c r="D117" s="358">
        <v>21</v>
      </c>
      <c r="E117" s="358">
        <v>19</v>
      </c>
      <c r="F117" s="358">
        <v>107</v>
      </c>
      <c r="G117" s="359">
        <v>76</v>
      </c>
    </row>
    <row r="118" spans="1:7" ht="15.5" x14ac:dyDescent="0.35">
      <c r="A118" s="357" t="s">
        <v>925</v>
      </c>
      <c r="B118" s="373"/>
      <c r="C118" s="373"/>
      <c r="D118" s="373"/>
      <c r="E118" s="373"/>
      <c r="F118" s="358">
        <v>75</v>
      </c>
      <c r="G118" s="359">
        <v>46</v>
      </c>
    </row>
    <row r="119" spans="1:7" ht="15.5" x14ac:dyDescent="0.35">
      <c r="A119" s="357" t="s">
        <v>926</v>
      </c>
      <c r="B119" s="373">
        <v>0</v>
      </c>
      <c r="C119" s="373">
        <v>0</v>
      </c>
      <c r="D119" s="373">
        <v>0</v>
      </c>
      <c r="E119" s="358">
        <v>3823</v>
      </c>
      <c r="F119" s="358">
        <v>36644</v>
      </c>
      <c r="G119" s="359">
        <v>1893</v>
      </c>
    </row>
    <row r="120" spans="1:7" ht="16" thickBot="1" x14ac:dyDescent="0.4">
      <c r="A120" s="364" t="s">
        <v>927</v>
      </c>
      <c r="B120" s="374">
        <v>99</v>
      </c>
      <c r="C120" s="374">
        <v>83</v>
      </c>
      <c r="D120" s="374">
        <v>37</v>
      </c>
      <c r="E120" s="374">
        <v>43</v>
      </c>
      <c r="F120" s="374">
        <v>75</v>
      </c>
      <c r="G120" s="370">
        <v>20</v>
      </c>
    </row>
    <row r="121" spans="1:7" ht="15.5" x14ac:dyDescent="0.35">
      <c r="A121" s="375"/>
      <c r="B121" s="376"/>
      <c r="C121" s="376"/>
      <c r="D121" s="376"/>
      <c r="E121" s="376"/>
      <c r="F121" s="376"/>
    </row>
    <row r="122" spans="1:7" ht="16" thickBot="1" x14ac:dyDescent="0.4">
      <c r="A122" s="318" t="s">
        <v>929</v>
      </c>
      <c r="B122" s="115"/>
    </row>
    <row r="123" spans="1:7" ht="15" x14ac:dyDescent="0.35">
      <c r="A123" s="353" t="s">
        <v>911</v>
      </c>
      <c r="B123" s="355" t="s">
        <v>897</v>
      </c>
      <c r="C123" s="355" t="s">
        <v>898</v>
      </c>
      <c r="D123" s="355" t="s">
        <v>899</v>
      </c>
      <c r="E123" s="355" t="s">
        <v>858</v>
      </c>
      <c r="F123" s="355" t="s">
        <v>857</v>
      </c>
      <c r="G123" s="356" t="s">
        <v>806</v>
      </c>
    </row>
    <row r="124" spans="1:7" ht="15.5" x14ac:dyDescent="0.35">
      <c r="A124" s="357" t="s">
        <v>912</v>
      </c>
      <c r="B124" s="373"/>
      <c r="C124" s="373"/>
      <c r="D124" s="373"/>
      <c r="E124" s="373"/>
      <c r="F124" s="358">
        <v>8</v>
      </c>
      <c r="G124" s="359">
        <v>17</v>
      </c>
    </row>
    <row r="125" spans="1:7" ht="15.5" x14ac:dyDescent="0.35">
      <c r="A125" s="357" t="s">
        <v>913</v>
      </c>
      <c r="B125" s="373">
        <v>0</v>
      </c>
      <c r="C125" s="373">
        <v>0</v>
      </c>
      <c r="D125" s="373">
        <v>0</v>
      </c>
      <c r="E125" s="358">
        <v>0</v>
      </c>
      <c r="F125" s="358">
        <v>1</v>
      </c>
      <c r="G125" s="359">
        <v>1</v>
      </c>
    </row>
    <row r="126" spans="1:7" ht="15.5" x14ac:dyDescent="0.35">
      <c r="A126" s="357" t="s">
        <v>914</v>
      </c>
      <c r="B126" s="373"/>
      <c r="C126" s="373"/>
      <c r="D126" s="373"/>
      <c r="E126" s="373"/>
      <c r="F126" s="358">
        <v>5</v>
      </c>
      <c r="G126" s="359">
        <v>16</v>
      </c>
    </row>
    <row r="127" spans="1:7" ht="15.5" x14ac:dyDescent="0.35">
      <c r="A127" s="357" t="s">
        <v>915</v>
      </c>
      <c r="B127" s="358">
        <v>15445</v>
      </c>
      <c r="C127" s="358">
        <v>18981</v>
      </c>
      <c r="D127" s="358">
        <v>12590</v>
      </c>
      <c r="E127" s="358">
        <v>2872</v>
      </c>
      <c r="F127" s="358">
        <v>7376</v>
      </c>
      <c r="G127" s="359">
        <v>3187</v>
      </c>
    </row>
    <row r="128" spans="1:7" ht="15.5" x14ac:dyDescent="0.35">
      <c r="A128" s="357" t="s">
        <v>916</v>
      </c>
      <c r="B128" s="373"/>
      <c r="C128" s="373"/>
      <c r="D128" s="373"/>
      <c r="E128" s="373"/>
      <c r="F128" s="373"/>
      <c r="G128" s="359">
        <v>9</v>
      </c>
    </row>
    <row r="129" spans="1:7" ht="15.5" x14ac:dyDescent="0.35">
      <c r="A129" s="357" t="s">
        <v>917</v>
      </c>
      <c r="B129" s="373">
        <v>0</v>
      </c>
      <c r="C129" s="373">
        <v>0</v>
      </c>
      <c r="D129" s="373">
        <v>0</v>
      </c>
      <c r="E129" s="358">
        <v>16</v>
      </c>
      <c r="F129" s="358">
        <v>1612</v>
      </c>
      <c r="G129" s="359">
        <v>438</v>
      </c>
    </row>
    <row r="130" spans="1:7" ht="15.5" x14ac:dyDescent="0.35">
      <c r="A130" s="357" t="s">
        <v>918</v>
      </c>
      <c r="B130" s="358">
        <v>28894</v>
      </c>
      <c r="C130" s="358">
        <v>41800</v>
      </c>
      <c r="D130" s="358">
        <v>21139</v>
      </c>
      <c r="E130" s="358">
        <v>4904</v>
      </c>
      <c r="F130" s="358">
        <v>6541</v>
      </c>
      <c r="G130" s="359">
        <v>3953</v>
      </c>
    </row>
    <row r="131" spans="1:7" ht="15.5" x14ac:dyDescent="0.35">
      <c r="A131" s="357" t="s">
        <v>919</v>
      </c>
      <c r="B131" s="358">
        <v>45</v>
      </c>
      <c r="C131" s="358">
        <v>162</v>
      </c>
      <c r="D131" s="358">
        <v>97</v>
      </c>
      <c r="E131" s="358">
        <v>23</v>
      </c>
      <c r="F131" s="358">
        <v>32</v>
      </c>
      <c r="G131" s="359">
        <v>13</v>
      </c>
    </row>
    <row r="132" spans="1:7" ht="15.5" x14ac:dyDescent="0.35">
      <c r="A132" s="357" t="s">
        <v>920</v>
      </c>
      <c r="B132" s="358">
        <v>879</v>
      </c>
      <c r="C132" s="358">
        <v>2240</v>
      </c>
      <c r="D132" s="358">
        <v>1416</v>
      </c>
      <c r="E132" s="358">
        <v>964</v>
      </c>
      <c r="F132" s="358">
        <v>2605</v>
      </c>
      <c r="G132" s="359">
        <v>1548</v>
      </c>
    </row>
    <row r="133" spans="1:7" ht="15.5" x14ac:dyDescent="0.35">
      <c r="A133" s="357" t="s">
        <v>921</v>
      </c>
      <c r="B133" s="358">
        <v>229</v>
      </c>
      <c r="C133" s="358">
        <v>151</v>
      </c>
      <c r="D133" s="358">
        <v>112</v>
      </c>
      <c r="E133" s="358">
        <v>47</v>
      </c>
      <c r="F133" s="358">
        <v>23</v>
      </c>
      <c r="G133" s="359">
        <v>20</v>
      </c>
    </row>
    <row r="134" spans="1:7" ht="15.5" x14ac:dyDescent="0.35">
      <c r="A134" s="357" t="s">
        <v>922</v>
      </c>
      <c r="B134" s="358">
        <v>61</v>
      </c>
      <c r="C134" s="358">
        <v>65</v>
      </c>
      <c r="D134" s="358">
        <v>41</v>
      </c>
      <c r="E134" s="358">
        <v>22</v>
      </c>
      <c r="F134" s="358">
        <v>0</v>
      </c>
      <c r="G134" s="359">
        <v>2</v>
      </c>
    </row>
    <row r="135" spans="1:7" ht="15.5" x14ac:dyDescent="0.35">
      <c r="A135" s="357" t="s">
        <v>923</v>
      </c>
      <c r="B135" s="358">
        <v>42</v>
      </c>
      <c r="C135" s="358">
        <v>18</v>
      </c>
      <c r="D135" s="358">
        <v>17</v>
      </c>
      <c r="E135" s="358">
        <v>4</v>
      </c>
      <c r="F135" s="358">
        <v>9</v>
      </c>
      <c r="G135" s="359">
        <v>8</v>
      </c>
    </row>
    <row r="136" spans="1:7" ht="15.5" x14ac:dyDescent="0.35">
      <c r="A136" s="357" t="s">
        <v>924</v>
      </c>
      <c r="B136" s="358">
        <v>7</v>
      </c>
      <c r="C136" s="358">
        <v>9</v>
      </c>
      <c r="D136" s="358">
        <v>2</v>
      </c>
      <c r="E136" s="358">
        <v>0</v>
      </c>
      <c r="F136" s="358">
        <v>6</v>
      </c>
      <c r="G136" s="359">
        <v>11</v>
      </c>
    </row>
    <row r="137" spans="1:7" ht="15.5" x14ac:dyDescent="0.35">
      <c r="A137" s="357" t="s">
        <v>925</v>
      </c>
      <c r="B137" s="373"/>
      <c r="C137" s="373"/>
      <c r="D137" s="373"/>
      <c r="E137" s="373"/>
      <c r="F137" s="358">
        <v>10</v>
      </c>
      <c r="G137" s="359">
        <v>20</v>
      </c>
    </row>
    <row r="138" spans="1:7" ht="15.5" x14ac:dyDescent="0.35">
      <c r="A138" s="357" t="s">
        <v>926</v>
      </c>
      <c r="B138" s="373">
        <v>0</v>
      </c>
      <c r="C138" s="373">
        <v>0</v>
      </c>
      <c r="D138" s="373">
        <v>0</v>
      </c>
      <c r="E138" s="358">
        <v>18</v>
      </c>
      <c r="F138" s="358">
        <v>197</v>
      </c>
      <c r="G138" s="359">
        <v>297</v>
      </c>
    </row>
    <row r="139" spans="1:7" ht="16" thickBot="1" x14ac:dyDescent="0.4">
      <c r="A139" s="364" t="s">
        <v>927</v>
      </c>
      <c r="B139" s="374">
        <v>24</v>
      </c>
      <c r="C139" s="374">
        <v>46</v>
      </c>
      <c r="D139" s="374">
        <v>14</v>
      </c>
      <c r="E139" s="374">
        <v>6</v>
      </c>
      <c r="F139" s="374">
        <v>17</v>
      </c>
      <c r="G139" s="370">
        <v>3</v>
      </c>
    </row>
  </sheetData>
  <mergeCells count="1">
    <mergeCell ref="A1:L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80F43-6F1E-40AA-A1B5-4210DCE4261E}">
  <dimension ref="A1:AG142"/>
  <sheetViews>
    <sheetView zoomScale="70" zoomScaleNormal="70" workbookViewId="0">
      <pane xSplit="1" topLeftCell="B1" activePane="topRight" state="frozen"/>
      <selection pane="topRight" activeCell="B11" sqref="B11"/>
    </sheetView>
  </sheetViews>
  <sheetFormatPr defaultColWidth="9.453125" defaultRowHeight="14.5" x14ac:dyDescent="0.35"/>
  <cols>
    <col min="1" max="1" width="67.54296875" customWidth="1"/>
    <col min="2" max="2" width="56.90625" bestFit="1" customWidth="1"/>
    <col min="3" max="3" width="24.54296875" bestFit="1" customWidth="1"/>
    <col min="4" max="5" width="9.6328125" bestFit="1" customWidth="1"/>
    <col min="6" max="6" width="11.1796875" bestFit="1" customWidth="1"/>
    <col min="7" max="7" width="22.81640625" bestFit="1" customWidth="1"/>
    <col min="8" max="8" width="21" customWidth="1"/>
    <col min="9" max="9" width="14.6328125" style="160" customWidth="1"/>
    <col min="10" max="13" width="14.81640625" style="160" customWidth="1"/>
    <col min="14" max="15" width="18" style="160" customWidth="1"/>
    <col min="16" max="16" width="15.36328125" style="160" customWidth="1"/>
    <col min="17" max="17" width="17.1796875" style="160" customWidth="1"/>
    <col min="18" max="18" width="14" style="160" customWidth="1"/>
    <col min="19" max="20" width="14.453125" style="160" customWidth="1"/>
    <col min="21" max="21" width="15.6328125" style="13" customWidth="1"/>
    <col min="22" max="22" width="18.36328125" style="13" customWidth="1"/>
    <col min="23" max="23" width="18.1796875" customWidth="1"/>
    <col min="24" max="24" width="15.54296875" bestFit="1" customWidth="1"/>
    <col min="25" max="25" width="18.54296875" style="97" bestFit="1" customWidth="1"/>
    <col min="26" max="26" width="34" bestFit="1" customWidth="1"/>
    <col min="27" max="27" width="24.6328125" bestFit="1" customWidth="1"/>
    <col min="28" max="28" width="37.6328125" style="1" bestFit="1" customWidth="1"/>
    <col min="29" max="29" width="37.6328125" style="1" customWidth="1"/>
    <col min="30" max="30" width="27.453125" style="151" bestFit="1" customWidth="1"/>
    <col min="31" max="31" width="35.1796875" style="152" bestFit="1" customWidth="1"/>
    <col min="32" max="32" width="34" style="1" bestFit="1" customWidth="1"/>
    <col min="33" max="33" width="36.81640625" style="96" bestFit="1" customWidth="1"/>
    <col min="34" max="34" width="13.453125" bestFit="1" customWidth="1"/>
  </cols>
  <sheetData>
    <row r="1" spans="1:33" ht="41.75" customHeight="1" x14ac:dyDescent="0.35">
      <c r="A1" s="433" t="s">
        <v>685</v>
      </c>
      <c r="B1" s="433"/>
      <c r="C1" s="433"/>
      <c r="D1" s="433"/>
      <c r="E1" s="3"/>
      <c r="F1" s="3"/>
      <c r="G1" s="3"/>
      <c r="H1" s="3"/>
      <c r="I1" s="133"/>
      <c r="J1" s="133"/>
      <c r="K1" s="133"/>
      <c r="L1" s="133"/>
      <c r="M1" s="133"/>
      <c r="N1" s="133"/>
      <c r="O1" s="133"/>
      <c r="P1" s="133"/>
      <c r="Q1" s="133"/>
      <c r="R1" s="133"/>
      <c r="S1" s="133"/>
      <c r="T1" s="133"/>
      <c r="U1" s="68"/>
      <c r="V1" s="68"/>
      <c r="W1" s="133"/>
      <c r="X1" s="3"/>
      <c r="Y1" s="132"/>
      <c r="Z1" s="3"/>
      <c r="AA1" s="3"/>
      <c r="AB1" s="134"/>
      <c r="AC1" s="134"/>
      <c r="AD1" s="135"/>
      <c r="AE1" s="136"/>
      <c r="AF1" s="134"/>
      <c r="AG1" s="131"/>
    </row>
    <row r="2" spans="1:33" ht="45" customHeight="1" x14ac:dyDescent="0.35">
      <c r="A2" s="434" t="s">
        <v>684</v>
      </c>
      <c r="B2" s="434"/>
      <c r="C2" s="434"/>
      <c r="D2" s="434"/>
      <c r="E2" s="3"/>
      <c r="F2" s="3"/>
      <c r="G2" s="3"/>
      <c r="H2" s="3"/>
      <c r="I2" s="133"/>
      <c r="J2" s="133"/>
      <c r="K2" s="133"/>
      <c r="L2" s="133"/>
      <c r="M2" s="133"/>
      <c r="N2" s="133"/>
      <c r="O2" s="133"/>
      <c r="P2" s="133"/>
      <c r="Q2" s="133"/>
      <c r="R2" s="133"/>
      <c r="S2" s="133"/>
      <c r="T2" s="133"/>
      <c r="U2" s="68"/>
      <c r="V2" s="68"/>
      <c r="W2" s="133"/>
      <c r="X2" s="3"/>
      <c r="Y2" s="132"/>
      <c r="Z2" s="3"/>
      <c r="AA2" s="3"/>
      <c r="AB2" s="134"/>
      <c r="AC2" s="134"/>
      <c r="AD2" s="135"/>
      <c r="AE2" s="136"/>
      <c r="AF2" s="134"/>
      <c r="AG2" s="131"/>
    </row>
    <row r="3" spans="1:33" ht="48.65" customHeight="1" x14ac:dyDescent="0.6">
      <c r="A3" s="435" t="s">
        <v>683</v>
      </c>
      <c r="B3" s="435"/>
      <c r="C3" s="435"/>
      <c r="D3" s="435"/>
      <c r="E3" s="435"/>
      <c r="F3" s="435"/>
      <c r="G3" s="435"/>
      <c r="H3" s="435"/>
      <c r="I3" s="451"/>
      <c r="J3" s="451"/>
      <c r="K3" s="451"/>
      <c r="L3" s="451"/>
      <c r="M3" s="451"/>
      <c r="N3" s="451"/>
      <c r="O3" s="451"/>
      <c r="P3" s="451"/>
      <c r="Q3" s="451"/>
      <c r="R3" s="451"/>
      <c r="S3" s="451"/>
      <c r="T3" s="451"/>
      <c r="U3" s="435"/>
      <c r="V3" s="435"/>
      <c r="W3" s="435"/>
      <c r="X3" s="435"/>
      <c r="Y3" s="130"/>
      <c r="Z3" s="58"/>
      <c r="AA3" s="58"/>
      <c r="AB3" s="435"/>
      <c r="AC3" s="435"/>
      <c r="AD3" s="435"/>
      <c r="AE3" s="435"/>
      <c r="AF3" s="435"/>
      <c r="AG3" s="137"/>
    </row>
    <row r="4" spans="1:33" ht="30.75" customHeight="1" x14ac:dyDescent="0.35">
      <c r="A4" s="452" t="s">
        <v>682</v>
      </c>
      <c r="B4" s="452"/>
      <c r="C4" s="452"/>
      <c r="D4" s="452"/>
      <c r="E4" s="452"/>
      <c r="F4" s="452"/>
      <c r="G4" s="452"/>
      <c r="H4" s="452"/>
      <c r="I4" s="452"/>
      <c r="J4" s="452"/>
      <c r="K4" s="452"/>
      <c r="L4" s="452"/>
      <c r="M4" s="452"/>
      <c r="N4" s="452"/>
      <c r="O4" s="452"/>
      <c r="P4" s="452"/>
      <c r="Q4" s="452"/>
      <c r="R4" s="452"/>
      <c r="S4" s="452"/>
      <c r="T4" s="452"/>
      <c r="U4" s="452"/>
      <c r="V4" s="452"/>
      <c r="W4" s="452"/>
      <c r="X4" s="452"/>
      <c r="Y4" s="452"/>
      <c r="Z4" s="452"/>
      <c r="AA4" s="452"/>
      <c r="AB4" s="452"/>
      <c r="AC4" s="452"/>
      <c r="AD4" s="452"/>
      <c r="AE4" s="452"/>
      <c r="AF4" s="452"/>
      <c r="AG4" s="452"/>
    </row>
    <row r="5" spans="1:33" ht="87.65" customHeight="1" x14ac:dyDescent="0.35">
      <c r="A5" s="129" t="s">
        <v>113</v>
      </c>
      <c r="B5" s="128"/>
      <c r="C5" s="128"/>
      <c r="D5" s="128"/>
      <c r="E5" s="128"/>
      <c r="F5" s="128"/>
      <c r="G5" s="128"/>
      <c r="H5" s="128"/>
      <c r="I5" s="173" t="s">
        <v>114</v>
      </c>
      <c r="J5" s="453" t="s">
        <v>681</v>
      </c>
      <c r="K5" s="453"/>
      <c r="L5" s="453"/>
      <c r="M5" s="453"/>
      <c r="N5" s="453" t="s">
        <v>680</v>
      </c>
      <c r="O5" s="453"/>
      <c r="P5" s="453"/>
      <c r="Q5" s="453"/>
      <c r="R5" s="450" t="s">
        <v>679</v>
      </c>
      <c r="S5" s="450"/>
      <c r="T5" s="450"/>
      <c r="U5" s="450"/>
      <c r="V5" s="127" t="s">
        <v>678</v>
      </c>
      <c r="W5" s="450" t="s">
        <v>115</v>
      </c>
      <c r="X5" s="450"/>
      <c r="Y5" s="450"/>
      <c r="Z5" s="450"/>
      <c r="AA5" s="450"/>
      <c r="AB5" s="450"/>
      <c r="AC5" s="450"/>
      <c r="AD5" s="450"/>
      <c r="AE5" s="450"/>
      <c r="AF5" s="450"/>
      <c r="AG5" s="450"/>
    </row>
    <row r="6" spans="1:33" ht="20.25" customHeight="1" x14ac:dyDescent="0.35">
      <c r="A6" s="126" t="s">
        <v>791</v>
      </c>
      <c r="B6" s="125"/>
      <c r="C6" s="125"/>
      <c r="D6" s="125"/>
      <c r="E6" s="125"/>
      <c r="F6" s="125"/>
      <c r="G6" s="125"/>
      <c r="H6" s="125"/>
      <c r="I6" s="172"/>
      <c r="J6" s="171"/>
      <c r="K6" s="171"/>
      <c r="L6" s="171"/>
      <c r="M6" s="171"/>
      <c r="N6" s="171"/>
      <c r="O6" s="171"/>
      <c r="P6" s="171"/>
      <c r="Q6" s="171"/>
      <c r="R6" s="123"/>
      <c r="S6" s="123"/>
      <c r="T6" s="123"/>
      <c r="U6" s="120"/>
      <c r="V6" s="124"/>
      <c r="W6" s="123"/>
      <c r="X6" s="120"/>
      <c r="Y6" s="122"/>
      <c r="Z6" s="120"/>
      <c r="AA6" s="120"/>
      <c r="AB6" s="120"/>
      <c r="AC6" s="120"/>
      <c r="AD6" s="138"/>
      <c r="AE6" s="122"/>
      <c r="AF6" s="120"/>
      <c r="AG6" s="121"/>
    </row>
    <row r="7" spans="1:33" ht="48" customHeight="1" x14ac:dyDescent="0.35">
      <c r="A7" s="116" t="s">
        <v>116</v>
      </c>
      <c r="B7" s="116" t="s">
        <v>117</v>
      </c>
      <c r="C7" s="116" t="s">
        <v>118</v>
      </c>
      <c r="D7" s="116" t="s">
        <v>119</v>
      </c>
      <c r="E7" s="116" t="s">
        <v>120</v>
      </c>
      <c r="F7" s="116" t="s">
        <v>51</v>
      </c>
      <c r="G7" s="116" t="s">
        <v>121</v>
      </c>
      <c r="H7" s="116" t="s">
        <v>86</v>
      </c>
      <c r="I7" s="119" t="s">
        <v>677</v>
      </c>
      <c r="J7" s="116" t="s">
        <v>122</v>
      </c>
      <c r="K7" s="116" t="s">
        <v>123</v>
      </c>
      <c r="L7" s="116" t="s">
        <v>124</v>
      </c>
      <c r="M7" s="116" t="s">
        <v>125</v>
      </c>
      <c r="N7" s="116" t="s">
        <v>126</v>
      </c>
      <c r="O7" s="116" t="s">
        <v>127</v>
      </c>
      <c r="P7" s="116" t="s">
        <v>128</v>
      </c>
      <c r="Q7" s="116" t="s">
        <v>129</v>
      </c>
      <c r="R7" s="116" t="s">
        <v>130</v>
      </c>
      <c r="S7" s="116" t="s">
        <v>131</v>
      </c>
      <c r="T7" s="116" t="s">
        <v>132</v>
      </c>
      <c r="U7" s="170" t="s">
        <v>133</v>
      </c>
      <c r="V7" s="170" t="s">
        <v>134</v>
      </c>
      <c r="W7" s="116" t="s">
        <v>135</v>
      </c>
      <c r="X7" s="116" t="s">
        <v>136</v>
      </c>
      <c r="Y7" s="118" t="s">
        <v>676</v>
      </c>
      <c r="Z7" s="116" t="s">
        <v>675</v>
      </c>
      <c r="AA7" s="116" t="s">
        <v>674</v>
      </c>
      <c r="AB7" s="139" t="s">
        <v>673</v>
      </c>
      <c r="AC7" s="139" t="s">
        <v>672</v>
      </c>
      <c r="AD7" s="117" t="s">
        <v>671</v>
      </c>
      <c r="AE7" s="169" t="s">
        <v>670</v>
      </c>
      <c r="AF7" s="139" t="s">
        <v>669</v>
      </c>
      <c r="AG7" s="140" t="s">
        <v>668</v>
      </c>
    </row>
    <row r="8" spans="1:33" ht="15.5" x14ac:dyDescent="0.35">
      <c r="A8" s="174" t="s">
        <v>22</v>
      </c>
      <c r="B8" s="174" t="s">
        <v>169</v>
      </c>
      <c r="C8" s="174" t="s">
        <v>170</v>
      </c>
      <c r="D8" s="174" t="s">
        <v>171</v>
      </c>
      <c r="E8" s="174">
        <v>39120</v>
      </c>
      <c r="F8" s="174" t="s">
        <v>160</v>
      </c>
      <c r="G8" s="174" t="s">
        <v>141</v>
      </c>
      <c r="H8" s="174" t="s">
        <v>142</v>
      </c>
      <c r="I8" s="175">
        <v>28.849808239514999</v>
      </c>
      <c r="J8" s="175">
        <v>813.16535433062779</v>
      </c>
      <c r="K8" s="175">
        <v>32.145669291338642</v>
      </c>
      <c r="L8" s="175">
        <v>9.3110236220472462</v>
      </c>
      <c r="M8" s="175">
        <v>10.681102362204733</v>
      </c>
      <c r="N8" s="175">
        <v>20.669291338582681</v>
      </c>
      <c r="O8" s="175">
        <v>844.58267716526632</v>
      </c>
      <c r="P8" s="175">
        <v>0</v>
      </c>
      <c r="Q8" s="175">
        <v>5.1181102362204724E-2</v>
      </c>
      <c r="R8" s="175">
        <v>2.7637795275590546</v>
      </c>
      <c r="S8" s="175">
        <v>2.3307086614173231</v>
      </c>
      <c r="T8" s="175">
        <v>1.4685039370078738</v>
      </c>
      <c r="U8" s="176">
        <v>858.74015748022612</v>
      </c>
      <c r="V8" s="176">
        <v>305.55118110235327</v>
      </c>
      <c r="W8" s="174">
        <v>1100</v>
      </c>
      <c r="X8" s="174" t="s">
        <v>702</v>
      </c>
      <c r="Y8" s="177">
        <v>44981</v>
      </c>
      <c r="Z8" s="177" t="s">
        <v>561</v>
      </c>
      <c r="AA8" s="177" t="s">
        <v>240</v>
      </c>
      <c r="AB8" s="178" t="s">
        <v>561</v>
      </c>
      <c r="AC8" s="178" t="s">
        <v>144</v>
      </c>
      <c r="AD8" s="179" t="s">
        <v>667</v>
      </c>
      <c r="AE8" s="180" t="s">
        <v>561</v>
      </c>
      <c r="AF8" s="180" t="s">
        <v>144</v>
      </c>
      <c r="AG8" s="179">
        <v>44168</v>
      </c>
    </row>
    <row r="9" spans="1:33" ht="15.5" x14ac:dyDescent="0.35">
      <c r="A9" s="174" t="s">
        <v>5</v>
      </c>
      <c r="B9" s="174" t="s">
        <v>137</v>
      </c>
      <c r="C9" s="174" t="s">
        <v>138</v>
      </c>
      <c r="D9" s="174" t="s">
        <v>139</v>
      </c>
      <c r="E9" s="174">
        <v>92301</v>
      </c>
      <c r="F9" s="174" t="s">
        <v>140</v>
      </c>
      <c r="G9" s="174" t="s">
        <v>154</v>
      </c>
      <c r="H9" s="174" t="s">
        <v>142</v>
      </c>
      <c r="I9" s="175">
        <v>898</v>
      </c>
      <c r="J9" s="175">
        <v>2.0196850393700787</v>
      </c>
      <c r="K9" s="175">
        <v>1</v>
      </c>
      <c r="L9" s="175">
        <v>1</v>
      </c>
      <c r="M9" s="175">
        <v>12.602362204724407</v>
      </c>
      <c r="N9" s="175">
        <v>13.602362204724407</v>
      </c>
      <c r="O9" s="175">
        <v>1.0196850393700787</v>
      </c>
      <c r="P9" s="175">
        <v>2</v>
      </c>
      <c r="Q9" s="175">
        <v>0</v>
      </c>
      <c r="R9" s="175">
        <v>13.559055118110235</v>
      </c>
      <c r="S9" s="175">
        <v>1.311023622047244</v>
      </c>
      <c r="T9" s="175">
        <v>0</v>
      </c>
      <c r="U9" s="176">
        <v>1.7519685039370079</v>
      </c>
      <c r="V9" s="176">
        <v>16.622047244094489</v>
      </c>
      <c r="W9" s="174">
        <v>640</v>
      </c>
      <c r="X9" s="174" t="s">
        <v>702</v>
      </c>
      <c r="Y9" s="177">
        <v>45022</v>
      </c>
      <c r="Z9" s="177" t="s">
        <v>561</v>
      </c>
      <c r="AA9" s="177" t="s">
        <v>240</v>
      </c>
      <c r="AB9" s="178" t="s">
        <v>561</v>
      </c>
      <c r="AC9" s="178" t="s">
        <v>144</v>
      </c>
      <c r="AD9" s="179" t="s">
        <v>666</v>
      </c>
      <c r="AE9" s="180" t="s">
        <v>561</v>
      </c>
      <c r="AF9" s="180" t="s">
        <v>144</v>
      </c>
      <c r="AG9" s="179">
        <v>44155</v>
      </c>
    </row>
    <row r="10" spans="1:33" ht="15.5" x14ac:dyDescent="0.35">
      <c r="A10" s="174" t="s">
        <v>370</v>
      </c>
      <c r="B10" s="174" t="s">
        <v>371</v>
      </c>
      <c r="C10" s="174" t="s">
        <v>372</v>
      </c>
      <c r="D10" s="174" t="s">
        <v>373</v>
      </c>
      <c r="E10" s="174">
        <v>27253</v>
      </c>
      <c r="F10" s="174" t="s">
        <v>149</v>
      </c>
      <c r="G10" s="174" t="s">
        <v>161</v>
      </c>
      <c r="H10" s="174" t="s">
        <v>142</v>
      </c>
      <c r="I10" s="175">
        <v>3.0337370242214501</v>
      </c>
      <c r="J10" s="175">
        <v>1.5944881889763756</v>
      </c>
      <c r="K10" s="175">
        <v>2.0551181102362177</v>
      </c>
      <c r="L10" s="175">
        <v>5.4527559055118022</v>
      </c>
      <c r="M10" s="175">
        <v>5.5511811023621958</v>
      </c>
      <c r="N10" s="175">
        <v>12.685039370078851</v>
      </c>
      <c r="O10" s="175">
        <v>1.8937007874015723</v>
      </c>
      <c r="P10" s="175">
        <v>2.7559055118110236E-2</v>
      </c>
      <c r="Q10" s="175">
        <v>4.7244094488188976E-2</v>
      </c>
      <c r="R10" s="175">
        <v>0.42519685039370081</v>
      </c>
      <c r="S10" s="175">
        <v>0.23228346456692914</v>
      </c>
      <c r="T10" s="175">
        <v>0.22440944881889768</v>
      </c>
      <c r="U10" s="176">
        <v>13.771653543307249</v>
      </c>
      <c r="V10" s="176">
        <v>10.527559055118189</v>
      </c>
      <c r="W10" s="174">
        <v>40</v>
      </c>
      <c r="X10" s="174" t="s">
        <v>795</v>
      </c>
      <c r="Y10" s="177" t="s">
        <v>560</v>
      </c>
      <c r="Z10" s="177" t="s">
        <v>560</v>
      </c>
      <c r="AA10" s="177" t="s">
        <v>560</v>
      </c>
      <c r="AB10" s="178" t="s">
        <v>239</v>
      </c>
      <c r="AC10" s="181" t="s">
        <v>249</v>
      </c>
      <c r="AD10" s="179" t="s">
        <v>665</v>
      </c>
      <c r="AE10" s="180" t="s">
        <v>239</v>
      </c>
      <c r="AF10" s="180" t="s">
        <v>249</v>
      </c>
      <c r="AG10" s="179">
        <v>44364</v>
      </c>
    </row>
    <row r="11" spans="1:33" ht="15.5" x14ac:dyDescent="0.35">
      <c r="A11" s="174" t="s">
        <v>8</v>
      </c>
      <c r="B11" s="174" t="s">
        <v>279</v>
      </c>
      <c r="C11" s="174" t="s">
        <v>26</v>
      </c>
      <c r="D11" s="174" t="s">
        <v>159</v>
      </c>
      <c r="E11" s="174">
        <v>71303</v>
      </c>
      <c r="F11" s="174" t="s">
        <v>160</v>
      </c>
      <c r="G11" s="174" t="s">
        <v>280</v>
      </c>
      <c r="H11" s="174" t="s">
        <v>4</v>
      </c>
      <c r="I11" s="175">
        <v>3.53119028119028</v>
      </c>
      <c r="J11" s="175">
        <v>93.622047244088478</v>
      </c>
      <c r="K11" s="175">
        <v>24.074803149606868</v>
      </c>
      <c r="L11" s="175">
        <v>44.078740157480837</v>
      </c>
      <c r="M11" s="175">
        <v>42.913385826772178</v>
      </c>
      <c r="N11" s="175">
        <v>101.11417322833961</v>
      </c>
      <c r="O11" s="175">
        <v>103.56692913385072</v>
      </c>
      <c r="P11" s="175">
        <v>7.874015748031496E-3</v>
      </c>
      <c r="Q11" s="175">
        <v>0</v>
      </c>
      <c r="R11" s="175">
        <v>44.279527559055694</v>
      </c>
      <c r="S11" s="175">
        <v>18.464566929134246</v>
      </c>
      <c r="T11" s="175">
        <v>19.078740157480659</v>
      </c>
      <c r="U11" s="176">
        <v>122.86614173227207</v>
      </c>
      <c r="V11" s="176">
        <v>201.52362204721641</v>
      </c>
      <c r="W11" s="174"/>
      <c r="X11" s="174" t="s">
        <v>162</v>
      </c>
      <c r="Y11" s="177" t="s">
        <v>560</v>
      </c>
      <c r="Z11" s="177" t="s">
        <v>560</v>
      </c>
      <c r="AA11" s="177" t="s">
        <v>560</v>
      </c>
      <c r="AB11" s="178" t="s">
        <v>162</v>
      </c>
      <c r="AC11" s="178" t="s">
        <v>162</v>
      </c>
      <c r="AD11" s="182" t="s">
        <v>162</v>
      </c>
      <c r="AE11" s="178" t="s">
        <v>162</v>
      </c>
      <c r="AF11" s="178" t="s">
        <v>162</v>
      </c>
      <c r="AG11" s="182" t="s">
        <v>162</v>
      </c>
    </row>
    <row r="12" spans="1:33" ht="15.5" x14ac:dyDescent="0.35">
      <c r="A12" s="174" t="s">
        <v>6</v>
      </c>
      <c r="B12" s="174" t="s">
        <v>322</v>
      </c>
      <c r="C12" s="174" t="s">
        <v>323</v>
      </c>
      <c r="D12" s="174" t="s">
        <v>159</v>
      </c>
      <c r="E12" s="174">
        <v>70655</v>
      </c>
      <c r="F12" s="174" t="s">
        <v>160</v>
      </c>
      <c r="G12" s="174" t="s">
        <v>161</v>
      </c>
      <c r="H12" s="174" t="s">
        <v>4</v>
      </c>
      <c r="I12" s="175">
        <v>57.457858769931697</v>
      </c>
      <c r="J12" s="175">
        <v>84.937007874015521</v>
      </c>
      <c r="K12" s="175">
        <v>2.1889763779527556</v>
      </c>
      <c r="L12" s="175">
        <v>8.6614173228346455E-2</v>
      </c>
      <c r="M12" s="175">
        <v>0.37401574803149606</v>
      </c>
      <c r="N12" s="175">
        <v>3.393700787401575</v>
      </c>
      <c r="O12" s="175">
        <v>84.192913385826529</v>
      </c>
      <c r="P12" s="175">
        <v>0</v>
      </c>
      <c r="Q12" s="175">
        <v>0</v>
      </c>
      <c r="R12" s="175">
        <v>0.79527559055118102</v>
      </c>
      <c r="S12" s="175">
        <v>0.48818897637795278</v>
      </c>
      <c r="T12" s="175">
        <v>2.0039370078740157</v>
      </c>
      <c r="U12" s="176">
        <v>84.299212598424958</v>
      </c>
      <c r="V12" s="176">
        <v>55.972440944882024</v>
      </c>
      <c r="W12" s="174">
        <v>170</v>
      </c>
      <c r="X12" s="174" t="s">
        <v>702</v>
      </c>
      <c r="Y12" s="177">
        <v>44895</v>
      </c>
      <c r="Z12" s="177" t="s">
        <v>561</v>
      </c>
      <c r="AA12" s="177" t="s">
        <v>249</v>
      </c>
      <c r="AB12" s="178" t="s">
        <v>561</v>
      </c>
      <c r="AC12" s="178" t="s">
        <v>144</v>
      </c>
      <c r="AD12" s="179" t="s">
        <v>585</v>
      </c>
      <c r="AE12" s="180" t="s">
        <v>561</v>
      </c>
      <c r="AF12" s="180" t="s">
        <v>144</v>
      </c>
      <c r="AG12" s="179">
        <v>44427</v>
      </c>
    </row>
    <row r="13" spans="1:33" ht="15.5" x14ac:dyDescent="0.35">
      <c r="A13" s="174" t="s">
        <v>287</v>
      </c>
      <c r="B13" s="174" t="s">
        <v>288</v>
      </c>
      <c r="C13" s="174" t="s">
        <v>236</v>
      </c>
      <c r="D13" s="174" t="s">
        <v>148</v>
      </c>
      <c r="E13" s="174">
        <v>31537</v>
      </c>
      <c r="F13" s="174" t="s">
        <v>149</v>
      </c>
      <c r="G13" s="174" t="s">
        <v>141</v>
      </c>
      <c r="H13" s="174" t="s">
        <v>4</v>
      </c>
      <c r="I13" s="175">
        <v>24.700694444444402</v>
      </c>
      <c r="J13" s="175">
        <v>72.039370078740561</v>
      </c>
      <c r="K13" s="175">
        <v>13.011811023622046</v>
      </c>
      <c r="L13" s="175">
        <v>13.421259842519685</v>
      </c>
      <c r="M13" s="175">
        <v>37.669291338582752</v>
      </c>
      <c r="N13" s="175">
        <v>58.259842519685115</v>
      </c>
      <c r="O13" s="175">
        <v>77.881889763779611</v>
      </c>
      <c r="P13" s="175">
        <v>0</v>
      </c>
      <c r="Q13" s="175">
        <v>0</v>
      </c>
      <c r="R13" s="175">
        <v>14.551181102362204</v>
      </c>
      <c r="S13" s="175">
        <v>5.0393700787401574</v>
      </c>
      <c r="T13" s="175">
        <v>0.9448818897637794</v>
      </c>
      <c r="U13" s="176">
        <v>115.60629921259704</v>
      </c>
      <c r="V13" s="176">
        <v>84.070866141732424</v>
      </c>
      <c r="W13" s="174">
        <v>338</v>
      </c>
      <c r="X13" s="174" t="s">
        <v>795</v>
      </c>
      <c r="Y13" s="177" t="s">
        <v>560</v>
      </c>
      <c r="Z13" s="177" t="s">
        <v>560</v>
      </c>
      <c r="AA13" s="177" t="s">
        <v>560</v>
      </c>
      <c r="AB13" s="178" t="s">
        <v>561</v>
      </c>
      <c r="AC13" s="178" t="s">
        <v>144</v>
      </c>
      <c r="AD13" s="179" t="s">
        <v>635</v>
      </c>
      <c r="AE13" s="180" t="s">
        <v>561</v>
      </c>
      <c r="AF13" s="180" t="s">
        <v>144</v>
      </c>
      <c r="AG13" s="179">
        <v>44407</v>
      </c>
    </row>
    <row r="14" spans="1:33" ht="15.5" x14ac:dyDescent="0.35">
      <c r="A14" s="174" t="s">
        <v>284</v>
      </c>
      <c r="B14" s="174" t="s">
        <v>285</v>
      </c>
      <c r="C14" s="174" t="s">
        <v>286</v>
      </c>
      <c r="D14" s="174" t="s">
        <v>231</v>
      </c>
      <c r="E14" s="174">
        <v>32063</v>
      </c>
      <c r="F14" s="174" t="s">
        <v>25</v>
      </c>
      <c r="G14" s="174" t="s">
        <v>161</v>
      </c>
      <c r="H14" s="174" t="s">
        <v>142</v>
      </c>
      <c r="I14" s="175">
        <v>49.636160714285701</v>
      </c>
      <c r="J14" s="175">
        <v>15.598425196850426</v>
      </c>
      <c r="K14" s="175">
        <v>31.007874015748055</v>
      </c>
      <c r="L14" s="175">
        <v>70.791338582677227</v>
      </c>
      <c r="M14" s="175">
        <v>58.173228346456774</v>
      </c>
      <c r="N14" s="175">
        <v>126.84251968503945</v>
      </c>
      <c r="O14" s="175">
        <v>32.248031496063</v>
      </c>
      <c r="P14" s="175">
        <v>10.488188976377955</v>
      </c>
      <c r="Q14" s="175">
        <v>5.9921259842519667</v>
      </c>
      <c r="R14" s="175">
        <v>36.677165354330718</v>
      </c>
      <c r="S14" s="175">
        <v>13.614173228346459</v>
      </c>
      <c r="T14" s="175">
        <v>9.5905511811023647</v>
      </c>
      <c r="U14" s="176">
        <v>115.68897637795297</v>
      </c>
      <c r="V14" s="176">
        <v>146.4370078740159</v>
      </c>
      <c r="W14" s="174">
        <v>192</v>
      </c>
      <c r="X14" s="174" t="s">
        <v>702</v>
      </c>
      <c r="Y14" s="177">
        <v>44900</v>
      </c>
      <c r="Z14" s="177" t="s">
        <v>558</v>
      </c>
      <c r="AA14" s="177" t="s">
        <v>240</v>
      </c>
      <c r="AB14" s="178" t="s">
        <v>558</v>
      </c>
      <c r="AC14" s="178" t="s">
        <v>249</v>
      </c>
      <c r="AD14" s="179" t="s">
        <v>574</v>
      </c>
      <c r="AE14" s="180" t="s">
        <v>558</v>
      </c>
      <c r="AF14" s="180" t="s">
        <v>249</v>
      </c>
      <c r="AG14" s="179">
        <v>44336</v>
      </c>
    </row>
    <row r="15" spans="1:33" ht="15.5" x14ac:dyDescent="0.35">
      <c r="A15" s="174" t="s">
        <v>790</v>
      </c>
      <c r="B15" s="174" t="s">
        <v>789</v>
      </c>
      <c r="C15" s="174" t="s">
        <v>788</v>
      </c>
      <c r="D15" s="174" t="s">
        <v>39</v>
      </c>
      <c r="E15" s="174">
        <v>36507</v>
      </c>
      <c r="F15" s="174" t="s">
        <v>160</v>
      </c>
      <c r="G15" s="174" t="s">
        <v>202</v>
      </c>
      <c r="H15" s="174" t="s">
        <v>142</v>
      </c>
      <c r="I15" s="175">
        <v>2.0454545454545499</v>
      </c>
      <c r="J15" s="175">
        <v>9.4488188976377924E-2</v>
      </c>
      <c r="K15" s="175">
        <v>0.82283464566929032</v>
      </c>
      <c r="L15" s="175">
        <v>0.54330708661417271</v>
      </c>
      <c r="M15" s="175">
        <v>0.12598425196850391</v>
      </c>
      <c r="N15" s="175">
        <v>0.66141732283464494</v>
      </c>
      <c r="O15" s="175">
        <v>0.88582677165354218</v>
      </c>
      <c r="P15" s="175">
        <v>7.874015748031496E-3</v>
      </c>
      <c r="Q15" s="175">
        <v>3.1496062992125984E-2</v>
      </c>
      <c r="R15" s="175">
        <v>3.1496062992125984E-2</v>
      </c>
      <c r="S15" s="175">
        <v>0</v>
      </c>
      <c r="T15" s="175">
        <v>0</v>
      </c>
      <c r="U15" s="176">
        <v>1.5551181102362182</v>
      </c>
      <c r="V15" s="176">
        <v>1.2362204724409431</v>
      </c>
      <c r="W15" s="174"/>
      <c r="X15" s="174" t="s">
        <v>388</v>
      </c>
      <c r="Y15" s="177" t="s">
        <v>560</v>
      </c>
      <c r="Z15" s="177" t="s">
        <v>560</v>
      </c>
      <c r="AA15" s="177" t="s">
        <v>560</v>
      </c>
      <c r="AB15" s="178" t="s">
        <v>558</v>
      </c>
      <c r="AC15" s="180" t="s">
        <v>566</v>
      </c>
      <c r="AD15" s="179" t="s">
        <v>787</v>
      </c>
      <c r="AE15" s="180" t="s">
        <v>558</v>
      </c>
      <c r="AF15" s="180" t="s">
        <v>566</v>
      </c>
      <c r="AG15" s="179">
        <v>44532</v>
      </c>
    </row>
    <row r="16" spans="1:33" ht="15.5" x14ac:dyDescent="0.35">
      <c r="A16" s="174" t="s">
        <v>786</v>
      </c>
      <c r="B16" s="174" t="s">
        <v>785</v>
      </c>
      <c r="C16" s="174" t="s">
        <v>784</v>
      </c>
      <c r="D16" s="174" t="s">
        <v>189</v>
      </c>
      <c r="E16" s="174">
        <v>87102</v>
      </c>
      <c r="F16" s="174" t="s">
        <v>190</v>
      </c>
      <c r="G16" s="174" t="s">
        <v>141</v>
      </c>
      <c r="H16" s="174" t="s">
        <v>142</v>
      </c>
      <c r="I16" s="175"/>
      <c r="J16" s="175">
        <v>7.874015748031496E-3</v>
      </c>
      <c r="K16" s="175">
        <v>0</v>
      </c>
      <c r="L16" s="175">
        <v>0</v>
      </c>
      <c r="M16" s="175">
        <v>0</v>
      </c>
      <c r="N16" s="175">
        <v>0</v>
      </c>
      <c r="O16" s="175">
        <v>7.874015748031496E-3</v>
      </c>
      <c r="P16" s="175">
        <v>0</v>
      </c>
      <c r="Q16" s="175">
        <v>0</v>
      </c>
      <c r="R16" s="175">
        <v>0</v>
      </c>
      <c r="S16" s="175">
        <v>0</v>
      </c>
      <c r="T16" s="175">
        <v>0</v>
      </c>
      <c r="U16" s="176">
        <v>7.874015748031496E-3</v>
      </c>
      <c r="V16" s="176">
        <v>7.874015748031496E-3</v>
      </c>
      <c r="W16" s="174"/>
      <c r="X16" s="174" t="s">
        <v>795</v>
      </c>
      <c r="Y16" s="177" t="s">
        <v>560</v>
      </c>
      <c r="Z16" s="177" t="s">
        <v>560</v>
      </c>
      <c r="AA16" s="177" t="s">
        <v>560</v>
      </c>
      <c r="AB16" s="178" t="s">
        <v>239</v>
      </c>
      <c r="AC16" s="178" t="s">
        <v>423</v>
      </c>
      <c r="AD16" s="179" t="s">
        <v>783</v>
      </c>
      <c r="AE16" s="180" t="s">
        <v>239</v>
      </c>
      <c r="AF16" s="180" t="s">
        <v>240</v>
      </c>
      <c r="AG16" s="179">
        <v>38658</v>
      </c>
    </row>
    <row r="17" spans="1:33" ht="15.5" x14ac:dyDescent="0.35">
      <c r="A17" s="174" t="s">
        <v>310</v>
      </c>
      <c r="B17" s="174" t="s">
        <v>311</v>
      </c>
      <c r="C17" s="174" t="s">
        <v>312</v>
      </c>
      <c r="D17" s="174" t="s">
        <v>152</v>
      </c>
      <c r="E17" s="174">
        <v>79501</v>
      </c>
      <c r="F17" s="174" t="s">
        <v>220</v>
      </c>
      <c r="G17" s="174" t="s">
        <v>141</v>
      </c>
      <c r="H17" s="174" t="s">
        <v>4</v>
      </c>
      <c r="I17" s="175">
        <v>40.168176670441703</v>
      </c>
      <c r="J17" s="175">
        <v>382.12992125982885</v>
      </c>
      <c r="K17" s="175">
        <v>55.673228346456682</v>
      </c>
      <c r="L17" s="175">
        <v>59.783464566929233</v>
      </c>
      <c r="M17" s="175">
        <v>31.834645669291355</v>
      </c>
      <c r="N17" s="175">
        <v>144.83858267716539</v>
      </c>
      <c r="O17" s="175">
        <v>301.94094488188352</v>
      </c>
      <c r="P17" s="175">
        <v>3.1417322834645667</v>
      </c>
      <c r="Q17" s="175">
        <v>79.500000000000085</v>
      </c>
      <c r="R17" s="175">
        <v>30.165354330708691</v>
      </c>
      <c r="S17" s="175">
        <v>21.956692913385837</v>
      </c>
      <c r="T17" s="175">
        <v>29.771653543307107</v>
      </c>
      <c r="U17" s="176">
        <v>447.52755905510566</v>
      </c>
      <c r="V17" s="176">
        <v>371.71259842518668</v>
      </c>
      <c r="W17" s="174">
        <v>750</v>
      </c>
      <c r="X17" s="174" t="s">
        <v>702</v>
      </c>
      <c r="Y17" s="177">
        <v>44967</v>
      </c>
      <c r="Z17" s="177" t="s">
        <v>561</v>
      </c>
      <c r="AA17" s="177" t="s">
        <v>240</v>
      </c>
      <c r="AB17" s="178" t="s">
        <v>561</v>
      </c>
      <c r="AC17" s="178" t="s">
        <v>144</v>
      </c>
      <c r="AD17" s="179" t="s">
        <v>664</v>
      </c>
      <c r="AE17" s="180" t="s">
        <v>561</v>
      </c>
      <c r="AF17" s="180" t="s">
        <v>144</v>
      </c>
      <c r="AG17" s="179">
        <v>44378</v>
      </c>
    </row>
    <row r="18" spans="1:33" ht="15.5" x14ac:dyDescent="0.35">
      <c r="A18" s="174" t="s">
        <v>313</v>
      </c>
      <c r="B18" s="174" t="s">
        <v>314</v>
      </c>
      <c r="C18" s="174" t="s">
        <v>315</v>
      </c>
      <c r="D18" s="174" t="s">
        <v>316</v>
      </c>
      <c r="E18" s="174">
        <v>41005</v>
      </c>
      <c r="F18" s="174" t="s">
        <v>30</v>
      </c>
      <c r="G18" s="174" t="s">
        <v>202</v>
      </c>
      <c r="H18" s="174" t="s">
        <v>142</v>
      </c>
      <c r="I18" s="175">
        <v>30.4729064039409</v>
      </c>
      <c r="J18" s="175">
        <v>18.771653543307149</v>
      </c>
      <c r="K18" s="175">
        <v>20.6220472440945</v>
      </c>
      <c r="L18" s="175">
        <v>48.370078740157538</v>
      </c>
      <c r="M18" s="175">
        <v>42.039370078740205</v>
      </c>
      <c r="N18" s="175">
        <v>99.212598425196887</v>
      </c>
      <c r="O18" s="175">
        <v>26.763779527559123</v>
      </c>
      <c r="P18" s="175">
        <v>3.2519685039370079</v>
      </c>
      <c r="Q18" s="175">
        <v>0.57480314960629908</v>
      </c>
      <c r="R18" s="175">
        <v>31.507874015748047</v>
      </c>
      <c r="S18" s="175">
        <v>11.437007874015753</v>
      </c>
      <c r="T18" s="175">
        <v>8.1062992125984241</v>
      </c>
      <c r="U18" s="176">
        <v>78.751968503936965</v>
      </c>
      <c r="V18" s="176">
        <v>97.877952755905525</v>
      </c>
      <c r="W18" s="174"/>
      <c r="X18" s="174" t="s">
        <v>702</v>
      </c>
      <c r="Y18" s="177">
        <v>44951</v>
      </c>
      <c r="Z18" s="177" t="s">
        <v>589</v>
      </c>
      <c r="AA18" s="177" t="s">
        <v>240</v>
      </c>
      <c r="AB18" s="178" t="s">
        <v>239</v>
      </c>
      <c r="AC18" s="178" t="s">
        <v>249</v>
      </c>
      <c r="AD18" s="179" t="s">
        <v>608</v>
      </c>
      <c r="AE18" s="180" t="s">
        <v>239</v>
      </c>
      <c r="AF18" s="180" t="s">
        <v>249</v>
      </c>
      <c r="AG18" s="179">
        <v>44258</v>
      </c>
    </row>
    <row r="19" spans="1:33" ht="15.5" x14ac:dyDescent="0.35">
      <c r="A19" s="174" t="s">
        <v>7</v>
      </c>
      <c r="B19" s="174" t="s">
        <v>237</v>
      </c>
      <c r="C19" s="174" t="s">
        <v>238</v>
      </c>
      <c r="D19" s="174" t="s">
        <v>231</v>
      </c>
      <c r="E19" s="174">
        <v>33073</v>
      </c>
      <c r="F19" s="174" t="s">
        <v>25</v>
      </c>
      <c r="G19" s="174" t="s">
        <v>154</v>
      </c>
      <c r="H19" s="174" t="s">
        <v>142</v>
      </c>
      <c r="I19" s="175">
        <v>44.285370879120897</v>
      </c>
      <c r="J19" s="175">
        <v>384.29527559054515</v>
      </c>
      <c r="K19" s="175">
        <v>112.44488188976389</v>
      </c>
      <c r="L19" s="175">
        <v>0.11417322834645668</v>
      </c>
      <c r="M19" s="175">
        <v>0.29527559055118113</v>
      </c>
      <c r="N19" s="175">
        <v>124.11023622047261</v>
      </c>
      <c r="O19" s="175">
        <v>296.27165354330509</v>
      </c>
      <c r="P19" s="175">
        <v>7.8031496062992129</v>
      </c>
      <c r="Q19" s="175">
        <v>68.964566929133866</v>
      </c>
      <c r="R19" s="175">
        <v>10.858267716535432</v>
      </c>
      <c r="S19" s="175">
        <v>26.984251968503941</v>
      </c>
      <c r="T19" s="175">
        <v>31.492125984251999</v>
      </c>
      <c r="U19" s="176">
        <v>427.81496062991164</v>
      </c>
      <c r="V19" s="176">
        <v>328.01968503936791</v>
      </c>
      <c r="W19" s="174">
        <v>700</v>
      </c>
      <c r="X19" s="174" t="s">
        <v>702</v>
      </c>
      <c r="Y19" s="177">
        <v>44960</v>
      </c>
      <c r="Z19" s="177" t="s">
        <v>561</v>
      </c>
      <c r="AA19" s="177" t="s">
        <v>240</v>
      </c>
      <c r="AB19" s="178" t="s">
        <v>561</v>
      </c>
      <c r="AC19" s="178" t="s">
        <v>144</v>
      </c>
      <c r="AD19" s="179" t="s">
        <v>629</v>
      </c>
      <c r="AE19" s="180" t="s">
        <v>143</v>
      </c>
      <c r="AF19" s="180" t="s">
        <v>144</v>
      </c>
      <c r="AG19" s="179">
        <v>44098</v>
      </c>
    </row>
    <row r="20" spans="1:33" ht="15.5" x14ac:dyDescent="0.35">
      <c r="A20" s="174" t="s">
        <v>244</v>
      </c>
      <c r="B20" s="174" t="s">
        <v>245</v>
      </c>
      <c r="C20" s="174" t="s">
        <v>246</v>
      </c>
      <c r="D20" s="174" t="s">
        <v>247</v>
      </c>
      <c r="E20" s="174">
        <v>14020</v>
      </c>
      <c r="F20" s="174" t="s">
        <v>248</v>
      </c>
      <c r="G20" s="174" t="s">
        <v>185</v>
      </c>
      <c r="H20" s="174" t="s">
        <v>142</v>
      </c>
      <c r="I20" s="175">
        <v>75.231327800829902</v>
      </c>
      <c r="J20" s="175">
        <v>59.311023622047358</v>
      </c>
      <c r="K20" s="175">
        <v>21.456692913385837</v>
      </c>
      <c r="L20" s="175">
        <v>88.433070866141733</v>
      </c>
      <c r="M20" s="175">
        <v>139.09055118110234</v>
      </c>
      <c r="N20" s="175">
        <v>215.0236220472442</v>
      </c>
      <c r="O20" s="175">
        <v>93.263779527558938</v>
      </c>
      <c r="P20" s="175">
        <v>3.937007874015748E-3</v>
      </c>
      <c r="Q20" s="175">
        <v>0</v>
      </c>
      <c r="R20" s="175">
        <v>117.67322834645664</v>
      </c>
      <c r="S20" s="175">
        <v>12.775590551181102</v>
      </c>
      <c r="T20" s="175">
        <v>11.700787401574809</v>
      </c>
      <c r="U20" s="176">
        <v>166.14173228346453</v>
      </c>
      <c r="V20" s="176">
        <v>252.29527559055111</v>
      </c>
      <c r="W20" s="174">
        <v>400</v>
      </c>
      <c r="X20" s="174" t="s">
        <v>702</v>
      </c>
      <c r="Y20" s="177">
        <v>44967</v>
      </c>
      <c r="Z20" s="177" t="s">
        <v>561</v>
      </c>
      <c r="AA20" s="177" t="s">
        <v>423</v>
      </c>
      <c r="AB20" s="178" t="s">
        <v>561</v>
      </c>
      <c r="AC20" s="178" t="s">
        <v>144</v>
      </c>
      <c r="AD20" s="179" t="s">
        <v>618</v>
      </c>
      <c r="AE20" s="180" t="s">
        <v>561</v>
      </c>
      <c r="AF20" s="180" t="s">
        <v>144</v>
      </c>
      <c r="AG20" s="179">
        <v>44434</v>
      </c>
    </row>
    <row r="21" spans="1:33" ht="15.5" x14ac:dyDescent="0.35">
      <c r="A21" s="174" t="s">
        <v>663</v>
      </c>
      <c r="B21" s="174" t="s">
        <v>662</v>
      </c>
      <c r="C21" s="174" t="s">
        <v>661</v>
      </c>
      <c r="D21" s="174" t="s">
        <v>152</v>
      </c>
      <c r="E21" s="174">
        <v>78611</v>
      </c>
      <c r="F21" s="174" t="s">
        <v>153</v>
      </c>
      <c r="G21" s="174" t="s">
        <v>202</v>
      </c>
      <c r="H21" s="174" t="s">
        <v>4</v>
      </c>
      <c r="I21" s="175">
        <v>1.23529411764706</v>
      </c>
      <c r="J21" s="175">
        <v>0.24015748031496054</v>
      </c>
      <c r="K21" s="175">
        <v>0.51574803149606274</v>
      </c>
      <c r="L21" s="175">
        <v>0.20866141732283439</v>
      </c>
      <c r="M21" s="175">
        <v>0.13779527559055113</v>
      </c>
      <c r="N21" s="175">
        <v>0.79527559055118047</v>
      </c>
      <c r="O21" s="175">
        <v>0.2952755905511808</v>
      </c>
      <c r="P21" s="175">
        <v>0</v>
      </c>
      <c r="Q21" s="175">
        <v>1.1811023622047244E-2</v>
      </c>
      <c r="R21" s="175">
        <v>0.11023622047244094</v>
      </c>
      <c r="S21" s="175">
        <v>7.874015748031496E-3</v>
      </c>
      <c r="T21" s="175">
        <v>0</v>
      </c>
      <c r="U21" s="176">
        <v>0.98425196850393604</v>
      </c>
      <c r="V21" s="176">
        <v>0.51181102362204667</v>
      </c>
      <c r="W21" s="174"/>
      <c r="X21" s="174" t="s">
        <v>388</v>
      </c>
      <c r="Y21" s="177" t="s">
        <v>560</v>
      </c>
      <c r="Z21" s="177" t="s">
        <v>560</v>
      </c>
      <c r="AA21" s="177" t="s">
        <v>560</v>
      </c>
      <c r="AB21" s="178" t="s">
        <v>558</v>
      </c>
      <c r="AC21" s="180" t="s">
        <v>566</v>
      </c>
      <c r="AD21" s="179" t="s">
        <v>660</v>
      </c>
      <c r="AE21" s="180" t="s">
        <v>558</v>
      </c>
      <c r="AF21" s="180" t="s">
        <v>566</v>
      </c>
      <c r="AG21" s="179">
        <v>44522</v>
      </c>
    </row>
    <row r="22" spans="1:33" ht="15.5" x14ac:dyDescent="0.35">
      <c r="A22" s="174" t="s">
        <v>306</v>
      </c>
      <c r="B22" s="174" t="s">
        <v>307</v>
      </c>
      <c r="C22" s="174" t="s">
        <v>308</v>
      </c>
      <c r="D22" s="174" t="s">
        <v>309</v>
      </c>
      <c r="E22" s="174">
        <v>49014</v>
      </c>
      <c r="F22" s="174" t="s">
        <v>304</v>
      </c>
      <c r="G22" s="174" t="s">
        <v>161</v>
      </c>
      <c r="H22" s="174" t="s">
        <v>142</v>
      </c>
      <c r="I22" s="175">
        <v>52.163323782234997</v>
      </c>
      <c r="J22" s="175">
        <v>22.822834645669314</v>
      </c>
      <c r="K22" s="175">
        <v>15.228346456692917</v>
      </c>
      <c r="L22" s="175">
        <v>18.811023622047244</v>
      </c>
      <c r="M22" s="175">
        <v>18.33858267716537</v>
      </c>
      <c r="N22" s="175">
        <v>47.078740157480333</v>
      </c>
      <c r="O22" s="175">
        <v>22.905511811023633</v>
      </c>
      <c r="P22" s="175">
        <v>3.5905511811023625</v>
      </c>
      <c r="Q22" s="175">
        <v>1.6259842519685037</v>
      </c>
      <c r="R22" s="175">
        <v>20.346456692913407</v>
      </c>
      <c r="S22" s="175">
        <v>6.3897637795275575</v>
      </c>
      <c r="T22" s="175">
        <v>9.8543307086614167</v>
      </c>
      <c r="U22" s="176">
        <v>38.610236220472473</v>
      </c>
      <c r="V22" s="176">
        <v>64.381889763779583</v>
      </c>
      <c r="W22" s="174">
        <v>75</v>
      </c>
      <c r="X22" s="174" t="s">
        <v>702</v>
      </c>
      <c r="Y22" s="177">
        <v>45085</v>
      </c>
      <c r="Z22" s="177" t="s">
        <v>558</v>
      </c>
      <c r="AA22" s="177" t="s">
        <v>240</v>
      </c>
      <c r="AB22" s="178" t="s">
        <v>558</v>
      </c>
      <c r="AC22" s="178" t="s">
        <v>249</v>
      </c>
      <c r="AD22" s="179" t="s">
        <v>608</v>
      </c>
      <c r="AE22" s="180" t="s">
        <v>558</v>
      </c>
      <c r="AF22" s="180" t="s">
        <v>249</v>
      </c>
      <c r="AG22" s="179">
        <v>44258</v>
      </c>
    </row>
    <row r="23" spans="1:33" ht="15.5" x14ac:dyDescent="0.35">
      <c r="A23" s="174" t="s">
        <v>281</v>
      </c>
      <c r="B23" s="174" t="s">
        <v>282</v>
      </c>
      <c r="C23" s="174" t="s">
        <v>283</v>
      </c>
      <c r="D23" s="174" t="s">
        <v>226</v>
      </c>
      <c r="E23" s="174">
        <v>22427</v>
      </c>
      <c r="F23" s="174" t="s">
        <v>227</v>
      </c>
      <c r="G23" s="174" t="s">
        <v>141</v>
      </c>
      <c r="H23" s="174" t="s">
        <v>142</v>
      </c>
      <c r="I23" s="175">
        <v>46.536940686784597</v>
      </c>
      <c r="J23" s="175">
        <v>33.700787401574836</v>
      </c>
      <c r="K23" s="175">
        <v>32.700787401574843</v>
      </c>
      <c r="L23" s="175">
        <v>52.236220472440962</v>
      </c>
      <c r="M23" s="175">
        <v>64.842519685039434</v>
      </c>
      <c r="N23" s="175">
        <v>135.87007874015757</v>
      </c>
      <c r="O23" s="175">
        <v>47.598425196850449</v>
      </c>
      <c r="P23" s="175">
        <v>0</v>
      </c>
      <c r="Q23" s="175">
        <v>1.1811023622047244E-2</v>
      </c>
      <c r="R23" s="175">
        <v>34.870078740157489</v>
      </c>
      <c r="S23" s="175">
        <v>15.523622047244103</v>
      </c>
      <c r="T23" s="175">
        <v>11.724409448818898</v>
      </c>
      <c r="U23" s="176">
        <v>121.36220472440955</v>
      </c>
      <c r="V23" s="176">
        <v>122.74015748031501</v>
      </c>
      <c r="W23" s="174">
        <v>224</v>
      </c>
      <c r="X23" s="174" t="s">
        <v>702</v>
      </c>
      <c r="Y23" s="177">
        <v>44967</v>
      </c>
      <c r="Z23" s="177" t="s">
        <v>561</v>
      </c>
      <c r="AA23" s="177" t="s">
        <v>240</v>
      </c>
      <c r="AB23" s="178" t="s">
        <v>561</v>
      </c>
      <c r="AC23" s="181" t="s">
        <v>144</v>
      </c>
      <c r="AD23" s="179" t="s">
        <v>659</v>
      </c>
      <c r="AE23" s="180" t="s">
        <v>561</v>
      </c>
      <c r="AF23" s="180" t="s">
        <v>144</v>
      </c>
      <c r="AG23" s="179">
        <v>44314</v>
      </c>
    </row>
    <row r="24" spans="1:33" ht="15.5" x14ac:dyDescent="0.35">
      <c r="A24" s="174" t="s">
        <v>703</v>
      </c>
      <c r="B24" s="174" t="s">
        <v>704</v>
      </c>
      <c r="C24" s="174" t="s">
        <v>705</v>
      </c>
      <c r="D24" s="174" t="s">
        <v>706</v>
      </c>
      <c r="E24" s="174">
        <v>59404</v>
      </c>
      <c r="F24" s="174" t="s">
        <v>296</v>
      </c>
      <c r="G24" s="174" t="s">
        <v>202</v>
      </c>
      <c r="H24" s="174" t="s">
        <v>142</v>
      </c>
      <c r="I24" s="175">
        <v>6.0638297872340399</v>
      </c>
      <c r="J24" s="175">
        <v>0.30314960629921262</v>
      </c>
      <c r="K24" s="175">
        <v>0.42125984251968512</v>
      </c>
      <c r="L24" s="175">
        <v>0.26377952755905509</v>
      </c>
      <c r="M24" s="175">
        <v>0.1653543307086614</v>
      </c>
      <c r="N24" s="175">
        <v>0.63779527559055094</v>
      </c>
      <c r="O24" s="175">
        <v>0.48818897637795278</v>
      </c>
      <c r="P24" s="175">
        <v>0</v>
      </c>
      <c r="Q24" s="175">
        <v>2.7559055118110236E-2</v>
      </c>
      <c r="R24" s="175">
        <v>3.937007874015748E-2</v>
      </c>
      <c r="S24" s="175">
        <v>3.937007874015748E-3</v>
      </c>
      <c r="T24" s="175">
        <v>1.5748031496062992E-2</v>
      </c>
      <c r="U24" s="176">
        <v>1.0944881889763771</v>
      </c>
      <c r="V24" s="176">
        <v>0.98425196850393637</v>
      </c>
      <c r="W24" s="174"/>
      <c r="X24" s="174" t="s">
        <v>795</v>
      </c>
      <c r="Y24" s="177" t="s">
        <v>560</v>
      </c>
      <c r="Z24" s="177" t="s">
        <v>560</v>
      </c>
      <c r="AA24" s="177" t="s">
        <v>560</v>
      </c>
      <c r="AB24" s="178" t="s">
        <v>558</v>
      </c>
      <c r="AC24" s="180" t="s">
        <v>566</v>
      </c>
      <c r="AD24" s="179" t="s">
        <v>707</v>
      </c>
      <c r="AE24" s="180" t="s">
        <v>239</v>
      </c>
      <c r="AF24" s="180" t="s">
        <v>249</v>
      </c>
      <c r="AG24" s="179">
        <v>43360</v>
      </c>
    </row>
    <row r="25" spans="1:33" ht="15.5" x14ac:dyDescent="0.35">
      <c r="A25" s="174" t="s">
        <v>782</v>
      </c>
      <c r="B25" s="174" t="s">
        <v>781</v>
      </c>
      <c r="C25" s="174" t="s">
        <v>780</v>
      </c>
      <c r="D25" s="174" t="s">
        <v>159</v>
      </c>
      <c r="E25" s="174">
        <v>71430</v>
      </c>
      <c r="F25" s="174" t="s">
        <v>160</v>
      </c>
      <c r="G25" s="174" t="s">
        <v>161</v>
      </c>
      <c r="H25" s="174" t="s">
        <v>4</v>
      </c>
      <c r="I25" s="175"/>
      <c r="J25" s="175">
        <v>0</v>
      </c>
      <c r="K25" s="175">
        <v>0</v>
      </c>
      <c r="L25" s="175">
        <v>7.874015748031496E-3</v>
      </c>
      <c r="M25" s="175">
        <v>0</v>
      </c>
      <c r="N25" s="175">
        <v>7.874015748031496E-3</v>
      </c>
      <c r="O25" s="175">
        <v>0</v>
      </c>
      <c r="P25" s="175">
        <v>0</v>
      </c>
      <c r="Q25" s="175">
        <v>0</v>
      </c>
      <c r="R25" s="175">
        <v>7.874015748031496E-3</v>
      </c>
      <c r="S25" s="175">
        <v>0</v>
      </c>
      <c r="T25" s="175">
        <v>0</v>
      </c>
      <c r="U25" s="176">
        <v>0</v>
      </c>
      <c r="V25" s="176">
        <v>0</v>
      </c>
      <c r="W25" s="174"/>
      <c r="X25" s="174" t="s">
        <v>795</v>
      </c>
      <c r="Y25" s="177" t="s">
        <v>560</v>
      </c>
      <c r="Z25" s="177" t="s">
        <v>560</v>
      </c>
      <c r="AA25" s="177" t="s">
        <v>560</v>
      </c>
      <c r="AB25" s="178" t="s">
        <v>143</v>
      </c>
      <c r="AC25" s="178" t="s">
        <v>779</v>
      </c>
      <c r="AD25" s="179" t="s">
        <v>778</v>
      </c>
      <c r="AE25" s="180" t="s">
        <v>143</v>
      </c>
      <c r="AF25" s="180" t="s">
        <v>144</v>
      </c>
      <c r="AG25" s="179">
        <v>43699</v>
      </c>
    </row>
    <row r="26" spans="1:33" ht="15.5" x14ac:dyDescent="0.35">
      <c r="A26" s="174" t="s">
        <v>658</v>
      </c>
      <c r="B26" s="174" t="s">
        <v>657</v>
      </c>
      <c r="C26" s="174" t="s">
        <v>262</v>
      </c>
      <c r="D26" s="174" t="s">
        <v>163</v>
      </c>
      <c r="E26" s="174">
        <v>85132</v>
      </c>
      <c r="F26" s="174" t="s">
        <v>164</v>
      </c>
      <c r="G26" s="174" t="s">
        <v>202</v>
      </c>
      <c r="H26" s="174" t="s">
        <v>4</v>
      </c>
      <c r="I26" s="175">
        <v>17.0419512195122</v>
      </c>
      <c r="J26" s="175">
        <v>78.27952755905352</v>
      </c>
      <c r="K26" s="175">
        <v>46.480314960629997</v>
      </c>
      <c r="L26" s="175">
        <v>123.38976377952744</v>
      </c>
      <c r="M26" s="175">
        <v>125.45669291338579</v>
      </c>
      <c r="N26" s="175">
        <v>252.31889763779498</v>
      </c>
      <c r="O26" s="175">
        <v>120.53543307086423</v>
      </c>
      <c r="P26" s="175">
        <v>9.0551181102362155E-2</v>
      </c>
      <c r="Q26" s="175">
        <v>0.66141732283464483</v>
      </c>
      <c r="R26" s="175">
        <v>46.610236220472359</v>
      </c>
      <c r="S26" s="175">
        <v>9.9921259842519632</v>
      </c>
      <c r="T26" s="175">
        <v>16.842519685039409</v>
      </c>
      <c r="U26" s="176">
        <v>300.1614173228287</v>
      </c>
      <c r="V26" s="176">
        <v>273.43307086613891</v>
      </c>
      <c r="W26" s="174"/>
      <c r="X26" s="174" t="s">
        <v>702</v>
      </c>
      <c r="Y26" s="177">
        <v>44951</v>
      </c>
      <c r="Z26" s="177" t="s">
        <v>203</v>
      </c>
      <c r="AA26" s="177" t="s">
        <v>423</v>
      </c>
      <c r="AB26" s="178" t="s">
        <v>203</v>
      </c>
      <c r="AC26" s="180" t="s">
        <v>566</v>
      </c>
      <c r="AD26" s="179" t="s">
        <v>618</v>
      </c>
      <c r="AE26" s="180" t="s">
        <v>203</v>
      </c>
      <c r="AF26" s="180" t="s">
        <v>144</v>
      </c>
      <c r="AG26" s="179">
        <v>44434</v>
      </c>
    </row>
    <row r="27" spans="1:33" ht="15.5" x14ac:dyDescent="0.35">
      <c r="A27" s="174" t="s">
        <v>656</v>
      </c>
      <c r="B27" s="174" t="s">
        <v>165</v>
      </c>
      <c r="C27" s="174" t="s">
        <v>166</v>
      </c>
      <c r="D27" s="174" t="s">
        <v>159</v>
      </c>
      <c r="E27" s="174">
        <v>71342</v>
      </c>
      <c r="F27" s="174" t="s">
        <v>160</v>
      </c>
      <c r="G27" s="174" t="s">
        <v>141</v>
      </c>
      <c r="H27" s="174" t="s">
        <v>142</v>
      </c>
      <c r="I27" s="175">
        <v>44.720008756567402</v>
      </c>
      <c r="J27" s="175">
        <v>356.20866141731636</v>
      </c>
      <c r="K27" s="175">
        <v>139.01181102362227</v>
      </c>
      <c r="L27" s="175">
        <v>180.2913385826773</v>
      </c>
      <c r="M27" s="175">
        <v>96.066929133858338</v>
      </c>
      <c r="N27" s="175">
        <v>326.09448818897533</v>
      </c>
      <c r="O27" s="175">
        <v>433.96062992125394</v>
      </c>
      <c r="P27" s="175">
        <v>5.9606299212598364</v>
      </c>
      <c r="Q27" s="175">
        <v>5.5629921259842456</v>
      </c>
      <c r="R27" s="175">
        <v>153.65748031496042</v>
      </c>
      <c r="S27" s="175">
        <v>64.082677165354411</v>
      </c>
      <c r="T27" s="175">
        <v>76.322834645669431</v>
      </c>
      <c r="U27" s="176">
        <v>477.51574803149015</v>
      </c>
      <c r="V27" s="176">
        <v>622.29527559053679</v>
      </c>
      <c r="W27" s="174">
        <v>1170</v>
      </c>
      <c r="X27" s="174" t="s">
        <v>702</v>
      </c>
      <c r="Y27" s="177">
        <v>44991</v>
      </c>
      <c r="Z27" s="177" t="s">
        <v>561</v>
      </c>
      <c r="AA27" s="177" t="s">
        <v>240</v>
      </c>
      <c r="AB27" s="178" t="s">
        <v>561</v>
      </c>
      <c r="AC27" s="178" t="s">
        <v>144</v>
      </c>
      <c r="AD27" s="179" t="s">
        <v>580</v>
      </c>
      <c r="AE27" s="180" t="s">
        <v>143</v>
      </c>
      <c r="AF27" s="180" t="s">
        <v>144</v>
      </c>
      <c r="AG27" s="179">
        <v>44111</v>
      </c>
    </row>
    <row r="28" spans="1:33" ht="15.5" x14ac:dyDescent="0.35">
      <c r="A28" s="174" t="s">
        <v>343</v>
      </c>
      <c r="B28" s="174" t="s">
        <v>344</v>
      </c>
      <c r="C28" s="174" t="s">
        <v>345</v>
      </c>
      <c r="D28" s="174" t="s">
        <v>346</v>
      </c>
      <c r="E28" s="174">
        <v>66845</v>
      </c>
      <c r="F28" s="174" t="s">
        <v>30</v>
      </c>
      <c r="G28" s="174" t="s">
        <v>161</v>
      </c>
      <c r="H28" s="174" t="s">
        <v>142</v>
      </c>
      <c r="I28" s="175">
        <v>28.5440414507772</v>
      </c>
      <c r="J28" s="175">
        <v>10.933070866141742</v>
      </c>
      <c r="K28" s="175">
        <v>11.409448818897642</v>
      </c>
      <c r="L28" s="175">
        <v>32.488188976377991</v>
      </c>
      <c r="M28" s="175">
        <v>12.905511811023631</v>
      </c>
      <c r="N28" s="175">
        <v>49.665354330708723</v>
      </c>
      <c r="O28" s="175">
        <v>13.933070866141744</v>
      </c>
      <c r="P28" s="175">
        <v>3.0472440944881893</v>
      </c>
      <c r="Q28" s="175">
        <v>1.090551181102362</v>
      </c>
      <c r="R28" s="175">
        <v>20.362204724409441</v>
      </c>
      <c r="S28" s="175">
        <v>8.3031496062992058</v>
      </c>
      <c r="T28" s="175">
        <v>7.7007874015747984</v>
      </c>
      <c r="U28" s="176">
        <v>31.370078740157517</v>
      </c>
      <c r="V28" s="176">
        <v>61.696850393700934</v>
      </c>
      <c r="W28" s="174"/>
      <c r="X28" s="174" t="s">
        <v>702</v>
      </c>
      <c r="Y28" s="177">
        <v>45057</v>
      </c>
      <c r="Z28" s="177" t="s">
        <v>558</v>
      </c>
      <c r="AA28" s="177" t="s">
        <v>249</v>
      </c>
      <c r="AB28" s="178" t="s">
        <v>558</v>
      </c>
      <c r="AC28" s="178" t="s">
        <v>249</v>
      </c>
      <c r="AD28" s="179" t="s">
        <v>655</v>
      </c>
      <c r="AE28" s="180" t="s">
        <v>558</v>
      </c>
      <c r="AF28" s="180" t="s">
        <v>249</v>
      </c>
      <c r="AG28" s="179">
        <v>44413</v>
      </c>
    </row>
    <row r="29" spans="1:33" ht="15.5" x14ac:dyDescent="0.35">
      <c r="A29" s="174" t="s">
        <v>382</v>
      </c>
      <c r="B29" s="174" t="s">
        <v>383</v>
      </c>
      <c r="C29" s="174" t="s">
        <v>384</v>
      </c>
      <c r="D29" s="174" t="s">
        <v>309</v>
      </c>
      <c r="E29" s="174">
        <v>49783</v>
      </c>
      <c r="F29" s="174" t="s">
        <v>304</v>
      </c>
      <c r="G29" s="174" t="s">
        <v>161</v>
      </c>
      <c r="H29" s="174" t="s">
        <v>142</v>
      </c>
      <c r="I29" s="175">
        <v>70.705882352941202</v>
      </c>
      <c r="J29" s="175">
        <v>2.8897637795275584</v>
      </c>
      <c r="K29" s="175">
        <v>1.1968503937007875</v>
      </c>
      <c r="L29" s="175">
        <v>0.90157480314960647</v>
      </c>
      <c r="M29" s="175">
        <v>1.7874015748031498</v>
      </c>
      <c r="N29" s="175">
        <v>3.940944881889763</v>
      </c>
      <c r="O29" s="175">
        <v>2.834645669291338</v>
      </c>
      <c r="P29" s="175">
        <v>0</v>
      </c>
      <c r="Q29" s="175">
        <v>0</v>
      </c>
      <c r="R29" s="175">
        <v>0.1653543307086614</v>
      </c>
      <c r="S29" s="175">
        <v>7.4803149606299218E-2</v>
      </c>
      <c r="T29" s="175">
        <v>0</v>
      </c>
      <c r="U29" s="176">
        <v>6.5354330708661408</v>
      </c>
      <c r="V29" s="176">
        <v>5.9015748031496047</v>
      </c>
      <c r="W29" s="174"/>
      <c r="X29" s="174" t="s">
        <v>795</v>
      </c>
      <c r="Y29" s="177" t="s">
        <v>560</v>
      </c>
      <c r="Z29" s="177" t="s">
        <v>560</v>
      </c>
      <c r="AA29" s="177" t="s">
        <v>560</v>
      </c>
      <c r="AB29" s="178" t="s">
        <v>558</v>
      </c>
      <c r="AC29" s="178" t="s">
        <v>249</v>
      </c>
      <c r="AD29" s="179" t="s">
        <v>654</v>
      </c>
      <c r="AE29" s="180" t="s">
        <v>239</v>
      </c>
      <c r="AF29" s="180" t="s">
        <v>249</v>
      </c>
      <c r="AG29" s="179">
        <v>43552</v>
      </c>
    </row>
    <row r="30" spans="1:33" ht="15.5" x14ac:dyDescent="0.35">
      <c r="A30" s="174" t="s">
        <v>708</v>
      </c>
      <c r="B30" s="174" t="s">
        <v>709</v>
      </c>
      <c r="C30" s="174" t="s">
        <v>710</v>
      </c>
      <c r="D30" s="174" t="s">
        <v>603</v>
      </c>
      <c r="E30" s="174">
        <v>5403</v>
      </c>
      <c r="F30" s="174" t="s">
        <v>270</v>
      </c>
      <c r="G30" s="174" t="s">
        <v>161</v>
      </c>
      <c r="H30" s="174" t="s">
        <v>142</v>
      </c>
      <c r="I30" s="175">
        <v>2.4363636363636401</v>
      </c>
      <c r="J30" s="175">
        <v>0.38582677165354301</v>
      </c>
      <c r="K30" s="175">
        <v>0.1653543307086614</v>
      </c>
      <c r="L30" s="175">
        <v>1.5748031496062992E-2</v>
      </c>
      <c r="M30" s="175">
        <v>0</v>
      </c>
      <c r="N30" s="175">
        <v>0</v>
      </c>
      <c r="O30" s="175">
        <v>2.3622047244094488E-2</v>
      </c>
      <c r="P30" s="175">
        <v>2.3622047244094488E-2</v>
      </c>
      <c r="Q30" s="175">
        <v>0.51968503937007837</v>
      </c>
      <c r="R30" s="175">
        <v>0</v>
      </c>
      <c r="S30" s="175">
        <v>0</v>
      </c>
      <c r="T30" s="175">
        <v>0</v>
      </c>
      <c r="U30" s="176">
        <v>0.56692913385826715</v>
      </c>
      <c r="V30" s="176">
        <v>0.43307086614173201</v>
      </c>
      <c r="W30" s="174"/>
      <c r="X30" s="174" t="s">
        <v>162</v>
      </c>
      <c r="Y30" s="177" t="s">
        <v>560</v>
      </c>
      <c r="Z30" s="177" t="s">
        <v>560</v>
      </c>
      <c r="AA30" s="177" t="s">
        <v>560</v>
      </c>
      <c r="AB30" s="178" t="s">
        <v>162</v>
      </c>
      <c r="AC30" s="178" t="s">
        <v>162</v>
      </c>
      <c r="AD30" s="182" t="s">
        <v>162</v>
      </c>
      <c r="AE30" s="178" t="s">
        <v>162</v>
      </c>
      <c r="AF30" s="178" t="s">
        <v>162</v>
      </c>
      <c r="AG30" s="182" t="s">
        <v>162</v>
      </c>
    </row>
    <row r="31" spans="1:33" ht="15.5" x14ac:dyDescent="0.35">
      <c r="A31" s="174" t="s">
        <v>20</v>
      </c>
      <c r="B31" s="174" t="s">
        <v>324</v>
      </c>
      <c r="C31" s="174" t="s">
        <v>31</v>
      </c>
      <c r="D31" s="174" t="s">
        <v>189</v>
      </c>
      <c r="E31" s="174">
        <v>87021</v>
      </c>
      <c r="F31" s="174" t="s">
        <v>190</v>
      </c>
      <c r="G31" s="174" t="s">
        <v>161</v>
      </c>
      <c r="H31" s="174" t="s">
        <v>4</v>
      </c>
      <c r="I31" s="175">
        <v>31.180180180180201</v>
      </c>
      <c r="J31" s="175">
        <v>78.783464566928814</v>
      </c>
      <c r="K31" s="175">
        <v>0.68503937007874016</v>
      </c>
      <c r="L31" s="175">
        <v>0</v>
      </c>
      <c r="M31" s="175">
        <v>0</v>
      </c>
      <c r="N31" s="175">
        <v>0.79133858267716528</v>
      </c>
      <c r="O31" s="175">
        <v>78.677165354330384</v>
      </c>
      <c r="P31" s="175">
        <v>0</v>
      </c>
      <c r="Q31" s="175">
        <v>0</v>
      </c>
      <c r="R31" s="175">
        <v>0</v>
      </c>
      <c r="S31" s="175">
        <v>0</v>
      </c>
      <c r="T31" s="175">
        <v>0.41338582677165353</v>
      </c>
      <c r="U31" s="176">
        <v>79.055118110235895</v>
      </c>
      <c r="V31" s="176">
        <v>36.641732283464641</v>
      </c>
      <c r="W31" s="174"/>
      <c r="X31" s="174" t="s">
        <v>702</v>
      </c>
      <c r="Y31" s="177">
        <v>45028</v>
      </c>
      <c r="Z31" s="177" t="s">
        <v>561</v>
      </c>
      <c r="AA31" s="177" t="s">
        <v>240</v>
      </c>
      <c r="AB31" s="178" t="s">
        <v>561</v>
      </c>
      <c r="AC31" s="178" t="s">
        <v>144</v>
      </c>
      <c r="AD31" s="179" t="s">
        <v>574</v>
      </c>
      <c r="AE31" s="180" t="s">
        <v>561</v>
      </c>
      <c r="AF31" s="180" t="s">
        <v>144</v>
      </c>
      <c r="AG31" s="179">
        <v>44322</v>
      </c>
    </row>
    <row r="32" spans="1:33" ht="15.5" x14ac:dyDescent="0.35">
      <c r="A32" s="174" t="s">
        <v>365</v>
      </c>
      <c r="B32" s="174" t="s">
        <v>366</v>
      </c>
      <c r="C32" s="174" t="s">
        <v>10</v>
      </c>
      <c r="D32" s="174" t="s">
        <v>367</v>
      </c>
      <c r="E32" s="174">
        <v>47834</v>
      </c>
      <c r="F32" s="174" t="s">
        <v>30</v>
      </c>
      <c r="G32" s="174" t="s">
        <v>202</v>
      </c>
      <c r="H32" s="174" t="s">
        <v>142</v>
      </c>
      <c r="I32" s="175">
        <v>5.87366375121477</v>
      </c>
      <c r="J32" s="175">
        <v>6.3110236220472391</v>
      </c>
      <c r="K32" s="175">
        <v>3.2598425196850371</v>
      </c>
      <c r="L32" s="175">
        <v>9.1102362204724514</v>
      </c>
      <c r="M32" s="175">
        <v>10.488188976377986</v>
      </c>
      <c r="N32" s="175">
        <v>20.822834645669406</v>
      </c>
      <c r="O32" s="175">
        <v>7.5748031496062938</v>
      </c>
      <c r="P32" s="175">
        <v>0.49212598425196846</v>
      </c>
      <c r="Q32" s="175">
        <v>0.27952755905511811</v>
      </c>
      <c r="R32" s="175">
        <v>4.893700787401575</v>
      </c>
      <c r="S32" s="175">
        <v>1.6377952755905509</v>
      </c>
      <c r="T32" s="175">
        <v>0.42125984251968501</v>
      </c>
      <c r="U32" s="176">
        <v>22.216535433071002</v>
      </c>
      <c r="V32" s="176">
        <v>24.35039370078745</v>
      </c>
      <c r="W32" s="174"/>
      <c r="X32" s="174" t="s">
        <v>702</v>
      </c>
      <c r="Y32" s="177">
        <v>45020</v>
      </c>
      <c r="Z32" s="177" t="s">
        <v>203</v>
      </c>
      <c r="AA32" s="177" t="s">
        <v>423</v>
      </c>
      <c r="AB32" s="178" t="s">
        <v>203</v>
      </c>
      <c r="AC32" s="178" t="s">
        <v>144</v>
      </c>
      <c r="AD32" s="179" t="s">
        <v>581</v>
      </c>
      <c r="AE32" s="180" t="s">
        <v>203</v>
      </c>
      <c r="AF32" s="180" t="s">
        <v>144</v>
      </c>
      <c r="AG32" s="179">
        <v>44539</v>
      </c>
    </row>
    <row r="33" spans="1:33" ht="15.5" x14ac:dyDescent="0.35">
      <c r="A33" s="174" t="s">
        <v>347</v>
      </c>
      <c r="B33" s="174" t="s">
        <v>348</v>
      </c>
      <c r="C33" s="174" t="s">
        <v>349</v>
      </c>
      <c r="D33" s="174" t="s">
        <v>241</v>
      </c>
      <c r="E33" s="174">
        <v>17745</v>
      </c>
      <c r="F33" s="174" t="s">
        <v>242</v>
      </c>
      <c r="G33" s="174" t="s">
        <v>202</v>
      </c>
      <c r="H33" s="174" t="s">
        <v>4</v>
      </c>
      <c r="I33" s="175">
        <v>52.981132075471699</v>
      </c>
      <c r="J33" s="175">
        <v>0.50393700787401574</v>
      </c>
      <c r="K33" s="175">
        <v>11.527559055118116</v>
      </c>
      <c r="L33" s="175">
        <v>15.36220472440945</v>
      </c>
      <c r="M33" s="175">
        <v>25.106299212598444</v>
      </c>
      <c r="N33" s="175">
        <v>49.338582677165377</v>
      </c>
      <c r="O33" s="175">
        <v>0.8385826771653544</v>
      </c>
      <c r="P33" s="175">
        <v>1.1535433070866141</v>
      </c>
      <c r="Q33" s="175">
        <v>1.1692913385826771</v>
      </c>
      <c r="R33" s="175">
        <v>21.039370078740159</v>
      </c>
      <c r="S33" s="175">
        <v>5.4999999999999982</v>
      </c>
      <c r="T33" s="175">
        <v>0.60236220472440938</v>
      </c>
      <c r="U33" s="176">
        <v>25.358267716535465</v>
      </c>
      <c r="V33" s="176">
        <v>46.086614173228355</v>
      </c>
      <c r="W33" s="174"/>
      <c r="X33" s="174" t="s">
        <v>702</v>
      </c>
      <c r="Y33" s="177">
        <v>44991</v>
      </c>
      <c r="Z33" s="177" t="s">
        <v>589</v>
      </c>
      <c r="AA33" s="177" t="s">
        <v>423</v>
      </c>
      <c r="AB33" s="178" t="s">
        <v>558</v>
      </c>
      <c r="AC33" s="178" t="s">
        <v>249</v>
      </c>
      <c r="AD33" s="179" t="s">
        <v>562</v>
      </c>
      <c r="AE33" s="180" t="s">
        <v>558</v>
      </c>
      <c r="AF33" s="180" t="s">
        <v>249</v>
      </c>
      <c r="AG33" s="179">
        <v>44160</v>
      </c>
    </row>
    <row r="34" spans="1:33" ht="15.5" x14ac:dyDescent="0.35">
      <c r="A34" s="174" t="s">
        <v>777</v>
      </c>
      <c r="B34" s="174" t="s">
        <v>776</v>
      </c>
      <c r="C34" s="174" t="s">
        <v>775</v>
      </c>
      <c r="D34" s="174" t="s">
        <v>247</v>
      </c>
      <c r="E34" s="174">
        <v>12901</v>
      </c>
      <c r="F34" s="174" t="s">
        <v>248</v>
      </c>
      <c r="G34" s="174" t="s">
        <v>202</v>
      </c>
      <c r="H34" s="174" t="s">
        <v>142</v>
      </c>
      <c r="I34" s="175">
        <v>9.3457943925233593</v>
      </c>
      <c r="J34" s="175">
        <v>0.71653543307086565</v>
      </c>
      <c r="K34" s="175">
        <v>1.0393700787401574</v>
      </c>
      <c r="L34" s="175">
        <v>0.42125984251968507</v>
      </c>
      <c r="M34" s="175">
        <v>0.79133858267716528</v>
      </c>
      <c r="N34" s="175">
        <v>1.2559055118110227</v>
      </c>
      <c r="O34" s="175">
        <v>1.019685039370078</v>
      </c>
      <c r="P34" s="175">
        <v>0.64960629921259849</v>
      </c>
      <c r="Q34" s="175">
        <v>4.3307086614173228E-2</v>
      </c>
      <c r="R34" s="175">
        <v>0.10236220472440946</v>
      </c>
      <c r="S34" s="175">
        <v>0.11417322834645668</v>
      </c>
      <c r="T34" s="175">
        <v>0</v>
      </c>
      <c r="U34" s="176">
        <v>2.7519685039370048</v>
      </c>
      <c r="V34" s="176">
        <v>2.19291338582677</v>
      </c>
      <c r="W34" s="174"/>
      <c r="X34" s="174" t="s">
        <v>702</v>
      </c>
      <c r="Y34" s="177">
        <v>44903</v>
      </c>
      <c r="Z34" s="178" t="s">
        <v>558</v>
      </c>
      <c r="AA34" s="177" t="s">
        <v>249</v>
      </c>
      <c r="AB34" s="178" t="s">
        <v>558</v>
      </c>
      <c r="AC34" s="181" t="s">
        <v>566</v>
      </c>
      <c r="AD34" s="179" t="s">
        <v>774</v>
      </c>
      <c r="AE34" s="180" t="s">
        <v>239</v>
      </c>
      <c r="AF34" s="180" t="s">
        <v>249</v>
      </c>
      <c r="AG34" s="179">
        <v>43398</v>
      </c>
    </row>
    <row r="35" spans="1:33" ht="15.5" x14ac:dyDescent="0.35">
      <c r="A35" s="174" t="s">
        <v>385</v>
      </c>
      <c r="B35" s="174" t="s">
        <v>386</v>
      </c>
      <c r="C35" s="174" t="s">
        <v>387</v>
      </c>
      <c r="D35" s="174" t="s">
        <v>152</v>
      </c>
      <c r="E35" s="174">
        <v>78380</v>
      </c>
      <c r="F35" s="174" t="s">
        <v>564</v>
      </c>
      <c r="G35" s="174" t="s">
        <v>202</v>
      </c>
      <c r="H35" s="174" t="s">
        <v>4</v>
      </c>
      <c r="I35" s="175">
        <v>2.9203778677462902</v>
      </c>
      <c r="J35" s="175">
        <v>4.1062992125984188</v>
      </c>
      <c r="K35" s="175">
        <v>3.2125984251968456</v>
      </c>
      <c r="L35" s="175">
        <v>0.84645669291338521</v>
      </c>
      <c r="M35" s="175">
        <v>0.29527559055118113</v>
      </c>
      <c r="N35" s="175">
        <v>3.3149606299212548</v>
      </c>
      <c r="O35" s="175">
        <v>4.0511811023621984</v>
      </c>
      <c r="P35" s="175">
        <v>0.11023622047244094</v>
      </c>
      <c r="Q35" s="175">
        <v>0.98425196850393604</v>
      </c>
      <c r="R35" s="175">
        <v>0.71653543307086554</v>
      </c>
      <c r="S35" s="175">
        <v>0.60236220472440916</v>
      </c>
      <c r="T35" s="175">
        <v>0.38188976377952749</v>
      </c>
      <c r="U35" s="176">
        <v>6.7598425196850283</v>
      </c>
      <c r="V35" s="176">
        <v>6.4133858267716439</v>
      </c>
      <c r="W35" s="174"/>
      <c r="X35" s="174" t="s">
        <v>702</v>
      </c>
      <c r="Y35" s="177">
        <v>44943</v>
      </c>
      <c r="Z35" s="177" t="s">
        <v>558</v>
      </c>
      <c r="AA35" s="177" t="s">
        <v>240</v>
      </c>
      <c r="AB35" s="178" t="s">
        <v>558</v>
      </c>
      <c r="AC35" s="178" t="s">
        <v>566</v>
      </c>
      <c r="AD35" s="179" t="s">
        <v>653</v>
      </c>
      <c r="AE35" s="180" t="s">
        <v>203</v>
      </c>
      <c r="AF35" s="180" t="s">
        <v>144</v>
      </c>
      <c r="AG35" s="179">
        <v>43839</v>
      </c>
    </row>
    <row r="36" spans="1:33" ht="15.5" x14ac:dyDescent="0.35">
      <c r="A36" s="174" t="s">
        <v>393</v>
      </c>
      <c r="B36" s="174" t="s">
        <v>394</v>
      </c>
      <c r="C36" s="174" t="s">
        <v>395</v>
      </c>
      <c r="D36" s="174" t="s">
        <v>231</v>
      </c>
      <c r="E36" s="174">
        <v>34112</v>
      </c>
      <c r="F36" s="174" t="s">
        <v>25</v>
      </c>
      <c r="G36" s="174" t="s">
        <v>161</v>
      </c>
      <c r="H36" s="174" t="s">
        <v>142</v>
      </c>
      <c r="I36" s="175">
        <v>2.8195067264574001</v>
      </c>
      <c r="J36" s="175">
        <v>4.6968503937007817</v>
      </c>
      <c r="K36" s="175">
        <v>2.4094488188976357</v>
      </c>
      <c r="L36" s="175">
        <v>1.7637795275590529</v>
      </c>
      <c r="M36" s="175">
        <v>0.90157480314960536</v>
      </c>
      <c r="N36" s="175">
        <v>6.543307086614166</v>
      </c>
      <c r="O36" s="175">
        <v>3.0157480314960585</v>
      </c>
      <c r="P36" s="175">
        <v>9.8425196850393692E-2</v>
      </c>
      <c r="Q36" s="175">
        <v>0.11417322834645668</v>
      </c>
      <c r="R36" s="175">
        <v>0.15354330708661421</v>
      </c>
      <c r="S36" s="175">
        <v>1.3661417322834644</v>
      </c>
      <c r="T36" s="175">
        <v>1.2165354330708658</v>
      </c>
      <c r="U36" s="176">
        <v>7.0354330708661301</v>
      </c>
      <c r="V36" s="176">
        <v>5.4330708661417235</v>
      </c>
      <c r="W36" s="174"/>
      <c r="X36" s="174" t="s">
        <v>702</v>
      </c>
      <c r="Y36" s="177">
        <v>45081</v>
      </c>
      <c r="Z36" s="177" t="s">
        <v>558</v>
      </c>
      <c r="AA36" s="177" t="s">
        <v>240</v>
      </c>
      <c r="AB36" s="178" t="s">
        <v>558</v>
      </c>
      <c r="AC36" s="178" t="s">
        <v>566</v>
      </c>
      <c r="AD36" s="182" t="s">
        <v>578</v>
      </c>
      <c r="AE36" s="180" t="s">
        <v>239</v>
      </c>
      <c r="AF36" s="180" t="s">
        <v>266</v>
      </c>
      <c r="AG36" s="179">
        <v>43503</v>
      </c>
    </row>
    <row r="37" spans="1:33" ht="15.5" x14ac:dyDescent="0.35">
      <c r="A37" s="174" t="s">
        <v>652</v>
      </c>
      <c r="B37" s="174" t="s">
        <v>651</v>
      </c>
      <c r="C37" s="174" t="s">
        <v>650</v>
      </c>
      <c r="D37" s="174" t="s">
        <v>649</v>
      </c>
      <c r="E37" s="174">
        <v>4102</v>
      </c>
      <c r="F37" s="174" t="s">
        <v>270</v>
      </c>
      <c r="G37" s="174" t="s">
        <v>202</v>
      </c>
      <c r="H37" s="174" t="s">
        <v>142</v>
      </c>
      <c r="I37" s="175">
        <v>5.5310344827586198</v>
      </c>
      <c r="J37" s="175">
        <v>2.2401574803149589</v>
      </c>
      <c r="K37" s="175">
        <v>0.4251968503937007</v>
      </c>
      <c r="L37" s="175">
        <v>0.27559055118110226</v>
      </c>
      <c r="M37" s="175">
        <v>0.24409448818897636</v>
      </c>
      <c r="N37" s="175">
        <v>0.90944881889763751</v>
      </c>
      <c r="O37" s="175">
        <v>2.1456692913385806</v>
      </c>
      <c r="P37" s="175">
        <v>0</v>
      </c>
      <c r="Q37" s="175">
        <v>0.12992125984251968</v>
      </c>
      <c r="R37" s="175">
        <v>0</v>
      </c>
      <c r="S37" s="175">
        <v>1.968503937007874E-2</v>
      </c>
      <c r="T37" s="175">
        <v>0.29133858267716528</v>
      </c>
      <c r="U37" s="176">
        <v>2.8740157480314936</v>
      </c>
      <c r="V37" s="176">
        <v>2.0118110236220463</v>
      </c>
      <c r="W37" s="174"/>
      <c r="X37" s="174" t="s">
        <v>388</v>
      </c>
      <c r="Y37" s="177" t="s">
        <v>560</v>
      </c>
      <c r="Z37" s="177" t="s">
        <v>560</v>
      </c>
      <c r="AA37" s="177" t="s">
        <v>560</v>
      </c>
      <c r="AB37" s="178" t="s">
        <v>558</v>
      </c>
      <c r="AC37" s="180" t="s">
        <v>566</v>
      </c>
      <c r="AD37" s="179" t="s">
        <v>648</v>
      </c>
      <c r="AE37" s="180" t="s">
        <v>558</v>
      </c>
      <c r="AF37" s="180" t="s">
        <v>566</v>
      </c>
      <c r="AG37" s="179">
        <v>44561</v>
      </c>
    </row>
    <row r="38" spans="1:33" ht="15.5" x14ac:dyDescent="0.35">
      <c r="A38" s="174" t="s">
        <v>711</v>
      </c>
      <c r="B38" s="174" t="s">
        <v>712</v>
      </c>
      <c r="C38" s="174" t="s">
        <v>713</v>
      </c>
      <c r="D38" s="174" t="s">
        <v>152</v>
      </c>
      <c r="E38" s="174">
        <v>75202</v>
      </c>
      <c r="F38" s="174" t="s">
        <v>220</v>
      </c>
      <c r="G38" s="174" t="s">
        <v>202</v>
      </c>
      <c r="H38" s="174" t="s">
        <v>142</v>
      </c>
      <c r="I38" s="175">
        <v>1.2886056971514199</v>
      </c>
      <c r="J38" s="175">
        <v>6.7204724409448708</v>
      </c>
      <c r="K38" s="175">
        <v>2.7559055118110236E-2</v>
      </c>
      <c r="L38" s="175">
        <v>3.5433070866141732E-2</v>
      </c>
      <c r="M38" s="175">
        <v>2.3622047244094488E-2</v>
      </c>
      <c r="N38" s="175">
        <v>3.2322834645669238</v>
      </c>
      <c r="O38" s="175">
        <v>3.2047244094488136</v>
      </c>
      <c r="P38" s="175">
        <v>0.1614173228346456</v>
      </c>
      <c r="Q38" s="175">
        <v>0.2086614173228345</v>
      </c>
      <c r="R38" s="175">
        <v>1.5748031496062992E-2</v>
      </c>
      <c r="S38" s="175">
        <v>1.5748031496062992E-2</v>
      </c>
      <c r="T38" s="175">
        <v>2.7559055118110236E-2</v>
      </c>
      <c r="U38" s="176">
        <v>6.748031496062981</v>
      </c>
      <c r="V38" s="176">
        <v>3.3188976377952701</v>
      </c>
      <c r="W38" s="174"/>
      <c r="X38" s="174" t="s">
        <v>702</v>
      </c>
      <c r="Y38" s="177">
        <v>44941</v>
      </c>
      <c r="Z38" s="177" t="s">
        <v>589</v>
      </c>
      <c r="AA38" s="177" t="s">
        <v>423</v>
      </c>
      <c r="AB38" s="178" t="s">
        <v>558</v>
      </c>
      <c r="AC38" s="178" t="s">
        <v>566</v>
      </c>
      <c r="AD38" s="179" t="s">
        <v>667</v>
      </c>
      <c r="AE38" s="180" t="s">
        <v>239</v>
      </c>
      <c r="AF38" s="180" t="s">
        <v>249</v>
      </c>
      <c r="AG38" s="179">
        <v>43028</v>
      </c>
    </row>
    <row r="39" spans="1:33" ht="15.5" x14ac:dyDescent="0.35">
      <c r="A39" s="174" t="s">
        <v>232</v>
      </c>
      <c r="B39" s="174" t="s">
        <v>233</v>
      </c>
      <c r="C39" s="174" t="s">
        <v>35</v>
      </c>
      <c r="D39" s="174" t="s">
        <v>234</v>
      </c>
      <c r="E39" s="174">
        <v>80010</v>
      </c>
      <c r="F39" s="174" t="s">
        <v>235</v>
      </c>
      <c r="G39" s="174" t="s">
        <v>154</v>
      </c>
      <c r="H39" s="174" t="s">
        <v>142</v>
      </c>
      <c r="I39" s="175">
        <v>38.9935406698565</v>
      </c>
      <c r="J39" s="175">
        <v>438.82677165353289</v>
      </c>
      <c r="K39" s="175">
        <v>49.220472440945002</v>
      </c>
      <c r="L39" s="175">
        <v>89.791338582677241</v>
      </c>
      <c r="M39" s="175">
        <v>95.153543307086608</v>
      </c>
      <c r="N39" s="175">
        <v>185.67716535433087</v>
      </c>
      <c r="O39" s="175">
        <v>422.63385826770684</v>
      </c>
      <c r="P39" s="175">
        <v>12.755905511811024</v>
      </c>
      <c r="Q39" s="175">
        <v>51.925196850393732</v>
      </c>
      <c r="R39" s="175">
        <v>94.346456692913392</v>
      </c>
      <c r="S39" s="175">
        <v>28.606299212598429</v>
      </c>
      <c r="T39" s="175">
        <v>24.027559055118122</v>
      </c>
      <c r="U39" s="176">
        <v>526.01181102361033</v>
      </c>
      <c r="V39" s="176">
        <v>318.81496062991732</v>
      </c>
      <c r="W39" s="174">
        <v>600</v>
      </c>
      <c r="X39" s="174" t="s">
        <v>702</v>
      </c>
      <c r="Y39" s="177">
        <v>45058</v>
      </c>
      <c r="Z39" s="177" t="s">
        <v>561</v>
      </c>
      <c r="AA39" s="177" t="s">
        <v>249</v>
      </c>
      <c r="AB39" s="178" t="s">
        <v>561</v>
      </c>
      <c r="AC39" s="178" t="s">
        <v>144</v>
      </c>
      <c r="AD39" s="179" t="s">
        <v>579</v>
      </c>
      <c r="AE39" s="180" t="s">
        <v>561</v>
      </c>
      <c r="AF39" s="180" t="s">
        <v>144</v>
      </c>
      <c r="AG39" s="179">
        <v>44223</v>
      </c>
    </row>
    <row r="40" spans="1:33" ht="15.5" x14ac:dyDescent="0.35">
      <c r="A40" s="174" t="s">
        <v>405</v>
      </c>
      <c r="B40" s="174" t="s">
        <v>406</v>
      </c>
      <c r="C40" s="174" t="s">
        <v>407</v>
      </c>
      <c r="D40" s="174" t="s">
        <v>408</v>
      </c>
      <c r="E40" s="174">
        <v>96910</v>
      </c>
      <c r="F40" s="174" t="s">
        <v>265</v>
      </c>
      <c r="G40" s="174" t="s">
        <v>202</v>
      </c>
      <c r="H40" s="174" t="s">
        <v>142</v>
      </c>
      <c r="I40" s="175">
        <v>74.5</v>
      </c>
      <c r="J40" s="175">
        <v>5.905511811023622E-2</v>
      </c>
      <c r="K40" s="175">
        <v>0.60629921259842523</v>
      </c>
      <c r="L40" s="175">
        <v>4.1850393700787398</v>
      </c>
      <c r="M40" s="175">
        <v>1.7204724409448819</v>
      </c>
      <c r="N40" s="175">
        <v>6.5708661417322833</v>
      </c>
      <c r="O40" s="175">
        <v>0</v>
      </c>
      <c r="P40" s="175">
        <v>0</v>
      </c>
      <c r="Q40" s="175">
        <v>0</v>
      </c>
      <c r="R40" s="175">
        <v>5.937007874015749</v>
      </c>
      <c r="S40" s="175">
        <v>0.4763779527559055</v>
      </c>
      <c r="T40" s="175">
        <v>0</v>
      </c>
      <c r="U40" s="176">
        <v>0.15748031496062992</v>
      </c>
      <c r="V40" s="176">
        <v>6.4055118110236222</v>
      </c>
      <c r="W40" s="174"/>
      <c r="X40" s="174" t="s">
        <v>795</v>
      </c>
      <c r="Y40" s="177" t="s">
        <v>560</v>
      </c>
      <c r="Z40" s="177" t="s">
        <v>560</v>
      </c>
      <c r="AA40" s="177" t="s">
        <v>560</v>
      </c>
      <c r="AB40" s="178" t="s">
        <v>558</v>
      </c>
      <c r="AC40" s="180" t="s">
        <v>566</v>
      </c>
      <c r="AD40" s="179" t="s">
        <v>647</v>
      </c>
      <c r="AE40" s="178" t="s">
        <v>162</v>
      </c>
      <c r="AF40" s="178" t="s">
        <v>162</v>
      </c>
      <c r="AG40" s="182" t="s">
        <v>162</v>
      </c>
    </row>
    <row r="41" spans="1:33" ht="15.5" x14ac:dyDescent="0.35">
      <c r="A41" s="174" t="s">
        <v>646</v>
      </c>
      <c r="B41" s="174" t="s">
        <v>645</v>
      </c>
      <c r="C41" s="174" t="s">
        <v>138</v>
      </c>
      <c r="D41" s="174" t="s">
        <v>139</v>
      </c>
      <c r="E41" s="174">
        <v>92301</v>
      </c>
      <c r="F41" s="174" t="s">
        <v>140</v>
      </c>
      <c r="G41" s="174" t="s">
        <v>154</v>
      </c>
      <c r="H41" s="174" t="s">
        <v>142</v>
      </c>
      <c r="I41" s="175">
        <v>34.396449704142</v>
      </c>
      <c r="J41" s="175">
        <v>20.370078740157687</v>
      </c>
      <c r="K41" s="175">
        <v>6.3070866141732278</v>
      </c>
      <c r="L41" s="175">
        <v>37.799212598425235</v>
      </c>
      <c r="M41" s="175">
        <v>74.421259842519731</v>
      </c>
      <c r="N41" s="175">
        <v>114.71259842519694</v>
      </c>
      <c r="O41" s="175">
        <v>23.854330708661603</v>
      </c>
      <c r="P41" s="175">
        <v>0.3307086614173228</v>
      </c>
      <c r="Q41" s="175">
        <v>0</v>
      </c>
      <c r="R41" s="175">
        <v>63.622047244094517</v>
      </c>
      <c r="S41" s="175">
        <v>12.114173228346457</v>
      </c>
      <c r="T41" s="175">
        <v>1.4960629921259843</v>
      </c>
      <c r="U41" s="176">
        <v>61.665354330709057</v>
      </c>
      <c r="V41" s="176">
        <v>111.96062992126026</v>
      </c>
      <c r="W41" s="174">
        <v>480</v>
      </c>
      <c r="X41" s="174" t="s">
        <v>702</v>
      </c>
      <c r="Y41" s="177">
        <v>45048</v>
      </c>
      <c r="Z41" s="177" t="s">
        <v>561</v>
      </c>
      <c r="AA41" s="177" t="s">
        <v>240</v>
      </c>
      <c r="AB41" s="178" t="s">
        <v>561</v>
      </c>
      <c r="AC41" s="178" t="s">
        <v>144</v>
      </c>
      <c r="AD41" s="179" t="s">
        <v>644</v>
      </c>
      <c r="AE41" s="180" t="s">
        <v>561</v>
      </c>
      <c r="AF41" s="180" t="s">
        <v>144</v>
      </c>
      <c r="AG41" s="179">
        <v>44279</v>
      </c>
    </row>
    <row r="42" spans="1:33" ht="15.5" x14ac:dyDescent="0.35">
      <c r="A42" s="174" t="s">
        <v>317</v>
      </c>
      <c r="B42" s="174" t="s">
        <v>318</v>
      </c>
      <c r="C42" s="174" t="s">
        <v>319</v>
      </c>
      <c r="D42" s="174" t="s">
        <v>305</v>
      </c>
      <c r="E42" s="174">
        <v>53039</v>
      </c>
      <c r="F42" s="174" t="s">
        <v>30</v>
      </c>
      <c r="G42" s="174" t="s">
        <v>202</v>
      </c>
      <c r="H42" s="174" t="s">
        <v>142</v>
      </c>
      <c r="I42" s="175">
        <v>32.872521246458902</v>
      </c>
      <c r="J42" s="175">
        <v>21.165354330708706</v>
      </c>
      <c r="K42" s="175">
        <v>7.9960629921259807</v>
      </c>
      <c r="L42" s="175">
        <v>35.515748031496081</v>
      </c>
      <c r="M42" s="175">
        <v>49.696850393700814</v>
      </c>
      <c r="N42" s="175">
        <v>84.185039370078727</v>
      </c>
      <c r="O42" s="175">
        <v>27.925196850393757</v>
      </c>
      <c r="P42" s="175">
        <v>2.1062992125984246</v>
      </c>
      <c r="Q42" s="175">
        <v>0.15748031496062992</v>
      </c>
      <c r="R42" s="175">
        <v>36.334645669291341</v>
      </c>
      <c r="S42" s="175">
        <v>9.5905511811023629</v>
      </c>
      <c r="T42" s="175">
        <v>7.0157480314960621</v>
      </c>
      <c r="U42" s="176">
        <v>61.433070866141769</v>
      </c>
      <c r="V42" s="176">
        <v>88.940944881889905</v>
      </c>
      <c r="W42" s="174"/>
      <c r="X42" s="174" t="s">
        <v>702</v>
      </c>
      <c r="Y42" s="177">
        <v>45079</v>
      </c>
      <c r="Z42" s="177" t="s">
        <v>589</v>
      </c>
      <c r="AA42" s="177" t="s">
        <v>240</v>
      </c>
      <c r="AB42" s="178" t="s">
        <v>239</v>
      </c>
      <c r="AC42" s="178" t="s">
        <v>249</v>
      </c>
      <c r="AD42" s="179" t="s">
        <v>634</v>
      </c>
      <c r="AE42" s="180" t="s">
        <v>558</v>
      </c>
      <c r="AF42" s="180" t="s">
        <v>249</v>
      </c>
      <c r="AG42" s="179">
        <v>44302</v>
      </c>
    </row>
    <row r="43" spans="1:33" ht="15.5" x14ac:dyDescent="0.35">
      <c r="A43" s="174" t="s">
        <v>714</v>
      </c>
      <c r="B43" s="174" t="s">
        <v>715</v>
      </c>
      <c r="C43" s="174" t="s">
        <v>716</v>
      </c>
      <c r="D43" s="174" t="s">
        <v>152</v>
      </c>
      <c r="E43" s="174">
        <v>78562</v>
      </c>
      <c r="F43" s="174" t="s">
        <v>564</v>
      </c>
      <c r="G43" s="174" t="s">
        <v>202</v>
      </c>
      <c r="H43" s="174" t="s">
        <v>142</v>
      </c>
      <c r="I43" s="175">
        <v>1.32530120481928</v>
      </c>
      <c r="J43" s="175">
        <v>0.20866141732283455</v>
      </c>
      <c r="K43" s="175">
        <v>5.1181102362204724E-2</v>
      </c>
      <c r="L43" s="175">
        <v>0.11811023622047243</v>
      </c>
      <c r="M43" s="175">
        <v>6.2992125984251968E-2</v>
      </c>
      <c r="N43" s="175">
        <v>0.40944881889763735</v>
      </c>
      <c r="O43" s="175">
        <v>1.5748031496062992E-2</v>
      </c>
      <c r="P43" s="175">
        <v>1.5748031496062992E-2</v>
      </c>
      <c r="Q43" s="175">
        <v>0</v>
      </c>
      <c r="R43" s="175">
        <v>0.37007874015747988</v>
      </c>
      <c r="S43" s="175">
        <v>3.5433070866141732E-2</v>
      </c>
      <c r="T43" s="175">
        <v>0</v>
      </c>
      <c r="U43" s="176">
        <v>3.5433070866141732E-2</v>
      </c>
      <c r="V43" s="176">
        <v>0.42519685039370031</v>
      </c>
      <c r="W43" s="174"/>
      <c r="X43" s="174" t="s">
        <v>388</v>
      </c>
      <c r="Y43" s="177" t="s">
        <v>560</v>
      </c>
      <c r="Z43" s="177" t="s">
        <v>560</v>
      </c>
      <c r="AA43" s="177" t="s">
        <v>560</v>
      </c>
      <c r="AB43" s="178" t="s">
        <v>558</v>
      </c>
      <c r="AC43" s="178" t="s">
        <v>566</v>
      </c>
      <c r="AD43" s="179" t="s">
        <v>653</v>
      </c>
      <c r="AE43" s="180" t="s">
        <v>239</v>
      </c>
      <c r="AF43" s="180" t="s">
        <v>249</v>
      </c>
      <c r="AG43" s="179">
        <v>44113</v>
      </c>
    </row>
    <row r="44" spans="1:33" ht="15.5" x14ac:dyDescent="0.35">
      <c r="A44" s="174" t="s">
        <v>258</v>
      </c>
      <c r="B44" s="174" t="s">
        <v>259</v>
      </c>
      <c r="C44" s="174" t="s">
        <v>32</v>
      </c>
      <c r="D44" s="174" t="s">
        <v>152</v>
      </c>
      <c r="E44" s="174">
        <v>76837</v>
      </c>
      <c r="F44" s="174" t="s">
        <v>220</v>
      </c>
      <c r="G44" s="174" t="s">
        <v>202</v>
      </c>
      <c r="H44" s="174" t="s">
        <v>4</v>
      </c>
      <c r="I44" s="175">
        <v>33.427625354777703</v>
      </c>
      <c r="J44" s="175">
        <v>111.18503937007863</v>
      </c>
      <c r="K44" s="175">
        <v>17.255905511811033</v>
      </c>
      <c r="L44" s="175">
        <v>2.4409448818897634</v>
      </c>
      <c r="M44" s="175">
        <v>1.0748031496062991</v>
      </c>
      <c r="N44" s="175">
        <v>8.2086614173228369</v>
      </c>
      <c r="O44" s="175">
        <v>123.74803149606258</v>
      </c>
      <c r="P44" s="175">
        <v>0</v>
      </c>
      <c r="Q44" s="175">
        <v>0</v>
      </c>
      <c r="R44" s="175">
        <v>0.77559055118110232</v>
      </c>
      <c r="S44" s="175">
        <v>1.7677165354330708</v>
      </c>
      <c r="T44" s="175">
        <v>1.3700787401574801</v>
      </c>
      <c r="U44" s="176">
        <v>128.04330708661368</v>
      </c>
      <c r="V44" s="176">
        <v>79.259842519684966</v>
      </c>
      <c r="W44" s="174"/>
      <c r="X44" s="174" t="s">
        <v>702</v>
      </c>
      <c r="Y44" s="177">
        <v>45078</v>
      </c>
      <c r="Z44" s="177" t="s">
        <v>589</v>
      </c>
      <c r="AA44" s="177" t="s">
        <v>240</v>
      </c>
      <c r="AB44" s="178" t="s">
        <v>239</v>
      </c>
      <c r="AC44" s="178" t="s">
        <v>249</v>
      </c>
      <c r="AD44" s="179" t="s">
        <v>612</v>
      </c>
      <c r="AE44" s="180" t="s">
        <v>239</v>
      </c>
      <c r="AF44" s="180" t="s">
        <v>249</v>
      </c>
      <c r="AG44" s="179">
        <v>44168</v>
      </c>
    </row>
    <row r="45" spans="1:33" ht="17.149999999999999" customHeight="1" x14ac:dyDescent="0.35">
      <c r="A45" s="174" t="s">
        <v>204</v>
      </c>
      <c r="B45" s="174" t="s">
        <v>205</v>
      </c>
      <c r="C45" s="174" t="s">
        <v>206</v>
      </c>
      <c r="D45" s="174" t="s">
        <v>152</v>
      </c>
      <c r="E45" s="174">
        <v>79925</v>
      </c>
      <c r="F45" s="174" t="s">
        <v>190</v>
      </c>
      <c r="G45" s="174" t="s">
        <v>185</v>
      </c>
      <c r="H45" s="174" t="s">
        <v>142</v>
      </c>
      <c r="I45" s="175">
        <v>36.063508410573299</v>
      </c>
      <c r="J45" s="175">
        <v>241.53937007874009</v>
      </c>
      <c r="K45" s="175">
        <v>84.716535433071087</v>
      </c>
      <c r="L45" s="175">
        <v>84.830708661417361</v>
      </c>
      <c r="M45" s="175">
        <v>59.070866141732346</v>
      </c>
      <c r="N45" s="175">
        <v>194.64566929133838</v>
      </c>
      <c r="O45" s="175">
        <v>175.12992125984215</v>
      </c>
      <c r="P45" s="175">
        <v>21.704724409448829</v>
      </c>
      <c r="Q45" s="175">
        <v>78.677165354331152</v>
      </c>
      <c r="R45" s="175">
        <v>53.141732283464627</v>
      </c>
      <c r="S45" s="175">
        <v>28.015748031496088</v>
      </c>
      <c r="T45" s="175">
        <v>40.917322834645702</v>
      </c>
      <c r="U45" s="176">
        <v>348.08267716534596</v>
      </c>
      <c r="V45" s="176">
        <v>334.73228346456074</v>
      </c>
      <c r="W45" s="174">
        <v>450</v>
      </c>
      <c r="X45" s="174" t="s">
        <v>702</v>
      </c>
      <c r="Y45" s="177">
        <v>45071</v>
      </c>
      <c r="Z45" s="177" t="s">
        <v>561</v>
      </c>
      <c r="AA45" s="177" t="s">
        <v>240</v>
      </c>
      <c r="AB45" s="178" t="s">
        <v>561</v>
      </c>
      <c r="AC45" s="178" t="s">
        <v>144</v>
      </c>
      <c r="AD45" s="179" t="s">
        <v>573</v>
      </c>
      <c r="AE45" s="180" t="s">
        <v>561</v>
      </c>
      <c r="AF45" s="180" t="s">
        <v>144</v>
      </c>
      <c r="AG45" s="179">
        <v>44168</v>
      </c>
    </row>
    <row r="46" spans="1:33" ht="15.5" x14ac:dyDescent="0.35">
      <c r="A46" s="174" t="s">
        <v>9</v>
      </c>
      <c r="B46" s="174" t="s">
        <v>200</v>
      </c>
      <c r="C46" s="174" t="s">
        <v>201</v>
      </c>
      <c r="D46" s="174" t="s">
        <v>152</v>
      </c>
      <c r="E46" s="174">
        <v>78580</v>
      </c>
      <c r="F46" s="174" t="s">
        <v>564</v>
      </c>
      <c r="G46" s="174" t="s">
        <v>141</v>
      </c>
      <c r="H46" s="174" t="s">
        <v>142</v>
      </c>
      <c r="I46" s="175">
        <v>34.5217777777778</v>
      </c>
      <c r="J46" s="175">
        <v>565.06299212595354</v>
      </c>
      <c r="K46" s="175">
        <v>5.7165354330708649</v>
      </c>
      <c r="L46" s="175">
        <v>2.2874015748031495</v>
      </c>
      <c r="M46" s="175">
        <v>0.62204724409448808</v>
      </c>
      <c r="N46" s="175">
        <v>16.799212598425207</v>
      </c>
      <c r="O46" s="175">
        <v>310.61023622046207</v>
      </c>
      <c r="P46" s="175">
        <v>2.8976377952755894</v>
      </c>
      <c r="Q46" s="175">
        <v>243.38188976377876</v>
      </c>
      <c r="R46" s="175">
        <v>1.9645669291338581</v>
      </c>
      <c r="S46" s="175">
        <v>1.3543307086614174</v>
      </c>
      <c r="T46" s="175">
        <v>4.1811023622047232</v>
      </c>
      <c r="U46" s="176">
        <v>566.18897637792202</v>
      </c>
      <c r="V46" s="176">
        <v>274.10629921259533</v>
      </c>
      <c r="W46" s="174">
        <v>750</v>
      </c>
      <c r="X46" s="174" t="s">
        <v>702</v>
      </c>
      <c r="Y46" s="177">
        <v>45049</v>
      </c>
      <c r="Z46" s="177" t="s">
        <v>561</v>
      </c>
      <c r="AA46" s="177" t="s">
        <v>240</v>
      </c>
      <c r="AB46" s="178" t="s">
        <v>561</v>
      </c>
      <c r="AC46" s="181" t="s">
        <v>144</v>
      </c>
      <c r="AD46" s="179" t="s">
        <v>643</v>
      </c>
      <c r="AE46" s="180" t="s">
        <v>561</v>
      </c>
      <c r="AF46" s="180" t="s">
        <v>144</v>
      </c>
      <c r="AG46" s="179">
        <v>44175</v>
      </c>
    </row>
    <row r="47" spans="1:33" ht="15.5" x14ac:dyDescent="0.35">
      <c r="A47" s="174" t="s">
        <v>290</v>
      </c>
      <c r="B47" s="174" t="s">
        <v>291</v>
      </c>
      <c r="C47" s="174" t="s">
        <v>18</v>
      </c>
      <c r="D47" s="174" t="s">
        <v>221</v>
      </c>
      <c r="E47" s="174">
        <v>7201</v>
      </c>
      <c r="F47" s="174" t="s">
        <v>222</v>
      </c>
      <c r="G47" s="174" t="s">
        <v>154</v>
      </c>
      <c r="H47" s="174" t="s">
        <v>142</v>
      </c>
      <c r="I47" s="175">
        <v>16.126767430521699</v>
      </c>
      <c r="J47" s="175">
        <v>77.295275590550986</v>
      </c>
      <c r="K47" s="175">
        <v>62.594488188976385</v>
      </c>
      <c r="L47" s="175">
        <v>6.5354330708661337</v>
      </c>
      <c r="M47" s="175">
        <v>3.212598425196846</v>
      </c>
      <c r="N47" s="175">
        <v>29.059055118110475</v>
      </c>
      <c r="O47" s="175">
        <v>103.25196850393645</v>
      </c>
      <c r="P47" s="175">
        <v>4.2244094488188981</v>
      </c>
      <c r="Q47" s="175">
        <v>13.10236220472445</v>
      </c>
      <c r="R47" s="175">
        <v>6.9212598425196825</v>
      </c>
      <c r="S47" s="175">
        <v>4.2716535433070861</v>
      </c>
      <c r="T47" s="175">
        <v>12.003937007874017</v>
      </c>
      <c r="U47" s="176">
        <v>126.44094488188892</v>
      </c>
      <c r="V47" s="176">
        <v>88.64960629921174</v>
      </c>
      <c r="W47" s="174">
        <v>285</v>
      </c>
      <c r="X47" s="174" t="s">
        <v>702</v>
      </c>
      <c r="Y47" s="177">
        <v>44916</v>
      </c>
      <c r="Z47" s="177" t="s">
        <v>561</v>
      </c>
      <c r="AA47" s="177" t="s">
        <v>240</v>
      </c>
      <c r="AB47" s="178" t="s">
        <v>561</v>
      </c>
      <c r="AC47" s="178" t="s">
        <v>144</v>
      </c>
      <c r="AD47" s="179" t="s">
        <v>562</v>
      </c>
      <c r="AE47" s="180" t="s">
        <v>143</v>
      </c>
      <c r="AF47" s="180" t="s">
        <v>144</v>
      </c>
      <c r="AG47" s="179">
        <v>44091</v>
      </c>
    </row>
    <row r="48" spans="1:33" ht="15.5" x14ac:dyDescent="0.35">
      <c r="A48" s="174" t="s">
        <v>642</v>
      </c>
      <c r="B48" s="174" t="s">
        <v>641</v>
      </c>
      <c r="C48" s="174" t="s">
        <v>640</v>
      </c>
      <c r="D48" s="174" t="s">
        <v>420</v>
      </c>
      <c r="E48" s="174">
        <v>83647</v>
      </c>
      <c r="F48" s="174" t="s">
        <v>296</v>
      </c>
      <c r="G48" s="174" t="s">
        <v>202</v>
      </c>
      <c r="H48" s="174" t="s">
        <v>142</v>
      </c>
      <c r="I48" s="175">
        <v>6.1680000000000001</v>
      </c>
      <c r="J48" s="175">
        <v>0.23622047244094485</v>
      </c>
      <c r="K48" s="175">
        <v>0.92125984251968474</v>
      </c>
      <c r="L48" s="175">
        <v>1.4370078740157473</v>
      </c>
      <c r="M48" s="175">
        <v>0.48818897637795283</v>
      </c>
      <c r="N48" s="175">
        <v>2.6220472440944858</v>
      </c>
      <c r="O48" s="175">
        <v>0.38188976377952755</v>
      </c>
      <c r="P48" s="175">
        <v>7.874015748031496E-2</v>
      </c>
      <c r="Q48" s="175">
        <v>0</v>
      </c>
      <c r="R48" s="175">
        <v>0.52362204724409445</v>
      </c>
      <c r="S48" s="175">
        <v>0.28740157480314954</v>
      </c>
      <c r="T48" s="175">
        <v>0.12204724409448819</v>
      </c>
      <c r="U48" s="176">
        <v>2.1496062992125964</v>
      </c>
      <c r="V48" s="176">
        <v>2.8937007874015714</v>
      </c>
      <c r="W48" s="174"/>
      <c r="X48" s="174" t="s">
        <v>388</v>
      </c>
      <c r="Y48" s="177" t="s">
        <v>560</v>
      </c>
      <c r="Z48" s="177" t="s">
        <v>560</v>
      </c>
      <c r="AA48" s="177" t="s">
        <v>560</v>
      </c>
      <c r="AB48" s="178" t="s">
        <v>558</v>
      </c>
      <c r="AC48" s="178" t="s">
        <v>566</v>
      </c>
      <c r="AD48" s="179" t="s">
        <v>639</v>
      </c>
      <c r="AE48" s="180" t="s">
        <v>239</v>
      </c>
      <c r="AF48" s="180" t="s">
        <v>249</v>
      </c>
      <c r="AG48" s="179">
        <v>43360</v>
      </c>
    </row>
    <row r="49" spans="1:33" ht="15.5" x14ac:dyDescent="0.35">
      <c r="A49" s="174" t="s">
        <v>167</v>
      </c>
      <c r="B49" s="174" t="s">
        <v>168</v>
      </c>
      <c r="C49" s="174" t="s">
        <v>28</v>
      </c>
      <c r="D49" s="174" t="s">
        <v>163</v>
      </c>
      <c r="E49" s="174">
        <v>85131</v>
      </c>
      <c r="F49" s="174" t="s">
        <v>164</v>
      </c>
      <c r="G49" s="174" t="s">
        <v>141</v>
      </c>
      <c r="H49" s="174" t="s">
        <v>142</v>
      </c>
      <c r="I49" s="175">
        <v>19.409435797665399</v>
      </c>
      <c r="J49" s="175">
        <v>770.56299212590409</v>
      </c>
      <c r="K49" s="175">
        <v>31.921259842519699</v>
      </c>
      <c r="L49" s="175">
        <v>42.027559055118161</v>
      </c>
      <c r="M49" s="175">
        <v>39.468503937007867</v>
      </c>
      <c r="N49" s="175">
        <v>59.039370078740177</v>
      </c>
      <c r="O49" s="175">
        <v>496.2834645668907</v>
      </c>
      <c r="P49" s="175">
        <v>29.413385826771663</v>
      </c>
      <c r="Q49" s="175">
        <v>299.24409448817187</v>
      </c>
      <c r="R49" s="175">
        <v>33.519685039370088</v>
      </c>
      <c r="S49" s="175">
        <v>17.968503937007881</v>
      </c>
      <c r="T49" s="175">
        <v>18.771653543307103</v>
      </c>
      <c r="U49" s="176">
        <v>813.72047244085638</v>
      </c>
      <c r="V49" s="176">
        <v>412.07086614171499</v>
      </c>
      <c r="W49" s="174">
        <v>900</v>
      </c>
      <c r="X49" s="174" t="s">
        <v>702</v>
      </c>
      <c r="Y49" s="177">
        <v>44916</v>
      </c>
      <c r="Z49" s="177" t="s">
        <v>561</v>
      </c>
      <c r="AA49" s="177" t="s">
        <v>240</v>
      </c>
      <c r="AB49" s="178" t="s">
        <v>561</v>
      </c>
      <c r="AC49" s="178" t="s">
        <v>144</v>
      </c>
      <c r="AD49" s="179" t="s">
        <v>563</v>
      </c>
      <c r="AE49" s="180" t="s">
        <v>561</v>
      </c>
      <c r="AF49" s="180" t="s">
        <v>144</v>
      </c>
      <c r="AG49" s="179">
        <v>44232</v>
      </c>
    </row>
    <row r="50" spans="1:33" ht="15.5" x14ac:dyDescent="0.35">
      <c r="A50" s="174" t="s">
        <v>260</v>
      </c>
      <c r="B50" s="174" t="s">
        <v>261</v>
      </c>
      <c r="C50" s="174" t="s">
        <v>262</v>
      </c>
      <c r="D50" s="174" t="s">
        <v>163</v>
      </c>
      <c r="E50" s="174">
        <v>85132</v>
      </c>
      <c r="F50" s="174" t="s">
        <v>164</v>
      </c>
      <c r="G50" s="174" t="s">
        <v>185</v>
      </c>
      <c r="H50" s="174" t="s">
        <v>4</v>
      </c>
      <c r="I50" s="175">
        <v>5.7604622871046196</v>
      </c>
      <c r="J50" s="175">
        <v>163.07086614172295</v>
      </c>
      <c r="K50" s="175">
        <v>24.988188976378023</v>
      </c>
      <c r="L50" s="175">
        <v>2.9724409448818858</v>
      </c>
      <c r="M50" s="175">
        <v>1.9921259842519659</v>
      </c>
      <c r="N50" s="175">
        <v>27.311023622047355</v>
      </c>
      <c r="O50" s="175">
        <v>165.63779527558125</v>
      </c>
      <c r="P50" s="175">
        <v>2.3622047244094488E-2</v>
      </c>
      <c r="Q50" s="175">
        <v>5.1181102362204724E-2</v>
      </c>
      <c r="R50" s="175">
        <v>3.0826771653543292</v>
      </c>
      <c r="S50" s="175">
        <v>4.2204724409448797</v>
      </c>
      <c r="T50" s="175">
        <v>6.9881889763779457</v>
      </c>
      <c r="U50" s="176">
        <v>178.73228346455713</v>
      </c>
      <c r="V50" s="176">
        <v>87.787401574802985</v>
      </c>
      <c r="W50" s="174">
        <v>392</v>
      </c>
      <c r="X50" s="174" t="s">
        <v>702</v>
      </c>
      <c r="Y50" s="177">
        <v>45020</v>
      </c>
      <c r="Z50" s="177" t="s">
        <v>561</v>
      </c>
      <c r="AA50" s="177" t="s">
        <v>240</v>
      </c>
      <c r="AB50" s="178" t="s">
        <v>561</v>
      </c>
      <c r="AC50" s="178" t="s">
        <v>144</v>
      </c>
      <c r="AD50" s="179" t="s">
        <v>638</v>
      </c>
      <c r="AE50" s="180" t="s">
        <v>561</v>
      </c>
      <c r="AF50" s="180" t="s">
        <v>144</v>
      </c>
      <c r="AG50" s="179">
        <v>44294</v>
      </c>
    </row>
    <row r="51" spans="1:33" ht="15.5" x14ac:dyDescent="0.35">
      <c r="A51" s="174" t="s">
        <v>11</v>
      </c>
      <c r="B51" s="174" t="s">
        <v>261</v>
      </c>
      <c r="C51" s="174" t="s">
        <v>262</v>
      </c>
      <c r="D51" s="174" t="s">
        <v>163</v>
      </c>
      <c r="E51" s="174">
        <v>85232</v>
      </c>
      <c r="F51" s="174" t="s">
        <v>164</v>
      </c>
      <c r="G51" s="174" t="s">
        <v>280</v>
      </c>
      <c r="H51" s="174" t="s">
        <v>4</v>
      </c>
      <c r="I51" s="175">
        <v>1.31635350432235</v>
      </c>
      <c r="J51" s="175">
        <v>55.326771653542686</v>
      </c>
      <c r="K51" s="175">
        <v>9.4527559055119443</v>
      </c>
      <c r="L51" s="175">
        <v>6.7244094488188866</v>
      </c>
      <c r="M51" s="175">
        <v>3.5511811023621989</v>
      </c>
      <c r="N51" s="175">
        <v>15.129921259843337</v>
      </c>
      <c r="O51" s="175">
        <v>57.775590551180585</v>
      </c>
      <c r="P51" s="175">
        <v>0.45669291338582618</v>
      </c>
      <c r="Q51" s="175">
        <v>1.6929133858267691</v>
      </c>
      <c r="R51" s="175">
        <v>1.9409448818897608</v>
      </c>
      <c r="S51" s="175">
        <v>0.95275590551180966</v>
      </c>
      <c r="T51" s="175">
        <v>1.0078740157480301</v>
      </c>
      <c r="U51" s="176">
        <v>71.153543307083268</v>
      </c>
      <c r="V51" s="176">
        <v>31.133858267717564</v>
      </c>
      <c r="W51" s="174"/>
      <c r="X51" s="174" t="s">
        <v>162</v>
      </c>
      <c r="Y51" s="177" t="s">
        <v>560</v>
      </c>
      <c r="Z51" s="177" t="s">
        <v>560</v>
      </c>
      <c r="AA51" s="177" t="s">
        <v>560</v>
      </c>
      <c r="AB51" s="178" t="s">
        <v>162</v>
      </c>
      <c r="AC51" s="178" t="s">
        <v>162</v>
      </c>
      <c r="AD51" s="182" t="s">
        <v>162</v>
      </c>
      <c r="AE51" s="178" t="s">
        <v>162</v>
      </c>
      <c r="AF51" s="178" t="s">
        <v>162</v>
      </c>
      <c r="AG51" s="182" t="s">
        <v>162</v>
      </c>
    </row>
    <row r="52" spans="1:33" ht="15.5" x14ac:dyDescent="0.35">
      <c r="A52" s="174" t="s">
        <v>637</v>
      </c>
      <c r="B52" s="174" t="s">
        <v>636</v>
      </c>
      <c r="C52" s="174" t="s">
        <v>236</v>
      </c>
      <c r="D52" s="174" t="s">
        <v>148</v>
      </c>
      <c r="E52" s="174">
        <v>31537</v>
      </c>
      <c r="F52" s="174" t="s">
        <v>149</v>
      </c>
      <c r="G52" s="174" t="s">
        <v>141</v>
      </c>
      <c r="H52" s="174" t="s">
        <v>4</v>
      </c>
      <c r="I52" s="175">
        <v>21.655996060083702</v>
      </c>
      <c r="J52" s="175">
        <v>228.26377952755377</v>
      </c>
      <c r="K52" s="175">
        <v>36.291338582677206</v>
      </c>
      <c r="L52" s="175">
        <v>34.161417322834701</v>
      </c>
      <c r="M52" s="175">
        <v>27.46456692913392</v>
      </c>
      <c r="N52" s="175">
        <v>87.555118110236506</v>
      </c>
      <c r="O52" s="175">
        <v>238.62598425196288</v>
      </c>
      <c r="P52" s="175">
        <v>0</v>
      </c>
      <c r="Q52" s="175">
        <v>0</v>
      </c>
      <c r="R52" s="175">
        <v>7.610236220472439</v>
      </c>
      <c r="S52" s="175">
        <v>8.7125984251968518</v>
      </c>
      <c r="T52" s="175">
        <v>11.511811023622046</v>
      </c>
      <c r="U52" s="176">
        <v>298.34645669290336</v>
      </c>
      <c r="V52" s="176">
        <v>163.1968503937012</v>
      </c>
      <c r="W52" s="174">
        <v>544</v>
      </c>
      <c r="X52" s="174" t="s">
        <v>702</v>
      </c>
      <c r="Y52" s="177">
        <v>45008</v>
      </c>
      <c r="Z52" s="177" t="s">
        <v>561</v>
      </c>
      <c r="AA52" s="177" t="s">
        <v>240</v>
      </c>
      <c r="AB52" s="178" t="s">
        <v>561</v>
      </c>
      <c r="AC52" s="178" t="s">
        <v>144</v>
      </c>
      <c r="AD52" s="179" t="s">
        <v>635</v>
      </c>
      <c r="AE52" s="180" t="s">
        <v>561</v>
      </c>
      <c r="AF52" s="180" t="s">
        <v>144</v>
      </c>
      <c r="AG52" s="179">
        <v>44405</v>
      </c>
    </row>
    <row r="53" spans="1:33" ht="15.5" x14ac:dyDescent="0.35">
      <c r="A53" s="174" t="s">
        <v>362</v>
      </c>
      <c r="B53" s="174" t="s">
        <v>363</v>
      </c>
      <c r="C53" s="174" t="s">
        <v>364</v>
      </c>
      <c r="D53" s="174" t="s">
        <v>273</v>
      </c>
      <c r="E53" s="174">
        <v>56007</v>
      </c>
      <c r="F53" s="174" t="s">
        <v>274</v>
      </c>
      <c r="G53" s="174" t="s">
        <v>161</v>
      </c>
      <c r="H53" s="174" t="s">
        <v>4</v>
      </c>
      <c r="I53" s="175">
        <v>36.262857142857101</v>
      </c>
      <c r="J53" s="175">
        <v>0.11811023622047244</v>
      </c>
      <c r="K53" s="175">
        <v>6.2283464566929112</v>
      </c>
      <c r="L53" s="175">
        <v>17.330708661417336</v>
      </c>
      <c r="M53" s="175">
        <v>2.5787401574803139</v>
      </c>
      <c r="N53" s="175">
        <v>20.673228346456714</v>
      </c>
      <c r="O53" s="175">
        <v>5.5826771653543288</v>
      </c>
      <c r="P53" s="175">
        <v>0</v>
      </c>
      <c r="Q53" s="175">
        <v>0</v>
      </c>
      <c r="R53" s="175">
        <v>5.1574803149606279</v>
      </c>
      <c r="S53" s="175">
        <v>0.64566929133858275</v>
      </c>
      <c r="T53" s="175">
        <v>2.0629921259842519</v>
      </c>
      <c r="U53" s="176">
        <v>18.38976377952757</v>
      </c>
      <c r="V53" s="176">
        <v>23.539370078740195</v>
      </c>
      <c r="W53" s="174"/>
      <c r="X53" s="174" t="s">
        <v>702</v>
      </c>
      <c r="Y53" s="177">
        <v>45009</v>
      </c>
      <c r="Z53" s="177" t="s">
        <v>558</v>
      </c>
      <c r="AA53" s="177" t="s">
        <v>423</v>
      </c>
      <c r="AB53" s="178" t="s">
        <v>558</v>
      </c>
      <c r="AC53" s="178" t="s">
        <v>249</v>
      </c>
      <c r="AD53" s="179" t="s">
        <v>634</v>
      </c>
      <c r="AE53" s="180" t="s">
        <v>558</v>
      </c>
      <c r="AF53" s="180"/>
      <c r="AG53" s="179">
        <v>44302</v>
      </c>
    </row>
    <row r="54" spans="1:33" ht="15.5" x14ac:dyDescent="0.35">
      <c r="A54" s="174" t="s">
        <v>38</v>
      </c>
      <c r="B54" s="174" t="s">
        <v>368</v>
      </c>
      <c r="C54" s="174" t="s">
        <v>369</v>
      </c>
      <c r="D54" s="174" t="s">
        <v>303</v>
      </c>
      <c r="E54" s="174">
        <v>44024</v>
      </c>
      <c r="F54" s="174" t="s">
        <v>304</v>
      </c>
      <c r="G54" s="174" t="s">
        <v>202</v>
      </c>
      <c r="H54" s="174" t="s">
        <v>142</v>
      </c>
      <c r="I54" s="175">
        <v>71.415584415584405</v>
      </c>
      <c r="J54" s="175">
        <v>6.7795275590551158</v>
      </c>
      <c r="K54" s="175">
        <v>4.1811023622047241</v>
      </c>
      <c r="L54" s="175">
        <v>4.7992125984251963</v>
      </c>
      <c r="M54" s="175">
        <v>2.9724409448818903</v>
      </c>
      <c r="N54" s="175">
        <v>10.566929133858267</v>
      </c>
      <c r="O54" s="175">
        <v>6.7362204724409427</v>
      </c>
      <c r="P54" s="175">
        <v>0.1889763779527559</v>
      </c>
      <c r="Q54" s="175">
        <v>1.2401574803149606</v>
      </c>
      <c r="R54" s="175">
        <v>3.3425196850393699</v>
      </c>
      <c r="S54" s="175">
        <v>1.5944881889763776</v>
      </c>
      <c r="T54" s="175">
        <v>1.5275590551181102</v>
      </c>
      <c r="U54" s="176">
        <v>12.267716535433079</v>
      </c>
      <c r="V54" s="176">
        <v>15.283464566929135</v>
      </c>
      <c r="W54" s="174"/>
      <c r="X54" s="174" t="s">
        <v>702</v>
      </c>
      <c r="Y54" s="177">
        <v>45012</v>
      </c>
      <c r="Z54" s="177" t="s">
        <v>589</v>
      </c>
      <c r="AA54" s="177" t="s">
        <v>249</v>
      </c>
      <c r="AB54" s="178" t="s">
        <v>239</v>
      </c>
      <c r="AC54" s="181" t="s">
        <v>249</v>
      </c>
      <c r="AD54" s="179" t="s">
        <v>633</v>
      </c>
      <c r="AE54" s="180" t="s">
        <v>239</v>
      </c>
      <c r="AF54" s="180" t="s">
        <v>249</v>
      </c>
      <c r="AG54" s="179">
        <v>44175</v>
      </c>
    </row>
    <row r="55" spans="1:33" ht="15.5" x14ac:dyDescent="0.35">
      <c r="A55" s="174" t="s">
        <v>632</v>
      </c>
      <c r="B55" s="174" t="s">
        <v>631</v>
      </c>
      <c r="C55" s="174" t="s">
        <v>630</v>
      </c>
      <c r="D55" s="174" t="s">
        <v>139</v>
      </c>
      <c r="E55" s="174">
        <v>93250</v>
      </c>
      <c r="F55" s="174" t="s">
        <v>265</v>
      </c>
      <c r="G55" s="174" t="s">
        <v>154</v>
      </c>
      <c r="H55" s="174" t="s">
        <v>142</v>
      </c>
      <c r="I55" s="175">
        <v>91.994623655913998</v>
      </c>
      <c r="J55" s="175">
        <v>0.22834645669291337</v>
      </c>
      <c r="K55" s="175">
        <v>1.9055118110236213</v>
      </c>
      <c r="L55" s="175">
        <v>39.968503937007902</v>
      </c>
      <c r="M55" s="175">
        <v>108.44488188976374</v>
      </c>
      <c r="N55" s="175">
        <v>147.54724409448815</v>
      </c>
      <c r="O55" s="175">
        <v>3</v>
      </c>
      <c r="P55" s="175">
        <v>0</v>
      </c>
      <c r="Q55" s="175">
        <v>0</v>
      </c>
      <c r="R55" s="175">
        <v>85.165354330708681</v>
      </c>
      <c r="S55" s="175">
        <v>3.3897637795275588</v>
      </c>
      <c r="T55" s="175">
        <v>1.1259842519685039</v>
      </c>
      <c r="U55" s="176">
        <v>60.866141732283573</v>
      </c>
      <c r="V55" s="176">
        <v>126.25984251968498</v>
      </c>
      <c r="W55" s="174">
        <v>560</v>
      </c>
      <c r="X55" s="174" t="s">
        <v>702</v>
      </c>
      <c r="Y55" s="177">
        <v>45007</v>
      </c>
      <c r="Z55" s="177" t="s">
        <v>561</v>
      </c>
      <c r="AA55" s="177" t="s">
        <v>240</v>
      </c>
      <c r="AB55" s="178" t="s">
        <v>561</v>
      </c>
      <c r="AC55" s="178" t="s">
        <v>144</v>
      </c>
      <c r="AD55" s="182" t="s">
        <v>629</v>
      </c>
      <c r="AE55" s="180" t="s">
        <v>561</v>
      </c>
      <c r="AF55" s="180" t="s">
        <v>144</v>
      </c>
      <c r="AG55" s="179">
        <v>44272</v>
      </c>
    </row>
    <row r="56" spans="1:33" ht="15.5" x14ac:dyDescent="0.35">
      <c r="A56" s="174" t="s">
        <v>773</v>
      </c>
      <c r="B56" s="174" t="s">
        <v>772</v>
      </c>
      <c r="C56" s="174" t="s">
        <v>771</v>
      </c>
      <c r="D56" s="174" t="s">
        <v>770</v>
      </c>
      <c r="E56" s="174">
        <v>58206</v>
      </c>
      <c r="F56" s="174" t="s">
        <v>274</v>
      </c>
      <c r="G56" s="174" t="s">
        <v>202</v>
      </c>
      <c r="H56" s="174" t="s">
        <v>142</v>
      </c>
      <c r="I56" s="175">
        <v>2.7179487179487198</v>
      </c>
      <c r="J56" s="175">
        <v>1.968503937007874E-2</v>
      </c>
      <c r="K56" s="175">
        <v>0</v>
      </c>
      <c r="L56" s="175">
        <v>0.42519685039370059</v>
      </c>
      <c r="M56" s="175">
        <v>3.937007874015748E-3</v>
      </c>
      <c r="N56" s="175">
        <v>0.23622047244094491</v>
      </c>
      <c r="O56" s="175">
        <v>0.18897637795275585</v>
      </c>
      <c r="P56" s="175">
        <v>1.1811023622047244E-2</v>
      </c>
      <c r="Q56" s="175">
        <v>1.1811023622047244E-2</v>
      </c>
      <c r="R56" s="175">
        <v>0</v>
      </c>
      <c r="S56" s="175">
        <v>1.5748031496062992E-2</v>
      </c>
      <c r="T56" s="175">
        <v>1.5748031496062992E-2</v>
      </c>
      <c r="U56" s="176">
        <v>0.41732283464566911</v>
      </c>
      <c r="V56" s="176">
        <v>0.36220472440944862</v>
      </c>
      <c r="W56" s="174"/>
      <c r="X56" s="174" t="s">
        <v>795</v>
      </c>
      <c r="Y56" s="177" t="s">
        <v>560</v>
      </c>
      <c r="Z56" s="177" t="s">
        <v>560</v>
      </c>
      <c r="AA56" s="177" t="s">
        <v>560</v>
      </c>
      <c r="AB56" s="178" t="s">
        <v>239</v>
      </c>
      <c r="AC56" s="180" t="s">
        <v>566</v>
      </c>
      <c r="AD56" s="179" t="s">
        <v>769</v>
      </c>
      <c r="AE56" s="180" t="s">
        <v>558</v>
      </c>
      <c r="AF56" s="180" t="s">
        <v>566</v>
      </c>
      <c r="AG56" s="179">
        <v>44519</v>
      </c>
    </row>
    <row r="57" spans="1:33" ht="15.5" x14ac:dyDescent="0.35">
      <c r="A57" s="174" t="s">
        <v>768</v>
      </c>
      <c r="B57" s="174" t="s">
        <v>767</v>
      </c>
      <c r="C57" s="174" t="s">
        <v>766</v>
      </c>
      <c r="D57" s="174" t="s">
        <v>316</v>
      </c>
      <c r="E57" s="174">
        <v>42754</v>
      </c>
      <c r="F57" s="174" t="s">
        <v>30</v>
      </c>
      <c r="G57" s="174" t="s">
        <v>202</v>
      </c>
      <c r="H57" s="174" t="s">
        <v>142</v>
      </c>
      <c r="I57" s="175">
        <v>1.76515151515152</v>
      </c>
      <c r="J57" s="175">
        <v>0.1062992125984252</v>
      </c>
      <c r="K57" s="175">
        <v>0.12598425196850394</v>
      </c>
      <c r="L57" s="175">
        <v>0.34251968503936986</v>
      </c>
      <c r="M57" s="175">
        <v>0.3700787401574801</v>
      </c>
      <c r="N57" s="175">
        <v>0.7165354330708652</v>
      </c>
      <c r="O57" s="175">
        <v>0.19291338582677164</v>
      </c>
      <c r="P57" s="175">
        <v>1.968503937007874E-2</v>
      </c>
      <c r="Q57" s="175">
        <v>1.5748031496062992E-2</v>
      </c>
      <c r="R57" s="175">
        <v>7.0866141732283464E-2</v>
      </c>
      <c r="S57" s="175">
        <v>3.1496062992125984E-2</v>
      </c>
      <c r="T57" s="175">
        <v>1.1811023622047244E-2</v>
      </c>
      <c r="U57" s="176">
        <v>0.8307086614173218</v>
      </c>
      <c r="V57" s="176">
        <v>0.75590551181102272</v>
      </c>
      <c r="W57" s="174"/>
      <c r="X57" s="174" t="s">
        <v>388</v>
      </c>
      <c r="Y57" s="177" t="s">
        <v>560</v>
      </c>
      <c r="Z57" s="177" t="s">
        <v>560</v>
      </c>
      <c r="AA57" s="177" t="s">
        <v>560</v>
      </c>
      <c r="AB57" s="178" t="s">
        <v>239</v>
      </c>
      <c r="AC57" s="178" t="s">
        <v>249</v>
      </c>
      <c r="AD57" s="179" t="s">
        <v>765</v>
      </c>
      <c r="AE57" s="180" t="s">
        <v>239</v>
      </c>
      <c r="AF57" s="180" t="s">
        <v>249</v>
      </c>
      <c r="AG57" s="179">
        <v>42983</v>
      </c>
    </row>
    <row r="58" spans="1:33" ht="15.5" x14ac:dyDescent="0.35">
      <c r="A58" s="174" t="s">
        <v>41</v>
      </c>
      <c r="B58" s="174" t="s">
        <v>398</v>
      </c>
      <c r="C58" s="174" t="s">
        <v>399</v>
      </c>
      <c r="D58" s="174" t="s">
        <v>400</v>
      </c>
      <c r="E58" s="174">
        <v>939</v>
      </c>
      <c r="F58" s="174" t="s">
        <v>25</v>
      </c>
      <c r="G58" s="174" t="s">
        <v>378</v>
      </c>
      <c r="H58" s="174" t="s">
        <v>142</v>
      </c>
      <c r="I58" s="175">
        <v>7.35849056603774</v>
      </c>
      <c r="J58" s="175">
        <v>9.8425196850393692E-2</v>
      </c>
      <c r="K58" s="175">
        <v>1.0866141732283461</v>
      </c>
      <c r="L58" s="175">
        <v>2.4606299212598399</v>
      </c>
      <c r="M58" s="175">
        <v>1.0748031496062989</v>
      </c>
      <c r="N58" s="175">
        <v>3.94881889763779</v>
      </c>
      <c r="O58" s="175">
        <v>0.57480314960629919</v>
      </c>
      <c r="P58" s="175">
        <v>0.15354330708661418</v>
      </c>
      <c r="Q58" s="175">
        <v>4.3307086614173228E-2</v>
      </c>
      <c r="R58" s="175">
        <v>0.35039370078740151</v>
      </c>
      <c r="S58" s="175">
        <v>6.6929133858267709E-2</v>
      </c>
      <c r="T58" s="175">
        <v>1.1811023622047244E-2</v>
      </c>
      <c r="U58" s="176">
        <v>4.2913385826771595</v>
      </c>
      <c r="V58" s="176">
        <v>4.5354330708661355</v>
      </c>
      <c r="W58" s="174"/>
      <c r="X58" s="174" t="s">
        <v>795</v>
      </c>
      <c r="Y58" s="177" t="s">
        <v>560</v>
      </c>
      <c r="Z58" s="177" t="s">
        <v>560</v>
      </c>
      <c r="AA58" s="177" t="s">
        <v>560</v>
      </c>
      <c r="AB58" s="178" t="s">
        <v>162</v>
      </c>
      <c r="AC58" s="178" t="s">
        <v>162</v>
      </c>
      <c r="AD58" s="182" t="s">
        <v>162</v>
      </c>
      <c r="AE58" s="178" t="s">
        <v>162</v>
      </c>
      <c r="AF58" s="178" t="s">
        <v>162</v>
      </c>
      <c r="AG58" s="183" t="s">
        <v>162</v>
      </c>
    </row>
    <row r="59" spans="1:33" ht="15.5" x14ac:dyDescent="0.35">
      <c r="A59" s="174" t="s">
        <v>339</v>
      </c>
      <c r="B59" s="174" t="s">
        <v>340</v>
      </c>
      <c r="C59" s="174" t="s">
        <v>341</v>
      </c>
      <c r="D59" s="174" t="s">
        <v>342</v>
      </c>
      <c r="E59" s="174">
        <v>68801</v>
      </c>
      <c r="F59" s="174" t="s">
        <v>274</v>
      </c>
      <c r="G59" s="174" t="s">
        <v>161</v>
      </c>
      <c r="H59" s="174" t="s">
        <v>142</v>
      </c>
      <c r="I59" s="175">
        <v>40.479591836734699</v>
      </c>
      <c r="J59" s="175">
        <v>3.6968503937007871</v>
      </c>
      <c r="K59" s="175">
        <v>2.2795275590551181</v>
      </c>
      <c r="L59" s="175">
        <v>5.6141732283464547</v>
      </c>
      <c r="M59" s="175">
        <v>2.0393700787401574</v>
      </c>
      <c r="N59" s="175">
        <v>11.669291338582672</v>
      </c>
      <c r="O59" s="175">
        <v>1.3897637795275588</v>
      </c>
      <c r="P59" s="175">
        <v>0.53149606299212593</v>
      </c>
      <c r="Q59" s="175">
        <v>3.937007874015748E-2</v>
      </c>
      <c r="R59" s="175">
        <v>0.84645669291338577</v>
      </c>
      <c r="S59" s="175">
        <v>1.6771653543307088</v>
      </c>
      <c r="T59" s="175">
        <v>1.7598425196850394</v>
      </c>
      <c r="U59" s="176">
        <v>9.3464566929133834</v>
      </c>
      <c r="V59" s="176">
        <v>10.952755905511809</v>
      </c>
      <c r="W59" s="174"/>
      <c r="X59" s="174" t="s">
        <v>702</v>
      </c>
      <c r="Y59" s="177">
        <v>45043</v>
      </c>
      <c r="Z59" s="177" t="s">
        <v>558</v>
      </c>
      <c r="AA59" s="177" t="s">
        <v>240</v>
      </c>
      <c r="AB59" s="178" t="s">
        <v>558</v>
      </c>
      <c r="AC59" s="178" t="s">
        <v>249</v>
      </c>
      <c r="AD59" s="179" t="s">
        <v>613</v>
      </c>
      <c r="AE59" s="180" t="s">
        <v>558</v>
      </c>
      <c r="AF59" s="180"/>
      <c r="AG59" s="179">
        <v>44434</v>
      </c>
    </row>
    <row r="60" spans="1:33" ht="15.5" x14ac:dyDescent="0.35">
      <c r="A60" s="174" t="s">
        <v>628</v>
      </c>
      <c r="B60" s="174" t="s">
        <v>627</v>
      </c>
      <c r="C60" s="174" t="s">
        <v>626</v>
      </c>
      <c r="D60" s="174" t="s">
        <v>171</v>
      </c>
      <c r="E60" s="174">
        <v>39520</v>
      </c>
      <c r="F60" s="174" t="s">
        <v>160</v>
      </c>
      <c r="G60" s="174" t="s">
        <v>161</v>
      </c>
      <c r="H60" s="174" t="s">
        <v>142</v>
      </c>
      <c r="I60" s="175">
        <v>2.24232081911263</v>
      </c>
      <c r="J60" s="175">
        <v>2.2244094488188941</v>
      </c>
      <c r="K60" s="175">
        <v>1.5472440944881867</v>
      </c>
      <c r="L60" s="175">
        <v>1.3740157480314943</v>
      </c>
      <c r="M60" s="175">
        <v>0.40944881889763751</v>
      </c>
      <c r="N60" s="175">
        <v>1.9251968503936978</v>
      </c>
      <c r="O60" s="175">
        <v>3.3346456692913331</v>
      </c>
      <c r="P60" s="175">
        <v>5.1181102362204724E-2</v>
      </c>
      <c r="Q60" s="175">
        <v>0.24409448818897639</v>
      </c>
      <c r="R60" s="175">
        <v>3.1496062992125984E-2</v>
      </c>
      <c r="S60" s="175">
        <v>3.937007874015748E-3</v>
      </c>
      <c r="T60" s="175">
        <v>0</v>
      </c>
      <c r="U60" s="176">
        <v>5.5196850393700698</v>
      </c>
      <c r="V60" s="176">
        <v>3.5157480314960572</v>
      </c>
      <c r="W60" s="174"/>
      <c r="X60" s="174" t="s">
        <v>388</v>
      </c>
      <c r="Y60" s="177" t="s">
        <v>560</v>
      </c>
      <c r="Z60" s="177" t="s">
        <v>560</v>
      </c>
      <c r="AA60" s="177" t="s">
        <v>560</v>
      </c>
      <c r="AB60" s="178" t="s">
        <v>558</v>
      </c>
      <c r="AC60" s="178" t="s">
        <v>566</v>
      </c>
      <c r="AD60" s="179" t="s">
        <v>625</v>
      </c>
      <c r="AE60" s="178" t="s">
        <v>162</v>
      </c>
      <c r="AF60" s="178" t="s">
        <v>162</v>
      </c>
      <c r="AG60" s="182" t="s">
        <v>162</v>
      </c>
    </row>
    <row r="61" spans="1:33" ht="15.5" x14ac:dyDescent="0.35">
      <c r="A61" s="174" t="s">
        <v>293</v>
      </c>
      <c r="B61" s="174" t="s">
        <v>294</v>
      </c>
      <c r="C61" s="174" t="s">
        <v>40</v>
      </c>
      <c r="D61" s="174" t="s">
        <v>295</v>
      </c>
      <c r="E61" s="174">
        <v>89015</v>
      </c>
      <c r="F61" s="174" t="s">
        <v>296</v>
      </c>
      <c r="G61" s="174" t="s">
        <v>202</v>
      </c>
      <c r="H61" s="174" t="s">
        <v>142</v>
      </c>
      <c r="I61" s="175">
        <v>32.307692307692299</v>
      </c>
      <c r="J61" s="175">
        <v>9.0354330708661408</v>
      </c>
      <c r="K61" s="175">
        <v>15.586614173228368</v>
      </c>
      <c r="L61" s="175">
        <v>27.066929133858277</v>
      </c>
      <c r="M61" s="175">
        <v>18.708661417322844</v>
      </c>
      <c r="N61" s="175">
        <v>47.637795275590641</v>
      </c>
      <c r="O61" s="175">
        <v>11.582677165354339</v>
      </c>
      <c r="P61" s="175">
        <v>9.0708661417322887</v>
      </c>
      <c r="Q61" s="175">
        <v>2.106299212598425</v>
      </c>
      <c r="R61" s="175">
        <v>15.625984251968514</v>
      </c>
      <c r="S61" s="175">
        <v>11.685039370078748</v>
      </c>
      <c r="T61" s="175">
        <v>7.9803149606299169</v>
      </c>
      <c r="U61" s="176">
        <v>35.106299212598458</v>
      </c>
      <c r="V61" s="176">
        <v>59.133858267716604</v>
      </c>
      <c r="W61" s="174"/>
      <c r="X61" s="174" t="s">
        <v>702</v>
      </c>
      <c r="Y61" s="177">
        <v>45079</v>
      </c>
      <c r="Z61" s="177" t="s">
        <v>589</v>
      </c>
      <c r="AA61" s="177" t="s">
        <v>423</v>
      </c>
      <c r="AB61" s="178" t="s">
        <v>239</v>
      </c>
      <c r="AC61" s="178" t="s">
        <v>249</v>
      </c>
      <c r="AD61" s="179" t="s">
        <v>569</v>
      </c>
      <c r="AE61" s="180" t="s">
        <v>239</v>
      </c>
      <c r="AF61" s="180" t="s">
        <v>249</v>
      </c>
      <c r="AG61" s="179">
        <v>44399</v>
      </c>
    </row>
    <row r="62" spans="1:33" ht="15.5" x14ac:dyDescent="0.35">
      <c r="A62" s="174" t="s">
        <v>374</v>
      </c>
      <c r="B62" s="174" t="s">
        <v>375</v>
      </c>
      <c r="C62" s="174" t="s">
        <v>376</v>
      </c>
      <c r="D62" s="174" t="s">
        <v>377</v>
      </c>
      <c r="E62" s="174">
        <v>96819</v>
      </c>
      <c r="F62" s="174" t="s">
        <v>265</v>
      </c>
      <c r="G62" s="174" t="s">
        <v>378</v>
      </c>
      <c r="H62" s="174" t="s">
        <v>142</v>
      </c>
      <c r="I62" s="175">
        <v>20.802816901408502</v>
      </c>
      <c r="J62" s="175">
        <v>1.4566929133858266</v>
      </c>
      <c r="K62" s="175">
        <v>4.9881889763779519</v>
      </c>
      <c r="L62" s="175">
        <v>1.2874015748031495</v>
      </c>
      <c r="M62" s="175">
        <v>1.3818897637795275</v>
      </c>
      <c r="N62" s="175">
        <v>5.5866141732283445</v>
      </c>
      <c r="O62" s="175">
        <v>1.5944881889763776</v>
      </c>
      <c r="P62" s="175">
        <v>0.29133858267716534</v>
      </c>
      <c r="Q62" s="175">
        <v>1.6417322834645671</v>
      </c>
      <c r="R62" s="175">
        <v>4.2047244094488176</v>
      </c>
      <c r="S62" s="175">
        <v>1.094488188976378</v>
      </c>
      <c r="T62" s="175">
        <v>0.25590551181102361</v>
      </c>
      <c r="U62" s="176">
        <v>3.5590551181102352</v>
      </c>
      <c r="V62" s="176">
        <v>6.9055118110236196</v>
      </c>
      <c r="W62" s="174"/>
      <c r="X62" s="174" t="s">
        <v>162</v>
      </c>
      <c r="Y62" s="177" t="s">
        <v>560</v>
      </c>
      <c r="Z62" s="177" t="s">
        <v>560</v>
      </c>
      <c r="AA62" s="177" t="s">
        <v>560</v>
      </c>
      <c r="AB62" s="178" t="s">
        <v>162</v>
      </c>
      <c r="AC62" s="178" t="s">
        <v>162</v>
      </c>
      <c r="AD62" s="182" t="s">
        <v>162</v>
      </c>
      <c r="AE62" s="178" t="s">
        <v>162</v>
      </c>
      <c r="AF62" s="178" t="s">
        <v>162</v>
      </c>
      <c r="AG62" s="182" t="s">
        <v>162</v>
      </c>
    </row>
    <row r="63" spans="1:33" ht="15.5" x14ac:dyDescent="0.35">
      <c r="A63" s="174" t="s">
        <v>207</v>
      </c>
      <c r="B63" s="174" t="s">
        <v>208</v>
      </c>
      <c r="C63" s="174" t="s">
        <v>209</v>
      </c>
      <c r="D63" s="174" t="s">
        <v>152</v>
      </c>
      <c r="E63" s="174">
        <v>77032</v>
      </c>
      <c r="F63" s="174" t="s">
        <v>194</v>
      </c>
      <c r="G63" s="174" t="s">
        <v>154</v>
      </c>
      <c r="H63" s="174" t="s">
        <v>142</v>
      </c>
      <c r="I63" s="175">
        <v>30.8106684981685</v>
      </c>
      <c r="J63" s="175">
        <v>504.24015748029171</v>
      </c>
      <c r="K63" s="175">
        <v>7.2007874015747975</v>
      </c>
      <c r="L63" s="175">
        <v>0.7952755905511808</v>
      </c>
      <c r="M63" s="175">
        <v>3.1889763779527565</v>
      </c>
      <c r="N63" s="175">
        <v>1.9330708661417322</v>
      </c>
      <c r="O63" s="175">
        <v>405.30314960628658</v>
      </c>
      <c r="P63" s="175">
        <v>0.48425196850393659</v>
      </c>
      <c r="Q63" s="175">
        <v>107.7047244094499</v>
      </c>
      <c r="R63" s="175">
        <v>0.79921259842519687</v>
      </c>
      <c r="S63" s="175">
        <v>0.30708661417322836</v>
      </c>
      <c r="T63" s="175">
        <v>0</v>
      </c>
      <c r="U63" s="176">
        <v>514.31889763777144</v>
      </c>
      <c r="V63" s="176">
        <v>294.0708661417255</v>
      </c>
      <c r="W63" s="174">
        <v>750</v>
      </c>
      <c r="X63" s="174" t="s">
        <v>702</v>
      </c>
      <c r="Y63" s="177">
        <v>44991</v>
      </c>
      <c r="Z63" s="177" t="s">
        <v>561</v>
      </c>
      <c r="AA63" s="177" t="s">
        <v>240</v>
      </c>
      <c r="AB63" s="178" t="s">
        <v>561</v>
      </c>
      <c r="AC63" s="178" t="s">
        <v>144</v>
      </c>
      <c r="AD63" s="182" t="s">
        <v>624</v>
      </c>
      <c r="AE63" s="180" t="s">
        <v>561</v>
      </c>
      <c r="AF63" s="180" t="s">
        <v>144</v>
      </c>
      <c r="AG63" s="179">
        <v>44202</v>
      </c>
    </row>
    <row r="64" spans="1:33" ht="15.5" x14ac:dyDescent="0.35">
      <c r="A64" s="174" t="s">
        <v>255</v>
      </c>
      <c r="B64" s="174" t="s">
        <v>256</v>
      </c>
      <c r="C64" s="174" t="s">
        <v>257</v>
      </c>
      <c r="D64" s="174" t="s">
        <v>152</v>
      </c>
      <c r="E64" s="174">
        <v>77351</v>
      </c>
      <c r="F64" s="174" t="s">
        <v>194</v>
      </c>
      <c r="G64" s="174" t="s">
        <v>141</v>
      </c>
      <c r="H64" s="174" t="s">
        <v>4</v>
      </c>
      <c r="I64" s="175">
        <v>39.073116691285101</v>
      </c>
      <c r="J64" s="175">
        <v>540.43307086612788</v>
      </c>
      <c r="K64" s="175">
        <v>0.7834645669291338</v>
      </c>
      <c r="L64" s="175">
        <v>5.1181102362204724E-2</v>
      </c>
      <c r="M64" s="175">
        <v>0</v>
      </c>
      <c r="N64" s="175">
        <v>3.062992125984251</v>
      </c>
      <c r="O64" s="175">
        <v>537.23228346455335</v>
      </c>
      <c r="P64" s="175">
        <v>0</v>
      </c>
      <c r="Q64" s="175">
        <v>0.97244094488188981</v>
      </c>
      <c r="R64" s="175">
        <v>0.40944881889763785</v>
      </c>
      <c r="S64" s="175">
        <v>0</v>
      </c>
      <c r="T64" s="175">
        <v>1.5905511811023623</v>
      </c>
      <c r="U64" s="176">
        <v>539.26771653541937</v>
      </c>
      <c r="V64" s="176">
        <v>196.12992125984073</v>
      </c>
      <c r="W64" s="174">
        <v>350</v>
      </c>
      <c r="X64" s="174" t="s">
        <v>702</v>
      </c>
      <c r="Y64" s="177">
        <v>45042</v>
      </c>
      <c r="Z64" s="177" t="s">
        <v>558</v>
      </c>
      <c r="AA64" s="177" t="s">
        <v>240</v>
      </c>
      <c r="AB64" s="178" t="s">
        <v>558</v>
      </c>
      <c r="AC64" s="178" t="s">
        <v>249</v>
      </c>
      <c r="AD64" s="179" t="s">
        <v>624</v>
      </c>
      <c r="AE64" s="180" t="s">
        <v>558</v>
      </c>
      <c r="AF64" s="180" t="s">
        <v>249</v>
      </c>
      <c r="AG64" s="179">
        <v>44202</v>
      </c>
    </row>
    <row r="65" spans="1:33" ht="15.5" x14ac:dyDescent="0.35">
      <c r="A65" s="174" t="s">
        <v>223</v>
      </c>
      <c r="B65" s="174" t="s">
        <v>224</v>
      </c>
      <c r="C65" s="174" t="s">
        <v>225</v>
      </c>
      <c r="D65" s="174" t="s">
        <v>226</v>
      </c>
      <c r="E65" s="174">
        <v>23901</v>
      </c>
      <c r="F65" s="174" t="s">
        <v>227</v>
      </c>
      <c r="G65" s="174" t="s">
        <v>141</v>
      </c>
      <c r="H65" s="174" t="s">
        <v>4</v>
      </c>
      <c r="I65" s="175">
        <v>55.6666666666667</v>
      </c>
      <c r="J65" s="175">
        <v>5.4330708661417288</v>
      </c>
      <c r="K65" s="175">
        <v>2.9842519685039361</v>
      </c>
      <c r="L65" s="175">
        <v>10.71259842519685</v>
      </c>
      <c r="M65" s="175">
        <v>15.866141732283467</v>
      </c>
      <c r="N65" s="175">
        <v>27.370078740157489</v>
      </c>
      <c r="O65" s="175">
        <v>7.6259842519685002</v>
      </c>
      <c r="P65" s="175">
        <v>0</v>
      </c>
      <c r="Q65" s="175">
        <v>0</v>
      </c>
      <c r="R65" s="175">
        <v>13.889763779527561</v>
      </c>
      <c r="S65" s="175">
        <v>3.6653543307086611</v>
      </c>
      <c r="T65" s="175">
        <v>2.6220472440944875</v>
      </c>
      <c r="U65" s="176">
        <v>14.818897637795279</v>
      </c>
      <c r="V65" s="176">
        <v>23.724409448818907</v>
      </c>
      <c r="W65" s="174">
        <v>500</v>
      </c>
      <c r="X65" s="174" t="s">
        <v>795</v>
      </c>
      <c r="Y65" s="177" t="s">
        <v>560</v>
      </c>
      <c r="Z65" s="177" t="s">
        <v>560</v>
      </c>
      <c r="AA65" s="177" t="s">
        <v>560</v>
      </c>
      <c r="AB65" s="178" t="s">
        <v>561</v>
      </c>
      <c r="AC65" s="178" t="s">
        <v>144</v>
      </c>
      <c r="AD65" s="179" t="s">
        <v>575</v>
      </c>
      <c r="AE65" s="180" t="s">
        <v>561</v>
      </c>
      <c r="AF65" s="180" t="s">
        <v>144</v>
      </c>
      <c r="AG65" s="179">
        <v>44251</v>
      </c>
    </row>
    <row r="66" spans="1:33" ht="24.75" customHeight="1" x14ac:dyDescent="0.35">
      <c r="A66" s="174" t="s">
        <v>215</v>
      </c>
      <c r="B66" s="174" t="s">
        <v>216</v>
      </c>
      <c r="C66" s="174" t="s">
        <v>217</v>
      </c>
      <c r="D66" s="174" t="s">
        <v>139</v>
      </c>
      <c r="E66" s="174">
        <v>92231</v>
      </c>
      <c r="F66" s="174" t="s">
        <v>175</v>
      </c>
      <c r="G66" s="174" t="s">
        <v>154</v>
      </c>
      <c r="H66" s="174" t="s">
        <v>142</v>
      </c>
      <c r="I66" s="175">
        <v>45.553995319291197</v>
      </c>
      <c r="J66" s="175">
        <v>481.20472440943763</v>
      </c>
      <c r="K66" s="175">
        <v>8.9488188976377927</v>
      </c>
      <c r="L66" s="175">
        <v>10.362204724409448</v>
      </c>
      <c r="M66" s="175">
        <v>18.488188976377959</v>
      </c>
      <c r="N66" s="175">
        <v>54.295275590551228</v>
      </c>
      <c r="O66" s="175">
        <v>464.69291338581689</v>
      </c>
      <c r="P66" s="175">
        <v>7.874015748031496E-3</v>
      </c>
      <c r="Q66" s="175">
        <v>7.874015748031496E-3</v>
      </c>
      <c r="R66" s="175">
        <v>28.811023622047255</v>
      </c>
      <c r="S66" s="175">
        <v>7.4094488188976353</v>
      </c>
      <c r="T66" s="175">
        <v>5.547244094488188</v>
      </c>
      <c r="U66" s="176">
        <v>477.23622047242998</v>
      </c>
      <c r="V66" s="176">
        <v>282.96062992125729</v>
      </c>
      <c r="W66" s="174">
        <v>640</v>
      </c>
      <c r="X66" s="174" t="s">
        <v>702</v>
      </c>
      <c r="Y66" s="177">
        <v>45002</v>
      </c>
      <c r="Z66" s="177" t="s">
        <v>561</v>
      </c>
      <c r="AA66" s="177" t="s">
        <v>240</v>
      </c>
      <c r="AB66" s="178" t="s">
        <v>561</v>
      </c>
      <c r="AC66" s="178" t="s">
        <v>144</v>
      </c>
      <c r="AD66" s="179" t="s">
        <v>590</v>
      </c>
      <c r="AE66" s="180" t="s">
        <v>561</v>
      </c>
      <c r="AF66" s="180" t="s">
        <v>144</v>
      </c>
      <c r="AG66" s="179">
        <v>44209</v>
      </c>
    </row>
    <row r="67" spans="1:33" ht="15.75" customHeight="1" x14ac:dyDescent="0.35">
      <c r="A67" s="174" t="s">
        <v>17</v>
      </c>
      <c r="B67" s="174" t="s">
        <v>198</v>
      </c>
      <c r="C67" s="174" t="s">
        <v>199</v>
      </c>
      <c r="D67" s="174" t="s">
        <v>159</v>
      </c>
      <c r="E67" s="174">
        <v>71251</v>
      </c>
      <c r="F67" s="174" t="s">
        <v>160</v>
      </c>
      <c r="G67" s="174" t="s">
        <v>141</v>
      </c>
      <c r="H67" s="174" t="s">
        <v>142</v>
      </c>
      <c r="I67" s="175">
        <v>38.201263341320001</v>
      </c>
      <c r="J67" s="175">
        <v>548.98425196848063</v>
      </c>
      <c r="K67" s="175">
        <v>4.7362204724409427</v>
      </c>
      <c r="L67" s="175">
        <v>1.2677165354330708</v>
      </c>
      <c r="M67" s="175">
        <v>1.968503937007874E-2</v>
      </c>
      <c r="N67" s="175">
        <v>9.2283464566929148</v>
      </c>
      <c r="O67" s="175">
        <v>545.45669291336276</v>
      </c>
      <c r="P67" s="175">
        <v>0</v>
      </c>
      <c r="Q67" s="175">
        <v>0.32283464566929138</v>
      </c>
      <c r="R67" s="175">
        <v>0.67322834645669283</v>
      </c>
      <c r="S67" s="175">
        <v>0.78346456692913391</v>
      </c>
      <c r="T67" s="175">
        <v>2.8582677165354329</v>
      </c>
      <c r="U67" s="176">
        <v>550.69291338580342</v>
      </c>
      <c r="V67" s="176">
        <v>316.92125984250748</v>
      </c>
      <c r="W67" s="174">
        <v>500</v>
      </c>
      <c r="X67" s="174" t="s">
        <v>702</v>
      </c>
      <c r="Y67" s="177">
        <v>44957</v>
      </c>
      <c r="Z67" s="177" t="s">
        <v>561</v>
      </c>
      <c r="AA67" s="177" t="s">
        <v>240</v>
      </c>
      <c r="AB67" s="178" t="s">
        <v>561</v>
      </c>
      <c r="AC67" s="181" t="s">
        <v>144</v>
      </c>
      <c r="AD67" s="179" t="s">
        <v>623</v>
      </c>
      <c r="AE67" s="180" t="s">
        <v>561</v>
      </c>
      <c r="AF67" s="180" t="s">
        <v>144</v>
      </c>
      <c r="AG67" s="179">
        <v>44155</v>
      </c>
    </row>
    <row r="68" spans="1:33" ht="15.5" x14ac:dyDescent="0.35">
      <c r="A68" s="174" t="s">
        <v>36</v>
      </c>
      <c r="B68" s="174" t="s">
        <v>421</v>
      </c>
      <c r="C68" s="174" t="s">
        <v>422</v>
      </c>
      <c r="D68" s="174" t="s">
        <v>420</v>
      </c>
      <c r="E68" s="174">
        <v>83442</v>
      </c>
      <c r="F68" s="174" t="s">
        <v>296</v>
      </c>
      <c r="G68" s="174" t="s">
        <v>161</v>
      </c>
      <c r="H68" s="174" t="s">
        <v>142</v>
      </c>
      <c r="I68" s="175">
        <v>4.4234234234234204</v>
      </c>
      <c r="J68" s="175">
        <v>0.35826771653543293</v>
      </c>
      <c r="K68" s="175">
        <v>0.36220472440944879</v>
      </c>
      <c r="L68" s="175">
        <v>0.93307086614173163</v>
      </c>
      <c r="M68" s="175">
        <v>0.2834645669291338</v>
      </c>
      <c r="N68" s="175">
        <v>1.4881889763779512</v>
      </c>
      <c r="O68" s="175">
        <v>0.44094488188976366</v>
      </c>
      <c r="P68" s="175">
        <v>0</v>
      </c>
      <c r="Q68" s="175">
        <v>7.874015748031496E-3</v>
      </c>
      <c r="R68" s="175">
        <v>5.1181102362204724E-2</v>
      </c>
      <c r="S68" s="175">
        <v>3.937007874015748E-3</v>
      </c>
      <c r="T68" s="175">
        <v>3.5433070866141732E-2</v>
      </c>
      <c r="U68" s="176">
        <v>1.8464566929133839</v>
      </c>
      <c r="V68" s="176">
        <v>1.4094488188976366</v>
      </c>
      <c r="W68" s="174"/>
      <c r="X68" s="174" t="s">
        <v>795</v>
      </c>
      <c r="Y68" s="177" t="s">
        <v>560</v>
      </c>
      <c r="Z68" s="177" t="s">
        <v>560</v>
      </c>
      <c r="AA68" s="177" t="s">
        <v>560</v>
      </c>
      <c r="AB68" s="178" t="s">
        <v>558</v>
      </c>
      <c r="AC68" s="180" t="s">
        <v>566</v>
      </c>
      <c r="AD68" s="179" t="s">
        <v>622</v>
      </c>
      <c r="AE68" s="180" t="s">
        <v>558</v>
      </c>
      <c r="AF68" s="180" t="s">
        <v>566</v>
      </c>
      <c r="AG68" s="179">
        <v>44515</v>
      </c>
    </row>
    <row r="69" spans="1:33" ht="15.5" x14ac:dyDescent="0.35">
      <c r="A69" s="174" t="s">
        <v>621</v>
      </c>
      <c r="B69" s="174" t="s">
        <v>620</v>
      </c>
      <c r="C69" s="174" t="s">
        <v>193</v>
      </c>
      <c r="D69" s="174" t="s">
        <v>152</v>
      </c>
      <c r="E69" s="174">
        <v>77301</v>
      </c>
      <c r="F69" s="174" t="s">
        <v>194</v>
      </c>
      <c r="G69" s="174" t="s">
        <v>161</v>
      </c>
      <c r="H69" s="174" t="s">
        <v>142</v>
      </c>
      <c r="I69" s="175">
        <v>32.466251944012399</v>
      </c>
      <c r="J69" s="175">
        <v>399.65354330707908</v>
      </c>
      <c r="K69" s="175">
        <v>43.854330708661521</v>
      </c>
      <c r="L69" s="175">
        <v>15.937007874015784</v>
      </c>
      <c r="M69" s="175">
        <v>13.921259842519698</v>
      </c>
      <c r="N69" s="175">
        <v>55.330708661417297</v>
      </c>
      <c r="O69" s="175">
        <v>417.93700787400809</v>
      </c>
      <c r="P69" s="175">
        <v>0</v>
      </c>
      <c r="Q69" s="175">
        <v>9.8425196850393706E-2</v>
      </c>
      <c r="R69" s="175">
        <v>22.377952755905554</v>
      </c>
      <c r="S69" s="175">
        <v>12.818897637795295</v>
      </c>
      <c r="T69" s="175">
        <v>15.606299212598444</v>
      </c>
      <c r="U69" s="176">
        <v>422.56299212597577</v>
      </c>
      <c r="V69" s="176">
        <v>322.29527559054554</v>
      </c>
      <c r="W69" s="174"/>
      <c r="X69" s="174" t="s">
        <v>702</v>
      </c>
      <c r="Y69" s="177">
        <v>44978</v>
      </c>
      <c r="Z69" s="177" t="s">
        <v>558</v>
      </c>
      <c r="AA69" s="177" t="s">
        <v>240</v>
      </c>
      <c r="AB69" s="178" t="s">
        <v>558</v>
      </c>
      <c r="AC69" s="178" t="s">
        <v>249</v>
      </c>
      <c r="AD69" s="179" t="s">
        <v>579</v>
      </c>
      <c r="AE69" s="180" t="s">
        <v>558</v>
      </c>
      <c r="AF69" s="180" t="s">
        <v>249</v>
      </c>
      <c r="AG69" s="179">
        <v>44183</v>
      </c>
    </row>
    <row r="70" spans="1:33" ht="15.5" x14ac:dyDescent="0.35">
      <c r="A70" s="174" t="s">
        <v>359</v>
      </c>
      <c r="B70" s="174" t="s">
        <v>360</v>
      </c>
      <c r="C70" s="174" t="s">
        <v>361</v>
      </c>
      <c r="D70" s="174" t="s">
        <v>273</v>
      </c>
      <c r="E70" s="174">
        <v>56201</v>
      </c>
      <c r="F70" s="174" t="s">
        <v>274</v>
      </c>
      <c r="G70" s="174" t="s">
        <v>161</v>
      </c>
      <c r="H70" s="174" t="s">
        <v>142</v>
      </c>
      <c r="I70" s="175">
        <v>48.383027522935798</v>
      </c>
      <c r="J70" s="175">
        <v>5.125984251968501</v>
      </c>
      <c r="K70" s="175">
        <v>11.066929133858268</v>
      </c>
      <c r="L70" s="175">
        <v>53.448818897637857</v>
      </c>
      <c r="M70" s="175">
        <v>12.535433070866139</v>
      </c>
      <c r="N70" s="175">
        <v>46.13385826771659</v>
      </c>
      <c r="O70" s="175">
        <v>23.795275590551196</v>
      </c>
      <c r="P70" s="175">
        <v>9.6929133858267722</v>
      </c>
      <c r="Q70" s="175">
        <v>2.5551181102362204</v>
      </c>
      <c r="R70" s="175">
        <v>21.36614173228347</v>
      </c>
      <c r="S70" s="175">
        <v>5.3661417322834639</v>
      </c>
      <c r="T70" s="175">
        <v>3.4448818897637787</v>
      </c>
      <c r="U70" s="176">
        <v>52.000000000000071</v>
      </c>
      <c r="V70" s="176">
        <v>71.661417322834808</v>
      </c>
      <c r="W70" s="174"/>
      <c r="X70" s="174" t="s">
        <v>702</v>
      </c>
      <c r="Y70" s="177">
        <v>45057</v>
      </c>
      <c r="Z70" s="177" t="s">
        <v>558</v>
      </c>
      <c r="AA70" s="177" t="s">
        <v>423</v>
      </c>
      <c r="AB70" s="178" t="s">
        <v>239</v>
      </c>
      <c r="AC70" s="178" t="s">
        <v>240</v>
      </c>
      <c r="AD70" s="179" t="s">
        <v>584</v>
      </c>
      <c r="AE70" s="180" t="s">
        <v>239</v>
      </c>
      <c r="AF70" s="180"/>
      <c r="AG70" s="179">
        <v>44378</v>
      </c>
    </row>
    <row r="71" spans="1:33" ht="15.5" x14ac:dyDescent="0.35">
      <c r="A71" s="174" t="s">
        <v>687</v>
      </c>
      <c r="B71" s="174" t="s">
        <v>619</v>
      </c>
      <c r="C71" s="174" t="s">
        <v>302</v>
      </c>
      <c r="D71" s="174" t="s">
        <v>152</v>
      </c>
      <c r="E71" s="174">
        <v>78118</v>
      </c>
      <c r="F71" s="174" t="s">
        <v>153</v>
      </c>
      <c r="G71" s="174" t="s">
        <v>141</v>
      </c>
      <c r="H71" s="174" t="s">
        <v>142</v>
      </c>
      <c r="I71" s="175">
        <v>27.811928977762499</v>
      </c>
      <c r="J71" s="175">
        <v>659.16141732279561</v>
      </c>
      <c r="K71" s="175">
        <v>9.2716535433070923</v>
      </c>
      <c r="L71" s="175">
        <v>1.2401574803149609</v>
      </c>
      <c r="M71" s="175">
        <v>2.3622047244094488E-2</v>
      </c>
      <c r="N71" s="175">
        <v>8.578740157480313</v>
      </c>
      <c r="O71" s="175">
        <v>660.98425196846426</v>
      </c>
      <c r="P71" s="175">
        <v>0</v>
      </c>
      <c r="Q71" s="175">
        <v>0.13385826771653545</v>
      </c>
      <c r="R71" s="175">
        <v>7.0866141732283464E-2</v>
      </c>
      <c r="S71" s="175">
        <v>1.1535433070866141</v>
      </c>
      <c r="T71" s="175">
        <v>6.9448818897637752</v>
      </c>
      <c r="U71" s="176">
        <v>661.52755905507854</v>
      </c>
      <c r="V71" s="176">
        <v>224.82283464567024</v>
      </c>
      <c r="W71" s="174">
        <v>830</v>
      </c>
      <c r="X71" s="174" t="s">
        <v>702</v>
      </c>
      <c r="Y71" s="177">
        <v>45055</v>
      </c>
      <c r="Z71" s="177" t="s">
        <v>561</v>
      </c>
      <c r="AA71" s="177" t="s">
        <v>240</v>
      </c>
      <c r="AB71" s="178" t="s">
        <v>576</v>
      </c>
      <c r="AC71" s="180" t="s">
        <v>566</v>
      </c>
      <c r="AD71" s="179" t="s">
        <v>618</v>
      </c>
      <c r="AE71" s="180" t="s">
        <v>731</v>
      </c>
      <c r="AF71" s="180" t="s">
        <v>566</v>
      </c>
      <c r="AG71" s="179">
        <v>44679</v>
      </c>
    </row>
    <row r="72" spans="1:33" ht="15.5" x14ac:dyDescent="0.35">
      <c r="A72" s="174" t="s">
        <v>330</v>
      </c>
      <c r="B72" s="174" t="s">
        <v>331</v>
      </c>
      <c r="C72" s="174" t="s">
        <v>332</v>
      </c>
      <c r="D72" s="174" t="s">
        <v>292</v>
      </c>
      <c r="E72" s="174">
        <v>74647</v>
      </c>
      <c r="F72" s="174" t="s">
        <v>30</v>
      </c>
      <c r="G72" s="174" t="s">
        <v>161</v>
      </c>
      <c r="H72" s="174" t="s">
        <v>142</v>
      </c>
      <c r="I72" s="175">
        <v>38.317848410757897</v>
      </c>
      <c r="J72" s="175">
        <v>26.433070866141776</v>
      </c>
      <c r="K72" s="175">
        <v>8.7598425196850371</v>
      </c>
      <c r="L72" s="175">
        <v>19.07086614173231</v>
      </c>
      <c r="M72" s="175">
        <v>8.4133858267716519</v>
      </c>
      <c r="N72" s="175">
        <v>31.515748031496116</v>
      </c>
      <c r="O72" s="175">
        <v>31.161417322834684</v>
      </c>
      <c r="P72" s="175">
        <v>0</v>
      </c>
      <c r="Q72" s="175">
        <v>0</v>
      </c>
      <c r="R72" s="175">
        <v>9.9606299212598444</v>
      </c>
      <c r="S72" s="175">
        <v>4.366141732283463</v>
      </c>
      <c r="T72" s="175">
        <v>5.0866141732283436</v>
      </c>
      <c r="U72" s="176">
        <v>43.26377952755913</v>
      </c>
      <c r="V72" s="176">
        <v>53.610236220472558</v>
      </c>
      <c r="W72" s="174"/>
      <c r="X72" s="174" t="s">
        <v>702</v>
      </c>
      <c r="Y72" s="177">
        <v>45043</v>
      </c>
      <c r="Z72" s="177" t="s">
        <v>561</v>
      </c>
      <c r="AA72" s="177" t="s">
        <v>249</v>
      </c>
      <c r="AB72" s="178" t="s">
        <v>561</v>
      </c>
      <c r="AC72" s="180" t="s">
        <v>566</v>
      </c>
      <c r="AD72" s="179" t="s">
        <v>617</v>
      </c>
      <c r="AE72" s="180" t="s">
        <v>561</v>
      </c>
      <c r="AF72" s="180" t="s">
        <v>144</v>
      </c>
      <c r="AG72" s="179">
        <v>44510</v>
      </c>
    </row>
    <row r="73" spans="1:33" ht="15.5" x14ac:dyDescent="0.35">
      <c r="A73" s="174" t="s">
        <v>764</v>
      </c>
      <c r="B73" s="174" t="s">
        <v>763</v>
      </c>
      <c r="C73" s="174" t="s">
        <v>762</v>
      </c>
      <c r="D73" s="174" t="s">
        <v>761</v>
      </c>
      <c r="E73" s="174">
        <v>37918</v>
      </c>
      <c r="F73" s="174" t="s">
        <v>160</v>
      </c>
      <c r="G73" s="174" t="s">
        <v>202</v>
      </c>
      <c r="H73" s="174" t="s">
        <v>142</v>
      </c>
      <c r="I73" s="175">
        <v>1.96946564885496</v>
      </c>
      <c r="J73" s="175">
        <v>0.29527559055118097</v>
      </c>
      <c r="K73" s="175">
        <v>0.62204724409448753</v>
      </c>
      <c r="L73" s="175">
        <v>0.70078740157480224</v>
      </c>
      <c r="M73" s="175">
        <v>0.42913385826771616</v>
      </c>
      <c r="N73" s="175">
        <v>1.5590551181102343</v>
      </c>
      <c r="O73" s="175">
        <v>0.45275590551181066</v>
      </c>
      <c r="P73" s="175">
        <v>3.937007874015748E-3</v>
      </c>
      <c r="Q73" s="175">
        <v>3.1496062992125984E-2</v>
      </c>
      <c r="R73" s="175">
        <v>2.3622047244094488E-2</v>
      </c>
      <c r="S73" s="175">
        <v>1.1811023622047244E-2</v>
      </c>
      <c r="T73" s="175">
        <v>1.1811023622047244E-2</v>
      </c>
      <c r="U73" s="176">
        <v>1.9999999999999969</v>
      </c>
      <c r="V73" s="176">
        <v>1.7440944881889737</v>
      </c>
      <c r="W73" s="174"/>
      <c r="X73" s="174" t="s">
        <v>388</v>
      </c>
      <c r="Y73" s="177" t="s">
        <v>560</v>
      </c>
      <c r="Z73" s="177" t="s">
        <v>560</v>
      </c>
      <c r="AA73" s="177" t="s">
        <v>560</v>
      </c>
      <c r="AB73" s="178" t="s">
        <v>558</v>
      </c>
      <c r="AC73" s="180" t="s">
        <v>566</v>
      </c>
      <c r="AD73" s="179" t="s">
        <v>760</v>
      </c>
      <c r="AE73" s="180" t="s">
        <v>558</v>
      </c>
      <c r="AF73" s="180" t="s">
        <v>566</v>
      </c>
      <c r="AG73" s="179">
        <v>44537</v>
      </c>
    </row>
    <row r="74" spans="1:33" ht="15.5" x14ac:dyDescent="0.35">
      <c r="A74" s="174" t="s">
        <v>228</v>
      </c>
      <c r="B74" s="174" t="s">
        <v>229</v>
      </c>
      <c r="C74" s="174" t="s">
        <v>230</v>
      </c>
      <c r="D74" s="174" t="s">
        <v>231</v>
      </c>
      <c r="E74" s="174">
        <v>33194</v>
      </c>
      <c r="F74" s="174" t="s">
        <v>25</v>
      </c>
      <c r="G74" s="174" t="s">
        <v>185</v>
      </c>
      <c r="H74" s="174" t="s">
        <v>4</v>
      </c>
      <c r="I74" s="175">
        <v>43.602744807121702</v>
      </c>
      <c r="J74" s="175">
        <v>22.314960629921313</v>
      </c>
      <c r="K74" s="175">
        <v>1.830708661417322</v>
      </c>
      <c r="L74" s="175">
        <v>201.79527559055092</v>
      </c>
      <c r="M74" s="175">
        <v>259.35039370078664</v>
      </c>
      <c r="N74" s="175">
        <v>341.68897637795089</v>
      </c>
      <c r="O74" s="175">
        <v>143.09448818897607</v>
      </c>
      <c r="P74" s="175">
        <v>0.42913385826771655</v>
      </c>
      <c r="Q74" s="175">
        <v>7.874015748031496E-2</v>
      </c>
      <c r="R74" s="175">
        <v>113.48031496062987</v>
      </c>
      <c r="S74" s="175">
        <v>21.98031496062994</v>
      </c>
      <c r="T74" s="175">
        <v>19.24015748031497</v>
      </c>
      <c r="U74" s="176">
        <v>330.59055118110058</v>
      </c>
      <c r="V74" s="176">
        <v>378.81496062991954</v>
      </c>
      <c r="W74" s="174">
        <v>450</v>
      </c>
      <c r="X74" s="174" t="s">
        <v>702</v>
      </c>
      <c r="Y74" s="177">
        <v>45064</v>
      </c>
      <c r="Z74" s="177" t="s">
        <v>561</v>
      </c>
      <c r="AA74" s="177" t="s">
        <v>240</v>
      </c>
      <c r="AB74" s="178" t="s">
        <v>561</v>
      </c>
      <c r="AC74" s="181" t="s">
        <v>144</v>
      </c>
      <c r="AD74" s="179" t="s">
        <v>616</v>
      </c>
      <c r="AE74" s="180" t="s">
        <v>561</v>
      </c>
      <c r="AF74" s="180" t="s">
        <v>144</v>
      </c>
      <c r="AG74" s="179">
        <v>44419</v>
      </c>
    </row>
    <row r="75" spans="1:33" ht="15.5" x14ac:dyDescent="0.35">
      <c r="A75" s="174" t="s">
        <v>14</v>
      </c>
      <c r="B75" s="174" t="s">
        <v>289</v>
      </c>
      <c r="C75" s="174" t="s">
        <v>251</v>
      </c>
      <c r="D75" s="174" t="s">
        <v>152</v>
      </c>
      <c r="E75" s="174">
        <v>78041</v>
      </c>
      <c r="F75" s="174" t="s">
        <v>564</v>
      </c>
      <c r="G75" s="174" t="s">
        <v>141</v>
      </c>
      <c r="H75" s="174" t="s">
        <v>142</v>
      </c>
      <c r="I75" s="175">
        <v>31.8318276580959</v>
      </c>
      <c r="J75" s="175">
        <v>149.88976377952713</v>
      </c>
      <c r="K75" s="175">
        <v>5.9724409448818889</v>
      </c>
      <c r="L75" s="175">
        <v>10.484251968503942</v>
      </c>
      <c r="M75" s="175">
        <v>30.070866141732321</v>
      </c>
      <c r="N75" s="175">
        <v>9.228346456692929</v>
      </c>
      <c r="O75" s="175">
        <v>71.137795275590804</v>
      </c>
      <c r="P75" s="175">
        <v>14.645669291338589</v>
      </c>
      <c r="Q75" s="175">
        <v>101.40551181102379</v>
      </c>
      <c r="R75" s="175">
        <v>9.8031496062992307</v>
      </c>
      <c r="S75" s="175">
        <v>4.7874015748031482</v>
      </c>
      <c r="T75" s="175">
        <v>4.5708661417322825</v>
      </c>
      <c r="U75" s="176">
        <v>177.25590551181116</v>
      </c>
      <c r="V75" s="176">
        <v>97.999999999999815</v>
      </c>
      <c r="W75" s="174"/>
      <c r="X75" s="174" t="s">
        <v>702</v>
      </c>
      <c r="Y75" s="177">
        <v>45064</v>
      </c>
      <c r="Z75" s="177" t="s">
        <v>558</v>
      </c>
      <c r="AA75" s="177" t="s">
        <v>240</v>
      </c>
      <c r="AB75" s="178" t="s">
        <v>558</v>
      </c>
      <c r="AC75" s="178" t="s">
        <v>249</v>
      </c>
      <c r="AD75" s="179" t="s">
        <v>615</v>
      </c>
      <c r="AE75" s="180" t="s">
        <v>558</v>
      </c>
      <c r="AF75" s="180" t="s">
        <v>249</v>
      </c>
      <c r="AG75" s="179">
        <v>44343</v>
      </c>
    </row>
    <row r="76" spans="1:33" ht="15.5" x14ac:dyDescent="0.35">
      <c r="A76" s="174" t="s">
        <v>692</v>
      </c>
      <c r="B76" s="174" t="s">
        <v>693</v>
      </c>
      <c r="C76" s="174" t="s">
        <v>694</v>
      </c>
      <c r="D76" s="174" t="s">
        <v>152</v>
      </c>
      <c r="E76" s="174">
        <v>76642</v>
      </c>
      <c r="F76" s="174" t="s">
        <v>194</v>
      </c>
      <c r="G76" s="174" t="s">
        <v>202</v>
      </c>
      <c r="H76" s="174" t="s">
        <v>4</v>
      </c>
      <c r="I76" s="175">
        <v>12.085106382978701</v>
      </c>
      <c r="J76" s="175">
        <v>6.2598425196850354</v>
      </c>
      <c r="K76" s="175">
        <v>2.5275590551181097</v>
      </c>
      <c r="L76" s="175">
        <v>0.7165354330708662</v>
      </c>
      <c r="M76" s="175">
        <v>0.66929133858267709</v>
      </c>
      <c r="N76" s="175">
        <v>2.8897637795275579</v>
      </c>
      <c r="O76" s="175">
        <v>7.2834645669291289</v>
      </c>
      <c r="P76" s="175">
        <v>0</v>
      </c>
      <c r="Q76" s="175">
        <v>0</v>
      </c>
      <c r="R76" s="175">
        <v>0.62992125984251979</v>
      </c>
      <c r="S76" s="175">
        <v>0.44488188976377951</v>
      </c>
      <c r="T76" s="175">
        <v>0.34645669291338582</v>
      </c>
      <c r="U76" s="176">
        <v>8.7519685039370003</v>
      </c>
      <c r="V76" s="176">
        <v>10.098425196850396</v>
      </c>
      <c r="W76" s="174"/>
      <c r="X76" s="174" t="s">
        <v>702</v>
      </c>
      <c r="Y76" s="177">
        <v>44973</v>
      </c>
      <c r="Z76" s="177" t="s">
        <v>558</v>
      </c>
      <c r="AA76" s="177" t="s">
        <v>240</v>
      </c>
      <c r="AB76" s="178" t="s">
        <v>239</v>
      </c>
      <c r="AC76" s="178" t="s">
        <v>249</v>
      </c>
      <c r="AD76" s="179" t="s">
        <v>643</v>
      </c>
      <c r="AE76" s="180" t="s">
        <v>239</v>
      </c>
      <c r="AF76" s="180" t="s">
        <v>249</v>
      </c>
      <c r="AG76" s="179">
        <v>44105</v>
      </c>
    </row>
    <row r="77" spans="1:33" ht="15.5" x14ac:dyDescent="0.35">
      <c r="A77" s="174" t="s">
        <v>759</v>
      </c>
      <c r="B77" s="174" t="s">
        <v>758</v>
      </c>
      <c r="C77" s="174" t="s">
        <v>757</v>
      </c>
      <c r="D77" s="174" t="s">
        <v>756</v>
      </c>
      <c r="E77" s="174">
        <v>63379</v>
      </c>
      <c r="F77" s="174" t="s">
        <v>30</v>
      </c>
      <c r="G77" s="174" t="s">
        <v>161</v>
      </c>
      <c r="H77" s="174" t="s">
        <v>142</v>
      </c>
      <c r="I77" s="175">
        <v>1.8412698412698401</v>
      </c>
      <c r="J77" s="175">
        <v>8.6614173228346469E-2</v>
      </c>
      <c r="K77" s="175">
        <v>7.874015748031496E-2</v>
      </c>
      <c r="L77" s="175">
        <v>0.31496062992125967</v>
      </c>
      <c r="M77" s="175">
        <v>7.874015748031496E-3</v>
      </c>
      <c r="N77" s="175">
        <v>0.33858267716535417</v>
      </c>
      <c r="O77" s="175">
        <v>0.11811023622047245</v>
      </c>
      <c r="P77" s="175">
        <v>1.5748031496062992E-2</v>
      </c>
      <c r="Q77" s="175">
        <v>1.5748031496062992E-2</v>
      </c>
      <c r="R77" s="175">
        <v>3.937007874015748E-3</v>
      </c>
      <c r="S77" s="175">
        <v>1.5748031496062992E-2</v>
      </c>
      <c r="T77" s="175">
        <v>1.5748031496062992E-2</v>
      </c>
      <c r="U77" s="176">
        <v>0.45275590551181055</v>
      </c>
      <c r="V77" s="176">
        <v>0.43307086614173196</v>
      </c>
      <c r="W77" s="174"/>
      <c r="X77" s="174" t="s">
        <v>388</v>
      </c>
      <c r="Y77" s="177" t="s">
        <v>560</v>
      </c>
      <c r="Z77" s="177" t="s">
        <v>560</v>
      </c>
      <c r="AA77" s="177" t="s">
        <v>560</v>
      </c>
      <c r="AB77" s="178" t="s">
        <v>558</v>
      </c>
      <c r="AC77" s="180" t="s">
        <v>566</v>
      </c>
      <c r="AD77" s="179" t="s">
        <v>755</v>
      </c>
      <c r="AE77" s="180" t="s">
        <v>239</v>
      </c>
      <c r="AF77" s="180" t="s">
        <v>249</v>
      </c>
      <c r="AG77" s="179">
        <v>43362</v>
      </c>
    </row>
    <row r="78" spans="1:33" ht="15.5" x14ac:dyDescent="0.35">
      <c r="A78" s="174" t="s">
        <v>412</v>
      </c>
      <c r="B78" s="174" t="s">
        <v>413</v>
      </c>
      <c r="C78" s="174" t="s">
        <v>414</v>
      </c>
      <c r="D78" s="174" t="s">
        <v>350</v>
      </c>
      <c r="E78" s="174">
        <v>52401</v>
      </c>
      <c r="F78" s="174" t="s">
        <v>274</v>
      </c>
      <c r="G78" s="174" t="s">
        <v>202</v>
      </c>
      <c r="H78" s="174" t="s">
        <v>142</v>
      </c>
      <c r="I78" s="175">
        <v>35.450000000000003</v>
      </c>
      <c r="J78" s="175">
        <v>1.2440944881889762</v>
      </c>
      <c r="K78" s="175">
        <v>5.3897637795275557</v>
      </c>
      <c r="L78" s="175">
        <v>3.9173228346456686</v>
      </c>
      <c r="M78" s="175">
        <v>3.3070866141732282</v>
      </c>
      <c r="N78" s="175">
        <v>11.574803149606298</v>
      </c>
      <c r="O78" s="175">
        <v>1.8779527559055116</v>
      </c>
      <c r="P78" s="175">
        <v>0.40551181102362199</v>
      </c>
      <c r="Q78" s="175">
        <v>0</v>
      </c>
      <c r="R78" s="175">
        <v>4.0314960629921259</v>
      </c>
      <c r="S78" s="175">
        <v>0.46456692913385833</v>
      </c>
      <c r="T78" s="175">
        <v>0.46062992125984253</v>
      </c>
      <c r="U78" s="176">
        <v>8.9015748031496038</v>
      </c>
      <c r="V78" s="176">
        <v>12.980314960629924</v>
      </c>
      <c r="W78" s="174"/>
      <c r="X78" s="174" t="s">
        <v>388</v>
      </c>
      <c r="Y78" s="177" t="s">
        <v>560</v>
      </c>
      <c r="Z78" s="177" t="s">
        <v>560</v>
      </c>
      <c r="AA78" s="177" t="s">
        <v>560</v>
      </c>
      <c r="AB78" s="178" t="s">
        <v>558</v>
      </c>
      <c r="AC78" s="178" t="s">
        <v>566</v>
      </c>
      <c r="AD78" s="179" t="s">
        <v>614</v>
      </c>
      <c r="AE78" s="180" t="s">
        <v>239</v>
      </c>
      <c r="AF78" s="180" t="s">
        <v>249</v>
      </c>
      <c r="AG78" s="179">
        <v>43636</v>
      </c>
    </row>
    <row r="79" spans="1:33" ht="15.5" x14ac:dyDescent="0.35">
      <c r="A79" s="174" t="s">
        <v>754</v>
      </c>
      <c r="B79" s="174" t="s">
        <v>753</v>
      </c>
      <c r="C79" s="174" t="s">
        <v>752</v>
      </c>
      <c r="D79" s="174" t="s">
        <v>171</v>
      </c>
      <c r="E79" s="174">
        <v>39046</v>
      </c>
      <c r="F79" s="174" t="s">
        <v>160</v>
      </c>
      <c r="G79" s="174" t="s">
        <v>202</v>
      </c>
      <c r="H79" s="174" t="s">
        <v>142</v>
      </c>
      <c r="I79" s="175">
        <v>2.5633074935400502</v>
      </c>
      <c r="J79" s="175">
        <v>0.14566929133858267</v>
      </c>
      <c r="K79" s="175">
        <v>0.91732283464566822</v>
      </c>
      <c r="L79" s="175">
        <v>1.8425196850393672</v>
      </c>
      <c r="M79" s="175">
        <v>1.1496062992125968</v>
      </c>
      <c r="N79" s="175">
        <v>3.4370078740157424</v>
      </c>
      <c r="O79" s="175">
        <v>0.59448818897637734</v>
      </c>
      <c r="P79" s="175">
        <v>1.5748031496062992E-2</v>
      </c>
      <c r="Q79" s="175">
        <v>7.874015748031496E-3</v>
      </c>
      <c r="R79" s="175">
        <v>0.1062992125984252</v>
      </c>
      <c r="S79" s="175">
        <v>5.1181102362204724E-2</v>
      </c>
      <c r="T79" s="175">
        <v>2.7559055118110236E-2</v>
      </c>
      <c r="U79" s="176">
        <v>3.8700787401574739</v>
      </c>
      <c r="V79" s="176">
        <v>3.7440944881889702</v>
      </c>
      <c r="W79" s="174"/>
      <c r="X79" s="174" t="s">
        <v>388</v>
      </c>
      <c r="Y79" s="177" t="s">
        <v>560</v>
      </c>
      <c r="Z79" s="177" t="s">
        <v>560</v>
      </c>
      <c r="AA79" s="177" t="s">
        <v>560</v>
      </c>
      <c r="AB79" s="178" t="s">
        <v>558</v>
      </c>
      <c r="AC79" s="180" t="s">
        <v>566</v>
      </c>
      <c r="AD79" s="179" t="s">
        <v>751</v>
      </c>
      <c r="AE79" s="180" t="s">
        <v>558</v>
      </c>
      <c r="AF79" s="180" t="s">
        <v>566</v>
      </c>
      <c r="AG79" s="179">
        <v>44580</v>
      </c>
    </row>
    <row r="80" spans="1:33" ht="15.5" x14ac:dyDescent="0.35">
      <c r="A80" s="174" t="s">
        <v>750</v>
      </c>
      <c r="B80" s="174" t="s">
        <v>749</v>
      </c>
      <c r="C80" s="174" t="s">
        <v>748</v>
      </c>
      <c r="D80" s="174" t="s">
        <v>152</v>
      </c>
      <c r="E80" s="174">
        <v>76701</v>
      </c>
      <c r="F80" s="174" t="s">
        <v>194</v>
      </c>
      <c r="G80" s="174" t="s">
        <v>161</v>
      </c>
      <c r="H80" s="174" t="s">
        <v>142</v>
      </c>
      <c r="I80" s="175">
        <v>2.0948905109489102</v>
      </c>
      <c r="J80" s="175">
        <v>3.937007874015748E-2</v>
      </c>
      <c r="K80" s="175">
        <v>0.27952755905511806</v>
      </c>
      <c r="L80" s="175">
        <v>0.38188976377952732</v>
      </c>
      <c r="M80" s="175">
        <v>0.49212598425196818</v>
      </c>
      <c r="N80" s="175">
        <v>0.93700787401574692</v>
      </c>
      <c r="O80" s="175">
        <v>0.21653543307086617</v>
      </c>
      <c r="P80" s="175">
        <v>1.968503937007874E-2</v>
      </c>
      <c r="Q80" s="175">
        <v>1.968503937007874E-2</v>
      </c>
      <c r="R80" s="175">
        <v>0.14960629921259841</v>
      </c>
      <c r="S80" s="175">
        <v>0.12204724409448819</v>
      </c>
      <c r="T80" s="175">
        <v>0.15748031496062995</v>
      </c>
      <c r="U80" s="176">
        <v>0.76377952755905421</v>
      </c>
      <c r="V80" s="176">
        <v>1.0826771653543295</v>
      </c>
      <c r="W80" s="174"/>
      <c r="X80" s="174" t="s">
        <v>795</v>
      </c>
      <c r="Y80" s="177" t="s">
        <v>560</v>
      </c>
      <c r="Z80" s="177" t="s">
        <v>560</v>
      </c>
      <c r="AA80" s="177" t="s">
        <v>560</v>
      </c>
      <c r="AB80" s="178" t="s">
        <v>239</v>
      </c>
      <c r="AC80" s="178" t="s">
        <v>240</v>
      </c>
      <c r="AD80" s="182" t="s">
        <v>747</v>
      </c>
      <c r="AE80" s="180" t="s">
        <v>239</v>
      </c>
      <c r="AF80" s="180" t="s">
        <v>240</v>
      </c>
      <c r="AG80" s="179">
        <v>39105</v>
      </c>
    </row>
    <row r="81" spans="1:33" ht="15.5" x14ac:dyDescent="0.35">
      <c r="A81" s="174" t="s">
        <v>42</v>
      </c>
      <c r="B81" s="174" t="s">
        <v>263</v>
      </c>
      <c r="C81" s="174" t="s">
        <v>264</v>
      </c>
      <c r="D81" s="174" t="s">
        <v>139</v>
      </c>
      <c r="E81" s="174">
        <v>93301</v>
      </c>
      <c r="F81" s="174" t="s">
        <v>265</v>
      </c>
      <c r="G81" s="174" t="s">
        <v>154</v>
      </c>
      <c r="H81" s="174" t="s">
        <v>142</v>
      </c>
      <c r="I81" s="175">
        <v>135.69999999999999</v>
      </c>
      <c r="J81" s="175">
        <v>0</v>
      </c>
      <c r="K81" s="175">
        <v>0.27165354330708663</v>
      </c>
      <c r="L81" s="175">
        <v>12.51181102362205</v>
      </c>
      <c r="M81" s="175">
        <v>34.444881889763785</v>
      </c>
      <c r="N81" s="175">
        <v>47.228346456692911</v>
      </c>
      <c r="O81" s="175">
        <v>0</v>
      </c>
      <c r="P81" s="175">
        <v>0</v>
      </c>
      <c r="Q81" s="175">
        <v>0</v>
      </c>
      <c r="R81" s="175">
        <v>28.425196850393711</v>
      </c>
      <c r="S81" s="175">
        <v>0.22440944881889766</v>
      </c>
      <c r="T81" s="175">
        <v>0.72834645669291342</v>
      </c>
      <c r="U81" s="176">
        <v>17.850393700787407</v>
      </c>
      <c r="V81" s="176">
        <v>42.925196850393725</v>
      </c>
      <c r="W81" s="174">
        <v>320</v>
      </c>
      <c r="X81" s="174" t="s">
        <v>702</v>
      </c>
      <c r="Y81" s="177">
        <v>44958</v>
      </c>
      <c r="Z81" s="177" t="s">
        <v>561</v>
      </c>
      <c r="AA81" s="177" t="s">
        <v>423</v>
      </c>
      <c r="AB81" s="178" t="s">
        <v>561</v>
      </c>
      <c r="AC81" s="178" t="s">
        <v>144</v>
      </c>
      <c r="AD81" s="179" t="s">
        <v>613</v>
      </c>
      <c r="AE81" s="180" t="s">
        <v>561</v>
      </c>
      <c r="AF81" s="180" t="s">
        <v>144</v>
      </c>
      <c r="AG81" s="179">
        <v>44371</v>
      </c>
    </row>
    <row r="82" spans="1:33" ht="15.5" x14ac:dyDescent="0.35">
      <c r="A82" s="174" t="s">
        <v>688</v>
      </c>
      <c r="B82" s="174" t="s">
        <v>689</v>
      </c>
      <c r="C82" s="174" t="s">
        <v>690</v>
      </c>
      <c r="D82" s="174" t="s">
        <v>309</v>
      </c>
      <c r="E82" s="174">
        <v>48161</v>
      </c>
      <c r="F82" s="174" t="s">
        <v>304</v>
      </c>
      <c r="G82" s="174" t="s">
        <v>161</v>
      </c>
      <c r="H82" s="174" t="s">
        <v>4</v>
      </c>
      <c r="I82" s="175">
        <v>69.655172413793096</v>
      </c>
      <c r="J82" s="175">
        <v>9.2598425196850389</v>
      </c>
      <c r="K82" s="175">
        <v>0.46062992125984253</v>
      </c>
      <c r="L82" s="175">
        <v>1.1692913385826771</v>
      </c>
      <c r="M82" s="175">
        <v>0.20472440944881889</v>
      </c>
      <c r="N82" s="175">
        <v>2.2952755905511801</v>
      </c>
      <c r="O82" s="175">
        <v>8.7992125984251945</v>
      </c>
      <c r="P82" s="175">
        <v>0</v>
      </c>
      <c r="Q82" s="175">
        <v>0</v>
      </c>
      <c r="R82" s="175">
        <v>0.59842519685039375</v>
      </c>
      <c r="S82" s="175">
        <v>0.27165354330708658</v>
      </c>
      <c r="T82" s="175">
        <v>0</v>
      </c>
      <c r="U82" s="176">
        <v>10.2244094488189</v>
      </c>
      <c r="V82" s="176">
        <v>7.7952755905511752</v>
      </c>
      <c r="W82" s="174"/>
      <c r="X82" s="174" t="s">
        <v>702</v>
      </c>
      <c r="Y82" s="177">
        <v>45028</v>
      </c>
      <c r="Z82" s="177" t="s">
        <v>558</v>
      </c>
      <c r="AA82" s="177" t="s">
        <v>240</v>
      </c>
      <c r="AB82" s="178" t="s">
        <v>558</v>
      </c>
      <c r="AC82" s="178" t="s">
        <v>249</v>
      </c>
      <c r="AD82" s="179" t="s">
        <v>691</v>
      </c>
      <c r="AE82" s="180" t="s">
        <v>558</v>
      </c>
      <c r="AF82" s="180" t="s">
        <v>249</v>
      </c>
      <c r="AG82" s="179">
        <v>44420</v>
      </c>
    </row>
    <row r="83" spans="1:33" ht="15.5" x14ac:dyDescent="0.35">
      <c r="A83" s="174" t="s">
        <v>191</v>
      </c>
      <c r="B83" s="174" t="s">
        <v>192</v>
      </c>
      <c r="C83" s="174" t="s">
        <v>193</v>
      </c>
      <c r="D83" s="174" t="s">
        <v>152</v>
      </c>
      <c r="E83" s="174">
        <v>77301</v>
      </c>
      <c r="F83" s="174" t="s">
        <v>194</v>
      </c>
      <c r="G83" s="174" t="s">
        <v>154</v>
      </c>
      <c r="H83" s="174" t="s">
        <v>142</v>
      </c>
      <c r="I83" s="175">
        <v>32.212534782032598</v>
      </c>
      <c r="J83" s="175">
        <v>110.77559055118117</v>
      </c>
      <c r="K83" s="175">
        <v>484.90157480313968</v>
      </c>
      <c r="L83" s="175">
        <v>234.47637795275554</v>
      </c>
      <c r="M83" s="175">
        <v>173.08267716535391</v>
      </c>
      <c r="N83" s="175">
        <v>568.2716535432919</v>
      </c>
      <c r="O83" s="175">
        <v>345.87401574802652</v>
      </c>
      <c r="P83" s="175">
        <v>32.165354330708688</v>
      </c>
      <c r="Q83" s="175">
        <v>56.925196850393796</v>
      </c>
      <c r="R83" s="175">
        <v>249.38188976377796</v>
      </c>
      <c r="S83" s="175">
        <v>128.60236220472427</v>
      </c>
      <c r="T83" s="175">
        <v>131.02362204724406</v>
      </c>
      <c r="U83" s="176">
        <v>494.22834645668235</v>
      </c>
      <c r="V83" s="176">
        <v>694.17716535430623</v>
      </c>
      <c r="W83" s="174">
        <v>750</v>
      </c>
      <c r="X83" s="174" t="s">
        <v>702</v>
      </c>
      <c r="Y83" s="177">
        <v>44953</v>
      </c>
      <c r="Z83" s="177" t="s">
        <v>561</v>
      </c>
      <c r="AA83" s="177" t="s">
        <v>423</v>
      </c>
      <c r="AB83" s="178" t="s">
        <v>561</v>
      </c>
      <c r="AC83" s="178" t="s">
        <v>144</v>
      </c>
      <c r="AD83" s="179" t="s">
        <v>612</v>
      </c>
      <c r="AE83" s="180" t="s">
        <v>561</v>
      </c>
      <c r="AF83" s="180"/>
      <c r="AG83" s="179">
        <v>44181</v>
      </c>
    </row>
    <row r="84" spans="1:33" ht="15.5" x14ac:dyDescent="0.35">
      <c r="A84" s="174" t="s">
        <v>611</v>
      </c>
      <c r="B84" s="174" t="s">
        <v>610</v>
      </c>
      <c r="C84" s="174" t="s">
        <v>609</v>
      </c>
      <c r="D84" s="174" t="s">
        <v>241</v>
      </c>
      <c r="E84" s="174">
        <v>16866</v>
      </c>
      <c r="F84" s="174" t="s">
        <v>242</v>
      </c>
      <c r="G84" s="174" t="s">
        <v>141</v>
      </c>
      <c r="H84" s="174" t="s">
        <v>142</v>
      </c>
      <c r="I84" s="175">
        <v>77.291208791208803</v>
      </c>
      <c r="J84" s="175">
        <v>75.503937007873944</v>
      </c>
      <c r="K84" s="175">
        <v>59.799212598425235</v>
      </c>
      <c r="L84" s="175">
        <v>391.68897637795141</v>
      </c>
      <c r="M84" s="175">
        <v>382.12204724409463</v>
      </c>
      <c r="N84" s="175">
        <v>580.74015748030956</v>
      </c>
      <c r="O84" s="175">
        <v>299.85039370078653</v>
      </c>
      <c r="P84" s="175">
        <v>15.303149606299217</v>
      </c>
      <c r="Q84" s="175">
        <v>13.220472440944881</v>
      </c>
      <c r="R84" s="175">
        <v>210.97244094488195</v>
      </c>
      <c r="S84" s="175">
        <v>53.846456692913414</v>
      </c>
      <c r="T84" s="175">
        <v>41.846456692913407</v>
      </c>
      <c r="U84" s="176">
        <v>602.44881889763167</v>
      </c>
      <c r="V84" s="176">
        <v>674.74803149605634</v>
      </c>
      <c r="W84" s="174">
        <v>800</v>
      </c>
      <c r="X84" s="174" t="s">
        <v>702</v>
      </c>
      <c r="Y84" s="177">
        <v>45043</v>
      </c>
      <c r="Z84" s="177" t="s">
        <v>561</v>
      </c>
      <c r="AA84" s="177" t="s">
        <v>240</v>
      </c>
      <c r="AB84" s="178" t="s">
        <v>561</v>
      </c>
      <c r="AC84" s="181" t="s">
        <v>144</v>
      </c>
      <c r="AD84" s="182" t="s">
        <v>608</v>
      </c>
      <c r="AE84" s="180" t="s">
        <v>561</v>
      </c>
      <c r="AF84" s="180"/>
      <c r="AG84" s="179">
        <v>44392</v>
      </c>
    </row>
    <row r="85" spans="1:33" ht="15.5" x14ac:dyDescent="0.35">
      <c r="A85" s="174" t="s">
        <v>27</v>
      </c>
      <c r="B85" s="174" t="s">
        <v>300</v>
      </c>
      <c r="C85" s="174" t="s">
        <v>301</v>
      </c>
      <c r="D85" s="174" t="s">
        <v>295</v>
      </c>
      <c r="E85" s="174">
        <v>89060</v>
      </c>
      <c r="F85" s="174" t="s">
        <v>296</v>
      </c>
      <c r="G85" s="174" t="s">
        <v>202</v>
      </c>
      <c r="H85" s="174" t="s">
        <v>142</v>
      </c>
      <c r="I85" s="175">
        <v>26.869888475836401</v>
      </c>
      <c r="J85" s="175">
        <v>25.318897637795331</v>
      </c>
      <c r="K85" s="175">
        <v>23.590551181102398</v>
      </c>
      <c r="L85" s="175">
        <v>30.657480314960655</v>
      </c>
      <c r="M85" s="175">
        <v>29.326771653543332</v>
      </c>
      <c r="N85" s="175">
        <v>78.523622047244245</v>
      </c>
      <c r="O85" s="175">
        <v>30.338582677165412</v>
      </c>
      <c r="P85" s="175">
        <v>3.1496062992125984E-2</v>
      </c>
      <c r="Q85" s="175">
        <v>0</v>
      </c>
      <c r="R85" s="175">
        <v>27.539370078740181</v>
      </c>
      <c r="S85" s="175">
        <v>14.677165354330716</v>
      </c>
      <c r="T85" s="175">
        <v>11.248031496062998</v>
      </c>
      <c r="U85" s="176">
        <v>55.429133858267939</v>
      </c>
      <c r="V85" s="176">
        <v>86.090551181102597</v>
      </c>
      <c r="W85" s="174"/>
      <c r="X85" s="174" t="s">
        <v>702</v>
      </c>
      <c r="Y85" s="177">
        <v>45070</v>
      </c>
      <c r="Z85" s="177" t="s">
        <v>203</v>
      </c>
      <c r="AA85" s="177" t="s">
        <v>240</v>
      </c>
      <c r="AB85" s="178" t="s">
        <v>203</v>
      </c>
      <c r="AC85" s="178" t="s">
        <v>144</v>
      </c>
      <c r="AD85" s="179" t="s">
        <v>607</v>
      </c>
      <c r="AE85" s="180" t="s">
        <v>203</v>
      </c>
      <c r="AF85" s="180" t="s">
        <v>144</v>
      </c>
      <c r="AG85" s="179">
        <v>44399</v>
      </c>
    </row>
    <row r="86" spans="1:33" ht="15.5" x14ac:dyDescent="0.35">
      <c r="A86" s="174" t="s">
        <v>746</v>
      </c>
      <c r="B86" s="174" t="s">
        <v>745</v>
      </c>
      <c r="C86" s="174" t="s">
        <v>744</v>
      </c>
      <c r="D86" s="174" t="s">
        <v>373</v>
      </c>
      <c r="E86" s="174">
        <v>28429</v>
      </c>
      <c r="F86" s="174" t="s">
        <v>149</v>
      </c>
      <c r="G86" s="174" t="s">
        <v>202</v>
      </c>
      <c r="H86" s="174" t="s">
        <v>142</v>
      </c>
      <c r="I86" s="175">
        <v>2.3092783505154602</v>
      </c>
      <c r="J86" s="175">
        <v>0.31889763779527547</v>
      </c>
      <c r="K86" s="175">
        <v>0.22440944881889763</v>
      </c>
      <c r="L86" s="175">
        <v>0.22834645669291342</v>
      </c>
      <c r="M86" s="175">
        <v>0.1456692913385827</v>
      </c>
      <c r="N86" s="175">
        <v>0.73228346456692828</v>
      </c>
      <c r="O86" s="175">
        <v>0.17716535433070865</v>
      </c>
      <c r="P86" s="175">
        <v>7.874015748031496E-3</v>
      </c>
      <c r="Q86" s="175">
        <v>0</v>
      </c>
      <c r="R86" s="175">
        <v>7.874015748031496E-3</v>
      </c>
      <c r="S86" s="175">
        <v>1.5748031496062992E-2</v>
      </c>
      <c r="T86" s="175">
        <v>7.874015748031496E-3</v>
      </c>
      <c r="U86" s="176">
        <v>0.88582677165354218</v>
      </c>
      <c r="V86" s="176">
        <v>0.67322834645669216</v>
      </c>
      <c r="W86" s="174"/>
      <c r="X86" s="174" t="s">
        <v>388</v>
      </c>
      <c r="Y86" s="177" t="s">
        <v>560</v>
      </c>
      <c r="Z86" s="177" t="s">
        <v>560</v>
      </c>
      <c r="AA86" s="177" t="s">
        <v>560</v>
      </c>
      <c r="AB86" s="178" t="s">
        <v>558</v>
      </c>
      <c r="AC86" s="180" t="s">
        <v>566</v>
      </c>
      <c r="AD86" s="179" t="s">
        <v>743</v>
      </c>
      <c r="AE86" s="180" t="s">
        <v>558</v>
      </c>
      <c r="AF86" s="180" t="s">
        <v>566</v>
      </c>
      <c r="AG86" s="179">
        <v>44500</v>
      </c>
    </row>
    <row r="87" spans="1:33" ht="15.5" x14ac:dyDescent="0.35">
      <c r="A87" s="174" t="s">
        <v>742</v>
      </c>
      <c r="B87" s="174" t="s">
        <v>741</v>
      </c>
      <c r="C87" s="174" t="s">
        <v>740</v>
      </c>
      <c r="D87" s="174" t="s">
        <v>273</v>
      </c>
      <c r="E87" s="174">
        <v>56716</v>
      </c>
      <c r="F87" s="174" t="s">
        <v>274</v>
      </c>
      <c r="G87" s="174" t="s">
        <v>202</v>
      </c>
      <c r="H87" s="174" t="s">
        <v>142</v>
      </c>
      <c r="I87" s="175">
        <v>1.8695652173913</v>
      </c>
      <c r="J87" s="175">
        <v>5.905511811023622E-2</v>
      </c>
      <c r="K87" s="175">
        <v>3.937007874015748E-3</v>
      </c>
      <c r="L87" s="175">
        <v>0.29133858267716517</v>
      </c>
      <c r="M87" s="175">
        <v>7.874015748031496E-3</v>
      </c>
      <c r="N87" s="175">
        <v>0.13385826771653542</v>
      </c>
      <c r="O87" s="175">
        <v>0.20078740157480307</v>
      </c>
      <c r="P87" s="175">
        <v>3.937007874015748E-3</v>
      </c>
      <c r="Q87" s="175">
        <v>2.3622047244094488E-2</v>
      </c>
      <c r="R87" s="175">
        <v>0</v>
      </c>
      <c r="S87" s="175">
        <v>0</v>
      </c>
      <c r="T87" s="175">
        <v>1.1811023622047244E-2</v>
      </c>
      <c r="U87" s="176">
        <v>0.35039370078740129</v>
      </c>
      <c r="V87" s="176">
        <v>0.27559055118110226</v>
      </c>
      <c r="W87" s="174"/>
      <c r="X87" s="174" t="s">
        <v>162</v>
      </c>
      <c r="Y87" s="177" t="s">
        <v>560</v>
      </c>
      <c r="Z87" s="177" t="s">
        <v>560</v>
      </c>
      <c r="AA87" s="177" t="s">
        <v>560</v>
      </c>
      <c r="AB87" s="178" t="s">
        <v>162</v>
      </c>
      <c r="AC87" s="178" t="s">
        <v>162</v>
      </c>
      <c r="AD87" s="182" t="s">
        <v>162</v>
      </c>
      <c r="AE87" s="178" t="s">
        <v>162</v>
      </c>
      <c r="AF87" s="178" t="s">
        <v>162</v>
      </c>
      <c r="AG87" s="182" t="s">
        <v>162</v>
      </c>
    </row>
    <row r="88" spans="1:33" ht="15.5" x14ac:dyDescent="0.35">
      <c r="A88" s="174" t="s">
        <v>606</v>
      </c>
      <c r="B88" s="174" t="s">
        <v>605</v>
      </c>
      <c r="C88" s="174" t="s">
        <v>604</v>
      </c>
      <c r="D88" s="174" t="s">
        <v>603</v>
      </c>
      <c r="E88" s="174">
        <v>5488</v>
      </c>
      <c r="F88" s="174" t="s">
        <v>270</v>
      </c>
      <c r="G88" s="174" t="s">
        <v>202</v>
      </c>
      <c r="H88" s="174" t="s">
        <v>142</v>
      </c>
      <c r="I88" s="175">
        <v>2.2040816326530601</v>
      </c>
      <c r="J88" s="175">
        <v>2.6299212598425159</v>
      </c>
      <c r="K88" s="175">
        <v>0.559055118110236</v>
      </c>
      <c r="L88" s="175">
        <v>0.23622047244094485</v>
      </c>
      <c r="M88" s="175">
        <v>3.937007874015748E-2</v>
      </c>
      <c r="N88" s="175">
        <v>0.30314960629921245</v>
      </c>
      <c r="O88" s="175">
        <v>3.1614173228346405</v>
      </c>
      <c r="P88" s="175">
        <v>0</v>
      </c>
      <c r="Q88" s="175">
        <v>0</v>
      </c>
      <c r="R88" s="175">
        <v>7.874015748031496E-3</v>
      </c>
      <c r="S88" s="175">
        <v>0</v>
      </c>
      <c r="T88" s="175">
        <v>0</v>
      </c>
      <c r="U88" s="176">
        <v>3.4566929133858211</v>
      </c>
      <c r="V88" s="176">
        <v>2.6417322834645631</v>
      </c>
      <c r="W88" s="174"/>
      <c r="X88" s="174" t="s">
        <v>388</v>
      </c>
      <c r="Y88" s="177" t="s">
        <v>560</v>
      </c>
      <c r="Z88" s="177" t="s">
        <v>560</v>
      </c>
      <c r="AA88" s="177" t="s">
        <v>560</v>
      </c>
      <c r="AB88" s="178" t="s">
        <v>239</v>
      </c>
      <c r="AC88" s="178" t="s">
        <v>249</v>
      </c>
      <c r="AD88" s="179" t="s">
        <v>602</v>
      </c>
      <c r="AE88" s="180" t="s">
        <v>239</v>
      </c>
      <c r="AF88" s="180" t="s">
        <v>249</v>
      </c>
      <c r="AG88" s="179">
        <v>42969</v>
      </c>
    </row>
    <row r="89" spans="1:33" ht="15.5" x14ac:dyDescent="0.35">
      <c r="A89" s="174" t="s">
        <v>337</v>
      </c>
      <c r="B89" s="174" t="s">
        <v>338</v>
      </c>
      <c r="C89" s="174" t="s">
        <v>301</v>
      </c>
      <c r="D89" s="174" t="s">
        <v>295</v>
      </c>
      <c r="E89" s="174">
        <v>89060</v>
      </c>
      <c r="F89" s="174" t="s">
        <v>296</v>
      </c>
      <c r="G89" s="174" t="s">
        <v>161</v>
      </c>
      <c r="H89" s="174" t="s">
        <v>142</v>
      </c>
      <c r="I89" s="175">
        <v>43.873893805309699</v>
      </c>
      <c r="J89" s="175">
        <v>2.8031496062992116</v>
      </c>
      <c r="K89" s="175">
        <v>10.051181102362202</v>
      </c>
      <c r="L89" s="175">
        <v>19.035433070866155</v>
      </c>
      <c r="M89" s="175">
        <v>40.011811023622087</v>
      </c>
      <c r="N89" s="175">
        <v>66.685039370078755</v>
      </c>
      <c r="O89" s="175">
        <v>5.2165354330708658</v>
      </c>
      <c r="P89" s="175">
        <v>0</v>
      </c>
      <c r="Q89" s="175">
        <v>0</v>
      </c>
      <c r="R89" s="175">
        <v>30.755905511811065</v>
      </c>
      <c r="S89" s="175">
        <v>6.1062992125984223</v>
      </c>
      <c r="T89" s="175">
        <v>3.9881889763779519</v>
      </c>
      <c r="U89" s="176">
        <v>31.051181102362229</v>
      </c>
      <c r="V89" s="176">
        <v>63.330708661417397</v>
      </c>
      <c r="W89" s="174"/>
      <c r="X89" s="174" t="s">
        <v>702</v>
      </c>
      <c r="Y89" s="177">
        <v>44939</v>
      </c>
      <c r="Z89" s="177" t="s">
        <v>558</v>
      </c>
      <c r="AA89" s="177" t="s">
        <v>423</v>
      </c>
      <c r="AB89" s="178" t="s">
        <v>558</v>
      </c>
      <c r="AC89" s="178" t="s">
        <v>249</v>
      </c>
      <c r="AD89" s="179" t="s">
        <v>601</v>
      </c>
      <c r="AE89" s="180" t="s">
        <v>558</v>
      </c>
      <c r="AF89" s="180" t="s">
        <v>249</v>
      </c>
      <c r="AG89" s="179">
        <v>44336</v>
      </c>
    </row>
    <row r="90" spans="1:33" ht="15.5" x14ac:dyDescent="0.35">
      <c r="A90" s="174" t="s">
        <v>23</v>
      </c>
      <c r="B90" s="174" t="s">
        <v>320</v>
      </c>
      <c r="C90" s="174" t="s">
        <v>321</v>
      </c>
      <c r="D90" s="174" t="s">
        <v>247</v>
      </c>
      <c r="E90" s="174">
        <v>10924</v>
      </c>
      <c r="F90" s="174" t="s">
        <v>275</v>
      </c>
      <c r="G90" s="174" t="s">
        <v>161</v>
      </c>
      <c r="H90" s="174" t="s">
        <v>142</v>
      </c>
      <c r="I90" s="175">
        <v>43.939914163090101</v>
      </c>
      <c r="J90" s="175">
        <v>21.531496062992222</v>
      </c>
      <c r="K90" s="175">
        <v>29.685039370078751</v>
      </c>
      <c r="L90" s="175">
        <v>13.425196850393702</v>
      </c>
      <c r="M90" s="175">
        <v>12.826771653543311</v>
      </c>
      <c r="N90" s="175">
        <v>55.551181102362193</v>
      </c>
      <c r="O90" s="175">
        <v>16.846456692913481</v>
      </c>
      <c r="P90" s="175">
        <v>4.4527559055118102</v>
      </c>
      <c r="Q90" s="175">
        <v>0.61811023622047245</v>
      </c>
      <c r="R90" s="175">
        <v>11.846456692913385</v>
      </c>
      <c r="S90" s="175">
        <v>10.326771653543309</v>
      </c>
      <c r="T90" s="175">
        <v>8.9842519685039353</v>
      </c>
      <c r="U90" s="176">
        <v>46.31102362204728</v>
      </c>
      <c r="V90" s="176">
        <v>51.566929133858245</v>
      </c>
      <c r="W90" s="174"/>
      <c r="X90" s="174" t="s">
        <v>702</v>
      </c>
      <c r="Y90" s="177">
        <v>44907</v>
      </c>
      <c r="Z90" s="178" t="s">
        <v>558</v>
      </c>
      <c r="AA90" s="177" t="s">
        <v>162</v>
      </c>
      <c r="AB90" s="178" t="s">
        <v>558</v>
      </c>
      <c r="AC90" s="178" t="s">
        <v>249</v>
      </c>
      <c r="AD90" s="179" t="s">
        <v>559</v>
      </c>
      <c r="AE90" s="180" t="s">
        <v>558</v>
      </c>
      <c r="AF90" s="180" t="s">
        <v>249</v>
      </c>
      <c r="AG90" s="179">
        <v>44300</v>
      </c>
    </row>
    <row r="91" spans="1:33" ht="15.5" x14ac:dyDescent="0.35">
      <c r="A91" s="174" t="s">
        <v>23</v>
      </c>
      <c r="B91" s="174" t="s">
        <v>600</v>
      </c>
      <c r="C91" s="174" t="s">
        <v>599</v>
      </c>
      <c r="D91" s="174" t="s">
        <v>231</v>
      </c>
      <c r="E91" s="174">
        <v>32839</v>
      </c>
      <c r="F91" s="174" t="s">
        <v>25</v>
      </c>
      <c r="G91" s="174" t="s">
        <v>202</v>
      </c>
      <c r="H91" s="174" t="s">
        <v>142</v>
      </c>
      <c r="I91" s="175">
        <v>1.8592233009708701</v>
      </c>
      <c r="J91" s="175">
        <v>7.4803149606299191E-2</v>
      </c>
      <c r="K91" s="175">
        <v>0.31102362204724388</v>
      </c>
      <c r="L91" s="175">
        <v>0.84251968503936903</v>
      </c>
      <c r="M91" s="175">
        <v>0.29921259842519671</v>
      </c>
      <c r="N91" s="175">
        <v>0.69291338582677098</v>
      </c>
      <c r="O91" s="175">
        <v>0.66141732283464483</v>
      </c>
      <c r="P91" s="175">
        <v>5.5118110236220472E-2</v>
      </c>
      <c r="Q91" s="175">
        <v>0.11811023622047244</v>
      </c>
      <c r="R91" s="175">
        <v>3.1496062992125984E-2</v>
      </c>
      <c r="S91" s="175">
        <v>7.874015748031496E-3</v>
      </c>
      <c r="T91" s="175">
        <v>0</v>
      </c>
      <c r="U91" s="176">
        <v>1.4881889763779506</v>
      </c>
      <c r="V91" s="176">
        <v>1.0787401574803135</v>
      </c>
      <c r="W91" s="174"/>
      <c r="X91" s="174" t="s">
        <v>702</v>
      </c>
      <c r="Y91" s="177">
        <v>44907</v>
      </c>
      <c r="Z91" s="178" t="s">
        <v>558</v>
      </c>
      <c r="AA91" s="177" t="s">
        <v>162</v>
      </c>
      <c r="AB91" s="178" t="s">
        <v>558</v>
      </c>
      <c r="AC91" s="180" t="s">
        <v>566</v>
      </c>
      <c r="AD91" s="179" t="s">
        <v>568</v>
      </c>
      <c r="AE91" s="180" t="s">
        <v>558</v>
      </c>
      <c r="AF91" s="180" t="s">
        <v>249</v>
      </c>
      <c r="AG91" s="179">
        <v>44300</v>
      </c>
    </row>
    <row r="92" spans="1:33" ht="15.5" x14ac:dyDescent="0.35">
      <c r="A92" s="174" t="s">
        <v>172</v>
      </c>
      <c r="B92" s="174" t="s">
        <v>173</v>
      </c>
      <c r="C92" s="174" t="s">
        <v>174</v>
      </c>
      <c r="D92" s="174" t="s">
        <v>139</v>
      </c>
      <c r="E92" s="174">
        <v>92154</v>
      </c>
      <c r="F92" s="174" t="s">
        <v>175</v>
      </c>
      <c r="G92" s="174" t="s">
        <v>154</v>
      </c>
      <c r="H92" s="174" t="s">
        <v>142</v>
      </c>
      <c r="I92" s="175">
        <v>61.728435305917799</v>
      </c>
      <c r="J92" s="175">
        <v>763.27559055114455</v>
      </c>
      <c r="K92" s="175">
        <v>72.685039370078954</v>
      </c>
      <c r="L92" s="175">
        <v>41.055118110236222</v>
      </c>
      <c r="M92" s="175">
        <v>63.759842519685073</v>
      </c>
      <c r="N92" s="175">
        <v>149.70472440944874</v>
      </c>
      <c r="O92" s="175">
        <v>610.08267716533999</v>
      </c>
      <c r="P92" s="175">
        <v>15.629921259842519</v>
      </c>
      <c r="Q92" s="175">
        <v>165.35826771653657</v>
      </c>
      <c r="R92" s="175">
        <v>81.889763779527627</v>
      </c>
      <c r="S92" s="175">
        <v>25.374015748031507</v>
      </c>
      <c r="T92" s="175">
        <v>18.885826771653555</v>
      </c>
      <c r="U92" s="176">
        <v>814.62598425192562</v>
      </c>
      <c r="V92" s="176">
        <v>476.31496062991215</v>
      </c>
      <c r="W92" s="174">
        <v>750</v>
      </c>
      <c r="X92" s="174" t="s">
        <v>702</v>
      </c>
      <c r="Y92" s="177">
        <v>44888</v>
      </c>
      <c r="Z92" s="177" t="s">
        <v>561</v>
      </c>
      <c r="AA92" s="177" t="s">
        <v>240</v>
      </c>
      <c r="AB92" s="178" t="s">
        <v>561</v>
      </c>
      <c r="AC92" s="178" t="s">
        <v>144</v>
      </c>
      <c r="AD92" s="179" t="s">
        <v>598</v>
      </c>
      <c r="AE92" s="180" t="s">
        <v>561</v>
      </c>
      <c r="AF92" s="180" t="s">
        <v>144</v>
      </c>
      <c r="AG92" s="179">
        <v>44230</v>
      </c>
    </row>
    <row r="93" spans="1:33" ht="15.5" x14ac:dyDescent="0.35">
      <c r="A93" s="174" t="s">
        <v>186</v>
      </c>
      <c r="B93" s="174" t="s">
        <v>187</v>
      </c>
      <c r="C93" s="174" t="s">
        <v>188</v>
      </c>
      <c r="D93" s="174" t="s">
        <v>189</v>
      </c>
      <c r="E93" s="174">
        <v>88081</v>
      </c>
      <c r="F93" s="174" t="s">
        <v>190</v>
      </c>
      <c r="G93" s="174" t="s">
        <v>141</v>
      </c>
      <c r="H93" s="174" t="s">
        <v>142</v>
      </c>
      <c r="I93" s="175">
        <v>42.826000000000001</v>
      </c>
      <c r="J93" s="175">
        <v>493.06299212598157</v>
      </c>
      <c r="K93" s="175">
        <v>12.330708661417336</v>
      </c>
      <c r="L93" s="175">
        <v>4.1732283464566926</v>
      </c>
      <c r="M93" s="175">
        <v>0.8228346456692911</v>
      </c>
      <c r="N93" s="175">
        <v>8.8425196850393668</v>
      </c>
      <c r="O93" s="175">
        <v>393.30314960629687</v>
      </c>
      <c r="P93" s="175">
        <v>1.9566929133858268</v>
      </c>
      <c r="Q93" s="175">
        <v>106.28740157480327</v>
      </c>
      <c r="R93" s="175">
        <v>1.3070866141732282</v>
      </c>
      <c r="S93" s="175">
        <v>1.9448818897637796</v>
      </c>
      <c r="T93" s="175">
        <v>2.4645669291338579</v>
      </c>
      <c r="U93" s="176">
        <v>504.67322834645319</v>
      </c>
      <c r="V93" s="176">
        <v>246.54330708661453</v>
      </c>
      <c r="W93" s="174">
        <v>500</v>
      </c>
      <c r="X93" s="174" t="s">
        <v>702</v>
      </c>
      <c r="Y93" s="177">
        <v>44918</v>
      </c>
      <c r="Z93" s="177" t="s">
        <v>561</v>
      </c>
      <c r="AA93" s="177" t="s">
        <v>240</v>
      </c>
      <c r="AB93" s="178" t="s">
        <v>561</v>
      </c>
      <c r="AC93" s="178" t="s">
        <v>144</v>
      </c>
      <c r="AD93" s="179" t="s">
        <v>598</v>
      </c>
      <c r="AE93" s="180" t="s">
        <v>561</v>
      </c>
      <c r="AF93" s="180" t="s">
        <v>144</v>
      </c>
      <c r="AG93" s="179">
        <v>44225</v>
      </c>
    </row>
    <row r="94" spans="1:33" ht="15.5" x14ac:dyDescent="0.35">
      <c r="A94" s="174" t="s">
        <v>409</v>
      </c>
      <c r="B94" s="174" t="s">
        <v>410</v>
      </c>
      <c r="C94" s="174" t="s">
        <v>411</v>
      </c>
      <c r="D94" s="174" t="s">
        <v>342</v>
      </c>
      <c r="E94" s="174">
        <v>68949</v>
      </c>
      <c r="F94" s="174" t="s">
        <v>274</v>
      </c>
      <c r="G94" s="174" t="s">
        <v>202</v>
      </c>
      <c r="H94" s="174" t="s">
        <v>142</v>
      </c>
      <c r="I94" s="175">
        <v>35.928571428571402</v>
      </c>
      <c r="J94" s="175">
        <v>0.34645669291338582</v>
      </c>
      <c r="K94" s="175">
        <v>2.3622047244094488E-2</v>
      </c>
      <c r="L94" s="175">
        <v>0.45669291338582679</v>
      </c>
      <c r="M94" s="175">
        <v>1.1062992125984252</v>
      </c>
      <c r="N94" s="175">
        <v>1.610236220472441</v>
      </c>
      <c r="O94" s="175">
        <v>0.32283464566929132</v>
      </c>
      <c r="P94" s="175">
        <v>0</v>
      </c>
      <c r="Q94" s="175">
        <v>0</v>
      </c>
      <c r="R94" s="175">
        <v>0.56299212598425197</v>
      </c>
      <c r="S94" s="175">
        <v>2.3622047244094488E-2</v>
      </c>
      <c r="T94" s="175">
        <v>0</v>
      </c>
      <c r="U94" s="176">
        <v>1.3464566929133859</v>
      </c>
      <c r="V94" s="176">
        <v>1.6220472440944882</v>
      </c>
      <c r="W94" s="174"/>
      <c r="X94" s="174" t="s">
        <v>702</v>
      </c>
      <c r="Y94" s="177">
        <v>45069</v>
      </c>
      <c r="Z94" s="177" t="s">
        <v>589</v>
      </c>
      <c r="AA94" s="177" t="s">
        <v>423</v>
      </c>
      <c r="AB94" s="178" t="s">
        <v>239</v>
      </c>
      <c r="AC94" s="178" t="s">
        <v>249</v>
      </c>
      <c r="AD94" s="179" t="s">
        <v>597</v>
      </c>
      <c r="AE94" s="180" t="s">
        <v>239</v>
      </c>
      <c r="AF94" s="180" t="s">
        <v>249</v>
      </c>
      <c r="AG94" s="179">
        <v>43664</v>
      </c>
    </row>
    <row r="95" spans="1:33" ht="15.5" x14ac:dyDescent="0.35">
      <c r="A95" s="174" t="s">
        <v>596</v>
      </c>
      <c r="B95" s="174" t="s">
        <v>595</v>
      </c>
      <c r="C95" s="174" t="s">
        <v>594</v>
      </c>
      <c r="D95" s="174" t="s">
        <v>39</v>
      </c>
      <c r="E95" s="174">
        <v>35447</v>
      </c>
      <c r="F95" s="174" t="s">
        <v>160</v>
      </c>
      <c r="G95" s="174" t="s">
        <v>161</v>
      </c>
      <c r="H95" s="174" t="s">
        <v>142</v>
      </c>
      <c r="I95" s="175">
        <v>2.8299845440494602</v>
      </c>
      <c r="J95" s="175">
        <v>2.3503937007873978</v>
      </c>
      <c r="K95" s="175">
        <v>4.9606299212598346</v>
      </c>
      <c r="L95" s="175">
        <v>5.318897637795267</v>
      </c>
      <c r="M95" s="175">
        <v>1.9173228346456663</v>
      </c>
      <c r="N95" s="175">
        <v>6.9094488188976264</v>
      </c>
      <c r="O95" s="175">
        <v>4.9921259842519605</v>
      </c>
      <c r="P95" s="175">
        <v>2.4251968503936974</v>
      </c>
      <c r="Q95" s="175">
        <v>0.22047244094488191</v>
      </c>
      <c r="R95" s="175">
        <v>0.27952755905511806</v>
      </c>
      <c r="S95" s="175">
        <v>2.7559055118110236E-2</v>
      </c>
      <c r="T95" s="175">
        <v>4.7244094488188976E-2</v>
      </c>
      <c r="U95" s="176">
        <v>14.192913385827012</v>
      </c>
      <c r="V95" s="176">
        <v>11.921259842519847</v>
      </c>
      <c r="W95" s="174"/>
      <c r="X95" s="174" t="s">
        <v>388</v>
      </c>
      <c r="Y95" s="177" t="s">
        <v>560</v>
      </c>
      <c r="Z95" s="177" t="s">
        <v>560</v>
      </c>
      <c r="AA95" s="177" t="s">
        <v>560</v>
      </c>
      <c r="AB95" s="178" t="s">
        <v>558</v>
      </c>
      <c r="AC95" s="178" t="s">
        <v>566</v>
      </c>
      <c r="AD95" s="179" t="s">
        <v>593</v>
      </c>
      <c r="AE95" s="178" t="s">
        <v>162</v>
      </c>
      <c r="AF95" s="178" t="s">
        <v>162</v>
      </c>
      <c r="AG95" s="182" t="s">
        <v>162</v>
      </c>
    </row>
    <row r="96" spans="1:33" ht="15.5" x14ac:dyDescent="0.35">
      <c r="A96" s="174" t="s">
        <v>297</v>
      </c>
      <c r="B96" s="174" t="s">
        <v>298</v>
      </c>
      <c r="C96" s="174" t="s">
        <v>299</v>
      </c>
      <c r="D96" s="174" t="s">
        <v>241</v>
      </c>
      <c r="E96" s="174">
        <v>18428</v>
      </c>
      <c r="F96" s="174" t="s">
        <v>242</v>
      </c>
      <c r="G96" s="174" t="s">
        <v>161</v>
      </c>
      <c r="H96" s="174" t="s">
        <v>4</v>
      </c>
      <c r="I96" s="175">
        <v>65.914893617021306</v>
      </c>
      <c r="J96" s="175">
        <v>13.173228346456696</v>
      </c>
      <c r="K96" s="175">
        <v>13.708661417322832</v>
      </c>
      <c r="L96" s="175">
        <v>34.133858267716533</v>
      </c>
      <c r="M96" s="175">
        <v>35.822834645669296</v>
      </c>
      <c r="N96" s="175">
        <v>65.007874015748044</v>
      </c>
      <c r="O96" s="175">
        <v>31.830708661417354</v>
      </c>
      <c r="P96" s="175">
        <v>0</v>
      </c>
      <c r="Q96" s="175">
        <v>0</v>
      </c>
      <c r="R96" s="175">
        <v>17.362204724409445</v>
      </c>
      <c r="S96" s="175">
        <v>5.1023622047244093</v>
      </c>
      <c r="T96" s="175">
        <v>7.8228346456692917</v>
      </c>
      <c r="U96" s="176">
        <v>66.551181102362278</v>
      </c>
      <c r="V96" s="176">
        <v>74.330708661417333</v>
      </c>
      <c r="W96" s="174">
        <v>100</v>
      </c>
      <c r="X96" s="174" t="s">
        <v>702</v>
      </c>
      <c r="Y96" s="177">
        <v>45083</v>
      </c>
      <c r="Z96" s="177" t="s">
        <v>561</v>
      </c>
      <c r="AA96" s="177" t="s">
        <v>249</v>
      </c>
      <c r="AB96" s="178" t="s">
        <v>561</v>
      </c>
      <c r="AC96" s="178" t="s">
        <v>144</v>
      </c>
      <c r="AD96" s="182" t="s">
        <v>592</v>
      </c>
      <c r="AE96" s="180" t="s">
        <v>203</v>
      </c>
      <c r="AF96" s="180" t="s">
        <v>144</v>
      </c>
      <c r="AG96" s="179">
        <v>44307</v>
      </c>
    </row>
    <row r="97" spans="1:33" ht="15.5" x14ac:dyDescent="0.35">
      <c r="A97" s="174" t="s">
        <v>33</v>
      </c>
      <c r="B97" s="174" t="s">
        <v>210</v>
      </c>
      <c r="C97" s="174" t="s">
        <v>211</v>
      </c>
      <c r="D97" s="174" t="s">
        <v>159</v>
      </c>
      <c r="E97" s="174">
        <v>70576</v>
      </c>
      <c r="F97" s="174" t="s">
        <v>160</v>
      </c>
      <c r="G97" s="174" t="s">
        <v>141</v>
      </c>
      <c r="H97" s="174" t="s">
        <v>4</v>
      </c>
      <c r="I97" s="175">
        <v>58.820192853091299</v>
      </c>
      <c r="J97" s="175">
        <v>195.83464566929072</v>
      </c>
      <c r="K97" s="175">
        <v>64.232283464567061</v>
      </c>
      <c r="L97" s="175">
        <v>66.551181102362321</v>
      </c>
      <c r="M97" s="175">
        <v>19.043307086614174</v>
      </c>
      <c r="N97" s="175">
        <v>114.89763779527584</v>
      </c>
      <c r="O97" s="175">
        <v>230.7637795275582</v>
      </c>
      <c r="P97" s="175">
        <v>0</v>
      </c>
      <c r="Q97" s="175">
        <v>0</v>
      </c>
      <c r="R97" s="175">
        <v>53.618110236220609</v>
      </c>
      <c r="S97" s="175">
        <v>27.153543307086625</v>
      </c>
      <c r="T97" s="175">
        <v>22.346456692913392</v>
      </c>
      <c r="U97" s="176">
        <v>242.54330708661342</v>
      </c>
      <c r="V97" s="176">
        <v>250.98425196850292</v>
      </c>
      <c r="W97" s="174"/>
      <c r="X97" s="174" t="s">
        <v>702</v>
      </c>
      <c r="Y97" s="177">
        <v>45004</v>
      </c>
      <c r="Z97" s="177" t="s">
        <v>561</v>
      </c>
      <c r="AA97" s="177" t="s">
        <v>240</v>
      </c>
      <c r="AB97" s="178" t="s">
        <v>561</v>
      </c>
      <c r="AC97" s="180" t="s">
        <v>566</v>
      </c>
      <c r="AD97" s="179" t="s">
        <v>592</v>
      </c>
      <c r="AE97" s="180" t="s">
        <v>561</v>
      </c>
      <c r="AF97" s="180" t="s">
        <v>144</v>
      </c>
      <c r="AG97" s="179">
        <v>44307</v>
      </c>
    </row>
    <row r="98" spans="1:33" ht="15.5" x14ac:dyDescent="0.35">
      <c r="A98" s="174" t="s">
        <v>37</v>
      </c>
      <c r="B98" s="174" t="s">
        <v>396</v>
      </c>
      <c r="C98" s="174" t="s">
        <v>397</v>
      </c>
      <c r="D98" s="174" t="s">
        <v>231</v>
      </c>
      <c r="E98" s="174">
        <v>33762</v>
      </c>
      <c r="F98" s="174" t="s">
        <v>25</v>
      </c>
      <c r="G98" s="174" t="s">
        <v>202</v>
      </c>
      <c r="H98" s="174" t="s">
        <v>142</v>
      </c>
      <c r="I98" s="175">
        <v>1.64850136239782</v>
      </c>
      <c r="J98" s="175">
        <v>0.36220472440944845</v>
      </c>
      <c r="K98" s="175">
        <v>0.68897637795275513</v>
      </c>
      <c r="L98" s="175">
        <v>0.96850393700787263</v>
      </c>
      <c r="M98" s="175">
        <v>0.37795275590551153</v>
      </c>
      <c r="N98" s="175">
        <v>1.4055118110236202</v>
      </c>
      <c r="O98" s="175">
        <v>0.90157480314960503</v>
      </c>
      <c r="P98" s="175">
        <v>1.5748031496062992E-2</v>
      </c>
      <c r="Q98" s="175">
        <v>7.4803149606299218E-2</v>
      </c>
      <c r="R98" s="175">
        <v>7.874015748031496E-3</v>
      </c>
      <c r="S98" s="175">
        <v>1.5748031496062992E-2</v>
      </c>
      <c r="T98" s="175">
        <v>3.937007874015748E-3</v>
      </c>
      <c r="U98" s="176">
        <v>2.3700787401574765</v>
      </c>
      <c r="V98" s="176">
        <v>1.6220472440944858</v>
      </c>
      <c r="W98" s="174"/>
      <c r="X98" s="174" t="s">
        <v>388</v>
      </c>
      <c r="Y98" s="177" t="s">
        <v>560</v>
      </c>
      <c r="Z98" s="177" t="s">
        <v>560</v>
      </c>
      <c r="AA98" s="177" t="s">
        <v>560</v>
      </c>
      <c r="AB98" s="178" t="s">
        <v>558</v>
      </c>
      <c r="AC98" s="178" t="s">
        <v>566</v>
      </c>
      <c r="AD98" s="179" t="s">
        <v>578</v>
      </c>
      <c r="AE98" s="180" t="s">
        <v>239</v>
      </c>
      <c r="AF98" s="180" t="s">
        <v>249</v>
      </c>
      <c r="AG98" s="179">
        <v>43364</v>
      </c>
    </row>
    <row r="99" spans="1:33" ht="15.5" x14ac:dyDescent="0.35">
      <c r="A99" s="174" t="s">
        <v>267</v>
      </c>
      <c r="B99" s="174" t="s">
        <v>268</v>
      </c>
      <c r="C99" s="174" t="s">
        <v>269</v>
      </c>
      <c r="D99" s="174" t="s">
        <v>24</v>
      </c>
      <c r="E99" s="174">
        <v>2360</v>
      </c>
      <c r="F99" s="174" t="s">
        <v>270</v>
      </c>
      <c r="G99" s="174" t="s">
        <v>161</v>
      </c>
      <c r="H99" s="174" t="s">
        <v>4</v>
      </c>
      <c r="I99" s="175">
        <v>33.868789808917199</v>
      </c>
      <c r="J99" s="175">
        <v>25.834645669291451</v>
      </c>
      <c r="K99" s="175">
        <v>3.7480314960629912</v>
      </c>
      <c r="L99" s="175">
        <v>28.21259842519687</v>
      </c>
      <c r="M99" s="175">
        <v>31.822834645669325</v>
      </c>
      <c r="N99" s="175">
        <v>41.110236220472473</v>
      </c>
      <c r="O99" s="175">
        <v>48.507874015748328</v>
      </c>
      <c r="P99" s="175">
        <v>0</v>
      </c>
      <c r="Q99" s="175">
        <v>0</v>
      </c>
      <c r="R99" s="175">
        <v>13.960629921259843</v>
      </c>
      <c r="S99" s="175">
        <v>2.8503937007874018</v>
      </c>
      <c r="T99" s="175">
        <v>0.68503937007874016</v>
      </c>
      <c r="U99" s="176">
        <v>72.122047244094531</v>
      </c>
      <c r="V99" s="176">
        <v>68.507874015748101</v>
      </c>
      <c r="W99" s="174"/>
      <c r="X99" s="174" t="s">
        <v>702</v>
      </c>
      <c r="Y99" s="177">
        <v>44937</v>
      </c>
      <c r="Z99" s="177" t="s">
        <v>558</v>
      </c>
      <c r="AA99" s="177" t="s">
        <v>240</v>
      </c>
      <c r="AB99" s="178" t="s">
        <v>558</v>
      </c>
      <c r="AC99" s="178" t="s">
        <v>249</v>
      </c>
      <c r="AD99" s="182" t="s">
        <v>584</v>
      </c>
      <c r="AE99" s="180" t="s">
        <v>558</v>
      </c>
      <c r="AF99" s="180" t="s">
        <v>249</v>
      </c>
      <c r="AG99" s="179">
        <v>44357</v>
      </c>
    </row>
    <row r="100" spans="1:33" ht="15.5" x14ac:dyDescent="0.35">
      <c r="A100" s="174" t="s">
        <v>379</v>
      </c>
      <c r="B100" s="174" t="s">
        <v>380</v>
      </c>
      <c r="C100" s="174" t="s">
        <v>381</v>
      </c>
      <c r="D100" s="174" t="s">
        <v>350</v>
      </c>
      <c r="E100" s="174">
        <v>50313</v>
      </c>
      <c r="F100" s="174" t="s">
        <v>274</v>
      </c>
      <c r="G100" s="174" t="s">
        <v>202</v>
      </c>
      <c r="H100" s="174" t="s">
        <v>142</v>
      </c>
      <c r="I100" s="175">
        <v>42.797546012269898</v>
      </c>
      <c r="J100" s="175">
        <v>3.393700787401575</v>
      </c>
      <c r="K100" s="175">
        <v>8.7992125984251963</v>
      </c>
      <c r="L100" s="175">
        <v>6.2952755905511788</v>
      </c>
      <c r="M100" s="175">
        <v>5.9685039370078723</v>
      </c>
      <c r="N100" s="175">
        <v>17.543307086614185</v>
      </c>
      <c r="O100" s="175">
        <v>6.0708661417322807</v>
      </c>
      <c r="P100" s="175">
        <v>0.7165354330708662</v>
      </c>
      <c r="Q100" s="175">
        <v>0.12598425196850394</v>
      </c>
      <c r="R100" s="175">
        <v>3.8307086614173231</v>
      </c>
      <c r="S100" s="175">
        <v>0.43307086614173229</v>
      </c>
      <c r="T100" s="175">
        <v>0.75984251968503924</v>
      </c>
      <c r="U100" s="176">
        <v>19.433070866141733</v>
      </c>
      <c r="V100" s="176">
        <v>23.125984251968518</v>
      </c>
      <c r="W100" s="174"/>
      <c r="X100" s="174" t="s">
        <v>702</v>
      </c>
      <c r="Y100" s="177">
        <v>45005</v>
      </c>
      <c r="Z100" s="177" t="s">
        <v>589</v>
      </c>
      <c r="AA100" s="177" t="s">
        <v>249</v>
      </c>
      <c r="AB100" s="178" t="s">
        <v>239</v>
      </c>
      <c r="AC100" s="178" t="s">
        <v>249</v>
      </c>
      <c r="AD100" s="179" t="s">
        <v>591</v>
      </c>
      <c r="AE100" s="180" t="s">
        <v>239</v>
      </c>
      <c r="AF100" s="180" t="s">
        <v>249</v>
      </c>
      <c r="AG100" s="179">
        <v>43678</v>
      </c>
    </row>
    <row r="101" spans="1:33" ht="15.5" x14ac:dyDescent="0.35">
      <c r="A101" s="174" t="s">
        <v>182</v>
      </c>
      <c r="B101" s="174" t="s">
        <v>183</v>
      </c>
      <c r="C101" s="174" t="s">
        <v>184</v>
      </c>
      <c r="D101" s="174" t="s">
        <v>152</v>
      </c>
      <c r="E101" s="174">
        <v>78566</v>
      </c>
      <c r="F101" s="174" t="s">
        <v>564</v>
      </c>
      <c r="G101" s="174" t="s">
        <v>185</v>
      </c>
      <c r="H101" s="174" t="s">
        <v>142</v>
      </c>
      <c r="I101" s="175">
        <v>11.7014832427536</v>
      </c>
      <c r="J101" s="175">
        <v>706.08661417317512</v>
      </c>
      <c r="K101" s="175">
        <v>23.437007874015794</v>
      </c>
      <c r="L101" s="175">
        <v>0.452755905511811</v>
      </c>
      <c r="M101" s="175">
        <v>18.232283464566923</v>
      </c>
      <c r="N101" s="175">
        <v>99.925196850393476</v>
      </c>
      <c r="O101" s="175">
        <v>645.31496062988072</v>
      </c>
      <c r="P101" s="175">
        <v>5.5118110236220472E-2</v>
      </c>
      <c r="Q101" s="175">
        <v>2.9133858267716488</v>
      </c>
      <c r="R101" s="175">
        <v>10.208661417322837</v>
      </c>
      <c r="S101" s="175">
        <v>7.9212598425196799</v>
      </c>
      <c r="T101" s="175">
        <v>20.92125984251971</v>
      </c>
      <c r="U101" s="176">
        <v>709.15748031490682</v>
      </c>
      <c r="V101" s="176">
        <v>453.22834645667342</v>
      </c>
      <c r="W101" s="174">
        <v>650</v>
      </c>
      <c r="X101" s="174" t="s">
        <v>702</v>
      </c>
      <c r="Y101" s="177">
        <v>45078</v>
      </c>
      <c r="Z101" s="177" t="s">
        <v>561</v>
      </c>
      <c r="AA101" s="177" t="s">
        <v>423</v>
      </c>
      <c r="AB101" s="178" t="s">
        <v>561</v>
      </c>
      <c r="AC101" s="178" t="s">
        <v>144</v>
      </c>
      <c r="AD101" s="179" t="s">
        <v>590</v>
      </c>
      <c r="AE101" s="180" t="s">
        <v>561</v>
      </c>
      <c r="AF101" s="180" t="s">
        <v>144</v>
      </c>
      <c r="AG101" s="179">
        <v>44223</v>
      </c>
    </row>
    <row r="102" spans="1:33" ht="15.5" x14ac:dyDescent="0.35">
      <c r="A102" s="174" t="s">
        <v>424</v>
      </c>
      <c r="B102" s="174" t="s">
        <v>425</v>
      </c>
      <c r="C102" s="174" t="s">
        <v>426</v>
      </c>
      <c r="D102" s="174" t="s">
        <v>350</v>
      </c>
      <c r="E102" s="174">
        <v>51501</v>
      </c>
      <c r="F102" s="174" t="s">
        <v>274</v>
      </c>
      <c r="G102" s="174" t="s">
        <v>202</v>
      </c>
      <c r="H102" s="174" t="s">
        <v>142</v>
      </c>
      <c r="I102" s="175">
        <v>29.476851851851901</v>
      </c>
      <c r="J102" s="175">
        <v>0.94881889763779526</v>
      </c>
      <c r="K102" s="175">
        <v>2.523622047244094</v>
      </c>
      <c r="L102" s="175">
        <v>13.775590551181113</v>
      </c>
      <c r="M102" s="175">
        <v>10.074803149606298</v>
      </c>
      <c r="N102" s="175">
        <v>24.905511811023654</v>
      </c>
      <c r="O102" s="175">
        <v>2.3582677165354333</v>
      </c>
      <c r="P102" s="175">
        <v>5.905511811023622E-2</v>
      </c>
      <c r="Q102" s="175">
        <v>0</v>
      </c>
      <c r="R102" s="175">
        <v>4.7519685039370065</v>
      </c>
      <c r="S102" s="175">
        <v>1.2362204724409449</v>
      </c>
      <c r="T102" s="175">
        <v>0.93307086614173218</v>
      </c>
      <c r="U102" s="176">
        <v>20.401574803149622</v>
      </c>
      <c r="V102" s="176">
        <v>25.822834645669321</v>
      </c>
      <c r="W102" s="174"/>
      <c r="X102" s="174" t="s">
        <v>702</v>
      </c>
      <c r="Y102" s="177">
        <v>44917</v>
      </c>
      <c r="Z102" s="177" t="s">
        <v>589</v>
      </c>
      <c r="AA102" s="177" t="s">
        <v>588</v>
      </c>
      <c r="AB102" s="178" t="s">
        <v>239</v>
      </c>
      <c r="AC102" s="180" t="s">
        <v>566</v>
      </c>
      <c r="AD102" s="182" t="s">
        <v>587</v>
      </c>
      <c r="AE102" s="180" t="s">
        <v>558</v>
      </c>
      <c r="AF102" s="180" t="s">
        <v>566</v>
      </c>
      <c r="AG102" s="179">
        <v>44546</v>
      </c>
    </row>
    <row r="103" spans="1:33" ht="15.5" x14ac:dyDescent="0.35">
      <c r="A103" s="174" t="s">
        <v>218</v>
      </c>
      <c r="B103" s="174" t="s">
        <v>219</v>
      </c>
      <c r="C103" s="174" t="s">
        <v>34</v>
      </c>
      <c r="D103" s="174" t="s">
        <v>152</v>
      </c>
      <c r="E103" s="174">
        <v>76009</v>
      </c>
      <c r="F103" s="174" t="s">
        <v>220</v>
      </c>
      <c r="G103" s="174" t="s">
        <v>141</v>
      </c>
      <c r="H103" s="174" t="s">
        <v>142</v>
      </c>
      <c r="I103" s="175">
        <v>19.405033157626299</v>
      </c>
      <c r="J103" s="175">
        <v>171.2952755905491</v>
      </c>
      <c r="K103" s="175">
        <v>62.291338582677113</v>
      </c>
      <c r="L103" s="175">
        <v>149.96062992125914</v>
      </c>
      <c r="M103" s="175">
        <v>115.45669291338565</v>
      </c>
      <c r="N103" s="175">
        <v>279.79921259842342</v>
      </c>
      <c r="O103" s="175">
        <v>190.83858267716343</v>
      </c>
      <c r="P103" s="175">
        <v>17.633858267716548</v>
      </c>
      <c r="Q103" s="175">
        <v>10.732283464566947</v>
      </c>
      <c r="R103" s="175">
        <v>140.70472440944866</v>
      </c>
      <c r="S103" s="175">
        <v>66.73622047244092</v>
      </c>
      <c r="T103" s="175">
        <v>66.590551181102299</v>
      </c>
      <c r="U103" s="176">
        <v>224.97244094487968</v>
      </c>
      <c r="V103" s="176">
        <v>398.85433070865383</v>
      </c>
      <c r="W103" s="174">
        <v>525</v>
      </c>
      <c r="X103" s="174" t="s">
        <v>702</v>
      </c>
      <c r="Y103" s="177">
        <v>44957</v>
      </c>
      <c r="Z103" s="177" t="s">
        <v>561</v>
      </c>
      <c r="AA103" s="177" t="s">
        <v>240</v>
      </c>
      <c r="AB103" s="178" t="s">
        <v>561</v>
      </c>
      <c r="AC103" s="178" t="s">
        <v>144</v>
      </c>
      <c r="AD103" s="179" t="s">
        <v>567</v>
      </c>
      <c r="AE103" s="180" t="s">
        <v>561</v>
      </c>
      <c r="AF103" s="180" t="s">
        <v>144</v>
      </c>
      <c r="AG103" s="179">
        <v>44237</v>
      </c>
    </row>
    <row r="104" spans="1:33" ht="15.5" x14ac:dyDescent="0.35">
      <c r="A104" s="174" t="s">
        <v>739</v>
      </c>
      <c r="B104" s="174" t="s">
        <v>738</v>
      </c>
      <c r="C104" s="174" t="s">
        <v>737</v>
      </c>
      <c r="D104" s="174" t="s">
        <v>152</v>
      </c>
      <c r="E104" s="174">
        <v>79118</v>
      </c>
      <c r="F104" s="174" t="s">
        <v>220</v>
      </c>
      <c r="G104" s="174" t="s">
        <v>202</v>
      </c>
      <c r="H104" s="174" t="s">
        <v>142</v>
      </c>
      <c r="I104" s="175">
        <v>1.7216494845360799</v>
      </c>
      <c r="J104" s="175">
        <v>0.39370078740157444</v>
      </c>
      <c r="K104" s="175">
        <v>0.29921259842519671</v>
      </c>
      <c r="L104" s="175">
        <v>0.37795275590551142</v>
      </c>
      <c r="M104" s="175">
        <v>0.21653543307086615</v>
      </c>
      <c r="N104" s="175">
        <v>0.92519685039369948</v>
      </c>
      <c r="O104" s="175">
        <v>0.3425196850393698</v>
      </c>
      <c r="P104" s="175">
        <v>1.1811023622047244E-2</v>
      </c>
      <c r="Q104" s="175">
        <v>7.874015748031496E-3</v>
      </c>
      <c r="R104" s="175">
        <v>4.7244094488188976E-2</v>
      </c>
      <c r="S104" s="175">
        <v>0</v>
      </c>
      <c r="T104" s="175">
        <v>0</v>
      </c>
      <c r="U104" s="176">
        <v>1.2401574803149589</v>
      </c>
      <c r="V104" s="176">
        <v>0.88582677165354218</v>
      </c>
      <c r="W104" s="174"/>
      <c r="X104" s="174" t="s">
        <v>702</v>
      </c>
      <c r="Y104" s="177">
        <v>45029</v>
      </c>
      <c r="Z104" s="177" t="s">
        <v>558</v>
      </c>
      <c r="AA104" s="177" t="s">
        <v>588</v>
      </c>
      <c r="AB104" s="178" t="s">
        <v>558</v>
      </c>
      <c r="AC104" s="180" t="s">
        <v>566</v>
      </c>
      <c r="AD104" s="182" t="s">
        <v>736</v>
      </c>
      <c r="AE104" s="180" t="s">
        <v>558</v>
      </c>
      <c r="AF104" s="180" t="s">
        <v>566</v>
      </c>
      <c r="AG104" s="179">
        <v>44500</v>
      </c>
    </row>
    <row r="105" spans="1:33" ht="15.5" x14ac:dyDescent="0.35">
      <c r="A105" s="174" t="s">
        <v>195</v>
      </c>
      <c r="B105" s="174" t="s">
        <v>196</v>
      </c>
      <c r="C105" s="174" t="s">
        <v>197</v>
      </c>
      <c r="D105" s="174" t="s">
        <v>159</v>
      </c>
      <c r="E105" s="174">
        <v>71202</v>
      </c>
      <c r="F105" s="174" t="s">
        <v>160</v>
      </c>
      <c r="G105" s="174" t="s">
        <v>141</v>
      </c>
      <c r="H105" s="174" t="s">
        <v>4</v>
      </c>
      <c r="I105" s="175">
        <v>44.234062797335902</v>
      </c>
      <c r="J105" s="175">
        <v>460.80708661415997</v>
      </c>
      <c r="K105" s="175">
        <v>9.6732283464566926</v>
      </c>
      <c r="L105" s="175">
        <v>1.7716535433070866</v>
      </c>
      <c r="M105" s="175">
        <v>0.26377952755905509</v>
      </c>
      <c r="N105" s="175">
        <v>15.637795275590552</v>
      </c>
      <c r="O105" s="175">
        <v>272.54724409448528</v>
      </c>
      <c r="P105" s="175">
        <v>0.75590551181102361</v>
      </c>
      <c r="Q105" s="175">
        <v>183.57480314960549</v>
      </c>
      <c r="R105" s="175">
        <v>2.3503937007874014</v>
      </c>
      <c r="S105" s="175">
        <v>1.8661417322834644</v>
      </c>
      <c r="T105" s="175">
        <v>6.2086614173228361</v>
      </c>
      <c r="U105" s="176">
        <v>462.09055118108904</v>
      </c>
      <c r="V105" s="176">
        <v>242.16929133858287</v>
      </c>
      <c r="W105" s="174">
        <v>677</v>
      </c>
      <c r="X105" s="174" t="s">
        <v>702</v>
      </c>
      <c r="Y105" s="177">
        <v>44900</v>
      </c>
      <c r="Z105" s="178" t="s">
        <v>561</v>
      </c>
      <c r="AA105" s="177" t="s">
        <v>423</v>
      </c>
      <c r="AB105" s="178" t="s">
        <v>561</v>
      </c>
      <c r="AC105" s="178" t="s">
        <v>144</v>
      </c>
      <c r="AD105" s="179" t="s">
        <v>580</v>
      </c>
      <c r="AE105" s="180" t="s">
        <v>561</v>
      </c>
      <c r="AF105" s="180" t="s">
        <v>144</v>
      </c>
      <c r="AG105" s="179">
        <v>44125</v>
      </c>
    </row>
    <row r="106" spans="1:33" ht="15.5" x14ac:dyDescent="0.35">
      <c r="A106" s="174" t="s">
        <v>13</v>
      </c>
      <c r="B106" s="174" t="s">
        <v>250</v>
      </c>
      <c r="C106" s="174" t="s">
        <v>251</v>
      </c>
      <c r="D106" s="174" t="s">
        <v>152</v>
      </c>
      <c r="E106" s="174">
        <v>78046</v>
      </c>
      <c r="F106" s="174" t="s">
        <v>564</v>
      </c>
      <c r="G106" s="174" t="s">
        <v>176</v>
      </c>
      <c r="H106" s="174" t="s">
        <v>4</v>
      </c>
      <c r="I106" s="175">
        <v>37.440018527095901</v>
      </c>
      <c r="J106" s="175">
        <v>271.05118110236197</v>
      </c>
      <c r="K106" s="175">
        <v>5.8307086614173196</v>
      </c>
      <c r="L106" s="175">
        <v>9.8897637795275575</v>
      </c>
      <c r="M106" s="175">
        <v>39.102362204724379</v>
      </c>
      <c r="N106" s="175">
        <v>31.244094488188995</v>
      </c>
      <c r="O106" s="175">
        <v>294.62992125983919</v>
      </c>
      <c r="P106" s="175">
        <v>0</v>
      </c>
      <c r="Q106" s="175">
        <v>0</v>
      </c>
      <c r="R106" s="175">
        <v>9.4881889763779501</v>
      </c>
      <c r="S106" s="175">
        <v>3.7677165354330708</v>
      </c>
      <c r="T106" s="175">
        <v>5.7992125984251945</v>
      </c>
      <c r="U106" s="176">
        <v>306.81889763779134</v>
      </c>
      <c r="V106" s="176">
        <v>208.15748031496037</v>
      </c>
      <c r="W106" s="174">
        <v>275</v>
      </c>
      <c r="X106" s="174" t="s">
        <v>702</v>
      </c>
      <c r="Y106" s="177">
        <v>44967</v>
      </c>
      <c r="Z106" s="177" t="s">
        <v>203</v>
      </c>
      <c r="AA106" s="177" t="s">
        <v>240</v>
      </c>
      <c r="AB106" s="178" t="s">
        <v>203</v>
      </c>
      <c r="AC106" s="178" t="s">
        <v>144</v>
      </c>
      <c r="AD106" s="179" t="s">
        <v>586</v>
      </c>
      <c r="AE106" s="180" t="s">
        <v>203</v>
      </c>
      <c r="AF106" s="180" t="s">
        <v>144</v>
      </c>
      <c r="AG106" s="179">
        <v>44265</v>
      </c>
    </row>
    <row r="107" spans="1:33" ht="15.5" x14ac:dyDescent="0.35">
      <c r="A107" s="174" t="s">
        <v>252</v>
      </c>
      <c r="B107" s="174" t="s">
        <v>253</v>
      </c>
      <c r="C107" s="174" t="s">
        <v>254</v>
      </c>
      <c r="D107" s="174" t="s">
        <v>159</v>
      </c>
      <c r="E107" s="174">
        <v>71334</v>
      </c>
      <c r="F107" s="174" t="s">
        <v>160</v>
      </c>
      <c r="G107" s="174" t="s">
        <v>141</v>
      </c>
      <c r="H107" s="174" t="s">
        <v>4</v>
      </c>
      <c r="I107" s="175">
        <v>56.697439353099703</v>
      </c>
      <c r="J107" s="175">
        <v>281.25590551180721</v>
      </c>
      <c r="K107" s="175">
        <v>11.011811023622048</v>
      </c>
      <c r="L107" s="175">
        <v>0.69685039370078727</v>
      </c>
      <c r="M107" s="175">
        <v>0.29527559055118113</v>
      </c>
      <c r="N107" s="175">
        <v>9.8110236220472409</v>
      </c>
      <c r="O107" s="175">
        <v>283.44881889763371</v>
      </c>
      <c r="P107" s="175">
        <v>0</v>
      </c>
      <c r="Q107" s="175">
        <v>0</v>
      </c>
      <c r="R107" s="175">
        <v>4.0354330708661426</v>
      </c>
      <c r="S107" s="175">
        <v>1.1181102362204725</v>
      </c>
      <c r="T107" s="175">
        <v>2.6692913385826773</v>
      </c>
      <c r="U107" s="176">
        <v>285.43700787401173</v>
      </c>
      <c r="V107" s="176">
        <v>212.91732283464597</v>
      </c>
      <c r="W107" s="174">
        <v>361</v>
      </c>
      <c r="X107" s="174" t="s">
        <v>702</v>
      </c>
      <c r="Y107" s="177">
        <v>44916</v>
      </c>
      <c r="Z107" s="177" t="s">
        <v>561</v>
      </c>
      <c r="AA107" s="177" t="s">
        <v>240</v>
      </c>
      <c r="AB107" s="178" t="s">
        <v>561</v>
      </c>
      <c r="AC107" s="178" t="s">
        <v>144</v>
      </c>
      <c r="AD107" s="179" t="s">
        <v>585</v>
      </c>
      <c r="AE107" s="180" t="s">
        <v>561</v>
      </c>
      <c r="AF107" s="180" t="s">
        <v>144</v>
      </c>
      <c r="AG107" s="179">
        <v>44427</v>
      </c>
    </row>
    <row r="108" spans="1:33" ht="15.5" x14ac:dyDescent="0.35">
      <c r="A108" s="174" t="s">
        <v>351</v>
      </c>
      <c r="B108" s="174" t="s">
        <v>352</v>
      </c>
      <c r="C108" s="174" t="s">
        <v>353</v>
      </c>
      <c r="D108" s="174" t="s">
        <v>309</v>
      </c>
      <c r="E108" s="174">
        <v>48060</v>
      </c>
      <c r="F108" s="174" t="s">
        <v>304</v>
      </c>
      <c r="G108" s="174" t="s">
        <v>161</v>
      </c>
      <c r="H108" s="174" t="s">
        <v>4</v>
      </c>
      <c r="I108" s="175">
        <v>34.254385964912302</v>
      </c>
      <c r="J108" s="175">
        <v>21.208661417322833</v>
      </c>
      <c r="K108" s="175">
        <v>10.716535433070865</v>
      </c>
      <c r="L108" s="175">
        <v>5.6889763779527547</v>
      </c>
      <c r="M108" s="175">
        <v>4.6692913385826751</v>
      </c>
      <c r="N108" s="175">
        <v>18.287401574803159</v>
      </c>
      <c r="O108" s="175">
        <v>23.984251968503941</v>
      </c>
      <c r="P108" s="175">
        <v>1.1811023622047244E-2</v>
      </c>
      <c r="Q108" s="175">
        <v>0</v>
      </c>
      <c r="R108" s="175">
        <v>8.4448818897637778</v>
      </c>
      <c r="S108" s="175">
        <v>2.7086614173228347</v>
      </c>
      <c r="T108" s="175">
        <v>4.0196850393700778</v>
      </c>
      <c r="U108" s="176">
        <v>27.110236220472441</v>
      </c>
      <c r="V108" s="176">
        <v>32.622047244094524</v>
      </c>
      <c r="W108" s="174"/>
      <c r="X108" s="174" t="s">
        <v>702</v>
      </c>
      <c r="Y108" s="177">
        <v>45070</v>
      </c>
      <c r="Z108" s="177" t="s">
        <v>558</v>
      </c>
      <c r="AA108" s="177" t="s">
        <v>249</v>
      </c>
      <c r="AB108" s="178" t="s">
        <v>558</v>
      </c>
      <c r="AC108" s="178" t="s">
        <v>249</v>
      </c>
      <c r="AD108" s="179" t="s">
        <v>584</v>
      </c>
      <c r="AE108" s="180" t="s">
        <v>203</v>
      </c>
      <c r="AF108" s="180" t="s">
        <v>144</v>
      </c>
      <c r="AG108" s="179">
        <v>44105</v>
      </c>
    </row>
    <row r="109" spans="1:33" ht="15.5" x14ac:dyDescent="0.35">
      <c r="A109" s="174" t="s">
        <v>401</v>
      </c>
      <c r="B109" s="174" t="s">
        <v>402</v>
      </c>
      <c r="C109" s="174" t="s">
        <v>403</v>
      </c>
      <c r="D109" s="174" t="s">
        <v>404</v>
      </c>
      <c r="E109" s="174">
        <v>96950</v>
      </c>
      <c r="F109" s="174" t="s">
        <v>265</v>
      </c>
      <c r="G109" s="174" t="s">
        <v>202</v>
      </c>
      <c r="H109" s="174" t="s">
        <v>142</v>
      </c>
      <c r="I109" s="175">
        <v>55.5</v>
      </c>
      <c r="J109" s="175">
        <v>0.452755905511811</v>
      </c>
      <c r="K109" s="175">
        <v>0.87007874015748032</v>
      </c>
      <c r="L109" s="175">
        <v>0</v>
      </c>
      <c r="M109" s="175">
        <v>0</v>
      </c>
      <c r="N109" s="175">
        <v>0.88188976377952755</v>
      </c>
      <c r="O109" s="175">
        <v>1.968503937007874E-2</v>
      </c>
      <c r="P109" s="175">
        <v>0.42125984251968501</v>
      </c>
      <c r="Q109" s="175">
        <v>0</v>
      </c>
      <c r="R109" s="175">
        <v>1.0472440944881891</v>
      </c>
      <c r="S109" s="175">
        <v>0</v>
      </c>
      <c r="T109" s="175">
        <v>0.12204724409448819</v>
      </c>
      <c r="U109" s="176">
        <v>0.15354330708661418</v>
      </c>
      <c r="V109" s="176">
        <v>1.3228346456692914</v>
      </c>
      <c r="W109" s="174"/>
      <c r="X109" s="174" t="s">
        <v>795</v>
      </c>
      <c r="Y109" s="177" t="s">
        <v>560</v>
      </c>
      <c r="Z109" s="177" t="s">
        <v>560</v>
      </c>
      <c r="AA109" s="177" t="s">
        <v>560</v>
      </c>
      <c r="AB109" s="178" t="s">
        <v>558</v>
      </c>
      <c r="AC109" s="180" t="s">
        <v>566</v>
      </c>
      <c r="AD109" s="179" t="s">
        <v>583</v>
      </c>
      <c r="AE109" s="180" t="s">
        <v>558</v>
      </c>
      <c r="AF109" s="180" t="s">
        <v>566</v>
      </c>
      <c r="AG109" s="179">
        <v>44618</v>
      </c>
    </row>
    <row r="110" spans="1:33" ht="15.5" x14ac:dyDescent="0.35">
      <c r="A110" s="174" t="s">
        <v>427</v>
      </c>
      <c r="B110" s="174" t="s">
        <v>428</v>
      </c>
      <c r="C110" s="174" t="s">
        <v>429</v>
      </c>
      <c r="D110" s="174" t="s">
        <v>389</v>
      </c>
      <c r="E110" s="174">
        <v>84119</v>
      </c>
      <c r="F110" s="174" t="s">
        <v>296</v>
      </c>
      <c r="G110" s="174" t="s">
        <v>202</v>
      </c>
      <c r="H110" s="174" t="s">
        <v>142</v>
      </c>
      <c r="I110" s="175">
        <v>1.87370600414079</v>
      </c>
      <c r="J110" s="175">
        <v>0.22440944881889752</v>
      </c>
      <c r="K110" s="175">
        <v>2.2992125984251932</v>
      </c>
      <c r="L110" s="175">
        <v>0.69291338582677087</v>
      </c>
      <c r="M110" s="175">
        <v>0.39763779527559029</v>
      </c>
      <c r="N110" s="175">
        <v>2.9409448818897594</v>
      </c>
      <c r="O110" s="175">
        <v>0.50787401574803093</v>
      </c>
      <c r="P110" s="175">
        <v>0.13385826771653542</v>
      </c>
      <c r="Q110" s="175">
        <v>3.1496062992125984E-2</v>
      </c>
      <c r="R110" s="175">
        <v>0.35433070866141714</v>
      </c>
      <c r="S110" s="175">
        <v>9.055118110236221E-2</v>
      </c>
      <c r="T110" s="175">
        <v>2.7559055118110236E-2</v>
      </c>
      <c r="U110" s="176">
        <v>3.1417322834645618</v>
      </c>
      <c r="V110" s="176">
        <v>3.0944881889763729</v>
      </c>
      <c r="W110" s="174"/>
      <c r="X110" s="174" t="s">
        <v>388</v>
      </c>
      <c r="Y110" s="177" t="s">
        <v>560</v>
      </c>
      <c r="Z110" s="177" t="s">
        <v>560</v>
      </c>
      <c r="AA110" s="177" t="s">
        <v>560</v>
      </c>
      <c r="AB110" s="178" t="s">
        <v>558</v>
      </c>
      <c r="AC110" s="178" t="s">
        <v>566</v>
      </c>
      <c r="AD110" s="179" t="s">
        <v>582</v>
      </c>
      <c r="AE110" s="180" t="s">
        <v>239</v>
      </c>
      <c r="AF110" s="180" t="s">
        <v>249</v>
      </c>
      <c r="AG110" s="179">
        <v>43358</v>
      </c>
    </row>
    <row r="111" spans="1:33" ht="15.5" x14ac:dyDescent="0.35">
      <c r="A111" s="174" t="s">
        <v>735</v>
      </c>
      <c r="B111" s="174" t="s">
        <v>734</v>
      </c>
      <c r="C111" s="174" t="s">
        <v>733</v>
      </c>
      <c r="D111" s="174" t="s">
        <v>400</v>
      </c>
      <c r="E111" s="174">
        <v>965</v>
      </c>
      <c r="F111" s="174" t="s">
        <v>25</v>
      </c>
      <c r="G111" s="174" t="s">
        <v>280</v>
      </c>
      <c r="H111" s="174" t="s">
        <v>142</v>
      </c>
      <c r="I111" s="175">
        <v>2.3996350364963499</v>
      </c>
      <c r="J111" s="175">
        <v>5.0748031496062911</v>
      </c>
      <c r="K111" s="175">
        <v>7.874015748031496E-2</v>
      </c>
      <c r="L111" s="175">
        <v>3.5433070866141732E-2</v>
      </c>
      <c r="M111" s="175">
        <v>0</v>
      </c>
      <c r="N111" s="175">
        <v>0.14566929133858264</v>
      </c>
      <c r="O111" s="175">
        <v>4.0787401574803086</v>
      </c>
      <c r="P111" s="175">
        <v>1.1811023622047244E-2</v>
      </c>
      <c r="Q111" s="175">
        <v>0.95275590551180978</v>
      </c>
      <c r="R111" s="175">
        <v>7.874015748031496E-3</v>
      </c>
      <c r="S111" s="175">
        <v>3.1496062992125984E-2</v>
      </c>
      <c r="T111" s="175">
        <v>1.1811023622047244E-2</v>
      </c>
      <c r="U111" s="176">
        <v>5.1377952755905429</v>
      </c>
      <c r="V111" s="176">
        <v>4.1496062992125919</v>
      </c>
      <c r="W111" s="174"/>
      <c r="X111" s="174" t="s">
        <v>162</v>
      </c>
      <c r="Y111" s="177" t="s">
        <v>560</v>
      </c>
      <c r="Z111" s="177" t="s">
        <v>560</v>
      </c>
      <c r="AA111" s="177" t="s">
        <v>560</v>
      </c>
      <c r="AB111" s="178" t="s">
        <v>162</v>
      </c>
      <c r="AC111" s="178" t="s">
        <v>162</v>
      </c>
      <c r="AD111" s="182" t="s">
        <v>162</v>
      </c>
      <c r="AE111" s="178" t="s">
        <v>162</v>
      </c>
      <c r="AF111" s="178" t="s">
        <v>162</v>
      </c>
      <c r="AG111" s="182" t="s">
        <v>162</v>
      </c>
    </row>
    <row r="112" spans="1:33" ht="15.5" x14ac:dyDescent="0.35">
      <c r="A112" s="174" t="s">
        <v>356</v>
      </c>
      <c r="B112" s="174" t="s">
        <v>357</v>
      </c>
      <c r="C112" s="174" t="s">
        <v>358</v>
      </c>
      <c r="D112" s="174" t="s">
        <v>163</v>
      </c>
      <c r="E112" s="174">
        <v>85349</v>
      </c>
      <c r="F112" s="174" t="s">
        <v>164</v>
      </c>
      <c r="G112" s="174" t="s">
        <v>161</v>
      </c>
      <c r="H112" s="174" t="s">
        <v>142</v>
      </c>
      <c r="I112" s="175">
        <v>4.8682732379054201</v>
      </c>
      <c r="J112" s="175">
        <v>101.05118110236101</v>
      </c>
      <c r="K112" s="175">
        <v>4.5826771653543235</v>
      </c>
      <c r="L112" s="175">
        <v>0.31889763779527563</v>
      </c>
      <c r="M112" s="175">
        <v>0.13385826771653542</v>
      </c>
      <c r="N112" s="175">
        <v>4.2047244094488141</v>
      </c>
      <c r="O112" s="175">
        <v>77.200787401575923</v>
      </c>
      <c r="P112" s="175">
        <v>0.11023622047244094</v>
      </c>
      <c r="Q112" s="175">
        <v>24.570866141732658</v>
      </c>
      <c r="R112" s="175">
        <v>3.1496062992125984E-2</v>
      </c>
      <c r="S112" s="175">
        <v>0.14960629921259844</v>
      </c>
      <c r="T112" s="175">
        <v>0.25590551181102356</v>
      </c>
      <c r="U112" s="176">
        <v>105.64960629921026</v>
      </c>
      <c r="V112" s="176">
        <v>38.26377952755935</v>
      </c>
      <c r="W112" s="174">
        <v>100</v>
      </c>
      <c r="X112" s="174" t="s">
        <v>702</v>
      </c>
      <c r="Y112" s="177">
        <v>44936</v>
      </c>
      <c r="Z112" s="177" t="s">
        <v>558</v>
      </c>
      <c r="AA112" s="177" t="s">
        <v>240</v>
      </c>
      <c r="AB112" s="178" t="s">
        <v>558</v>
      </c>
      <c r="AC112" s="178" t="s">
        <v>249</v>
      </c>
      <c r="AD112" s="179" t="s">
        <v>581</v>
      </c>
      <c r="AE112" s="180" t="s">
        <v>558</v>
      </c>
      <c r="AF112" s="180" t="s">
        <v>249</v>
      </c>
      <c r="AG112" s="179">
        <v>44314</v>
      </c>
    </row>
    <row r="113" spans="1:33" ht="15.5" x14ac:dyDescent="0.35">
      <c r="A113" s="174" t="s">
        <v>717</v>
      </c>
      <c r="B113" s="174" t="s">
        <v>718</v>
      </c>
      <c r="C113" s="174" t="s">
        <v>719</v>
      </c>
      <c r="D113" s="174" t="s">
        <v>720</v>
      </c>
      <c r="E113" s="174">
        <v>72901</v>
      </c>
      <c r="F113" s="174" t="s">
        <v>160</v>
      </c>
      <c r="G113" s="174" t="s">
        <v>202</v>
      </c>
      <c r="H113" s="174" t="s">
        <v>142</v>
      </c>
      <c r="I113" s="175">
        <v>2.0967741935483901</v>
      </c>
      <c r="J113" s="175">
        <v>2.7559055118110236E-2</v>
      </c>
      <c r="K113" s="175">
        <v>5.5118110236220472E-2</v>
      </c>
      <c r="L113" s="175">
        <v>8.2677165354330673E-2</v>
      </c>
      <c r="M113" s="175">
        <v>0.10629921259842517</v>
      </c>
      <c r="N113" s="175">
        <v>0.24015748031496059</v>
      </c>
      <c r="O113" s="175">
        <v>2.3622047244094488E-2</v>
      </c>
      <c r="P113" s="175">
        <v>7.874015748031496E-3</v>
      </c>
      <c r="Q113" s="175">
        <v>0</v>
      </c>
      <c r="R113" s="175">
        <v>3.937007874015748E-3</v>
      </c>
      <c r="S113" s="175">
        <v>1.5748031496062992E-2</v>
      </c>
      <c r="T113" s="175">
        <v>3.937007874015748E-3</v>
      </c>
      <c r="U113" s="176">
        <v>0.24803149606299213</v>
      </c>
      <c r="V113" s="176">
        <v>0.20866141732283458</v>
      </c>
      <c r="W113" s="174"/>
      <c r="X113" s="174" t="s">
        <v>388</v>
      </c>
      <c r="Y113" s="177" t="s">
        <v>560</v>
      </c>
      <c r="Z113" s="177" t="s">
        <v>560</v>
      </c>
      <c r="AA113" s="177" t="s">
        <v>560</v>
      </c>
      <c r="AB113" s="178" t="s">
        <v>239</v>
      </c>
      <c r="AC113" s="178" t="s">
        <v>249</v>
      </c>
      <c r="AD113" s="179" t="s">
        <v>721</v>
      </c>
      <c r="AE113" s="180" t="s">
        <v>239</v>
      </c>
      <c r="AF113" s="180" t="s">
        <v>249</v>
      </c>
      <c r="AG113" s="179">
        <v>42976</v>
      </c>
    </row>
    <row r="114" spans="1:33" ht="15.5" x14ac:dyDescent="0.35">
      <c r="A114" s="174" t="s">
        <v>12</v>
      </c>
      <c r="B114" s="174" t="s">
        <v>354</v>
      </c>
      <c r="C114" s="174" t="s">
        <v>355</v>
      </c>
      <c r="D114" s="174" t="s">
        <v>303</v>
      </c>
      <c r="E114" s="174">
        <v>44883</v>
      </c>
      <c r="F114" s="174" t="s">
        <v>304</v>
      </c>
      <c r="G114" s="174" t="s">
        <v>161</v>
      </c>
      <c r="H114" s="174" t="s">
        <v>142</v>
      </c>
      <c r="I114" s="175">
        <v>40.248520710059204</v>
      </c>
      <c r="J114" s="175">
        <v>11.822834645669303</v>
      </c>
      <c r="K114" s="175">
        <v>7.0944881889763751</v>
      </c>
      <c r="L114" s="175">
        <v>15.877952755905518</v>
      </c>
      <c r="M114" s="175">
        <v>19.4251968503937</v>
      </c>
      <c r="N114" s="175">
        <v>39.531496062992183</v>
      </c>
      <c r="O114" s="175">
        <v>13.602362204724422</v>
      </c>
      <c r="P114" s="175">
        <v>0.58267716535433067</v>
      </c>
      <c r="Q114" s="175">
        <v>0.50393700787401563</v>
      </c>
      <c r="R114" s="175">
        <v>21.913385826771659</v>
      </c>
      <c r="S114" s="175">
        <v>4.1574803149606288</v>
      </c>
      <c r="T114" s="175">
        <v>5.1456692913385806</v>
      </c>
      <c r="U114" s="176">
        <v>23.003937007874033</v>
      </c>
      <c r="V114" s="176">
        <v>47.346456692913463</v>
      </c>
      <c r="W114" s="174"/>
      <c r="X114" s="174" t="s">
        <v>702</v>
      </c>
      <c r="Y114" s="177">
        <v>44904</v>
      </c>
      <c r="Z114" s="178" t="s">
        <v>558</v>
      </c>
      <c r="AA114" s="177" t="s">
        <v>240</v>
      </c>
      <c r="AB114" s="178" t="s">
        <v>239</v>
      </c>
      <c r="AC114" s="178" t="s">
        <v>249</v>
      </c>
      <c r="AD114" s="179" t="s">
        <v>580</v>
      </c>
      <c r="AE114" s="180" t="s">
        <v>239</v>
      </c>
      <c r="AF114" s="180" t="s">
        <v>249</v>
      </c>
      <c r="AG114" s="179">
        <v>44209</v>
      </c>
    </row>
    <row r="115" spans="1:33" ht="15.5" x14ac:dyDescent="0.35">
      <c r="A115" s="174" t="s">
        <v>16</v>
      </c>
      <c r="B115" s="174" t="s">
        <v>271</v>
      </c>
      <c r="C115" s="174" t="s">
        <v>272</v>
      </c>
      <c r="D115" s="174" t="s">
        <v>273</v>
      </c>
      <c r="E115" s="174">
        <v>55330</v>
      </c>
      <c r="F115" s="174" t="s">
        <v>274</v>
      </c>
      <c r="G115" s="174" t="s">
        <v>161</v>
      </c>
      <c r="H115" s="174" t="s">
        <v>142</v>
      </c>
      <c r="I115" s="175">
        <v>224</v>
      </c>
      <c r="J115" s="175">
        <v>0</v>
      </c>
      <c r="K115" s="175">
        <v>0</v>
      </c>
      <c r="L115" s="175">
        <v>1.1574803149606299</v>
      </c>
      <c r="M115" s="175">
        <v>1.2716535433070866</v>
      </c>
      <c r="N115" s="175">
        <v>2.4291338582677167</v>
      </c>
      <c r="O115" s="175">
        <v>0</v>
      </c>
      <c r="P115" s="175">
        <v>0</v>
      </c>
      <c r="Q115" s="175">
        <v>0</v>
      </c>
      <c r="R115" s="175">
        <v>1.9606299212598426</v>
      </c>
      <c r="S115" s="175">
        <v>0</v>
      </c>
      <c r="T115" s="175">
        <v>0</v>
      </c>
      <c r="U115" s="176">
        <v>0.46850393700787396</v>
      </c>
      <c r="V115" s="176">
        <v>2.4291338582677167</v>
      </c>
      <c r="W115" s="174"/>
      <c r="X115" s="174" t="s">
        <v>702</v>
      </c>
      <c r="Y115" s="177">
        <v>45028</v>
      </c>
      <c r="Z115" s="177" t="s">
        <v>558</v>
      </c>
      <c r="AA115" s="177" t="s">
        <v>240</v>
      </c>
      <c r="AB115" s="178" t="s">
        <v>558</v>
      </c>
      <c r="AC115" s="178" t="s">
        <v>240</v>
      </c>
      <c r="AD115" s="179" t="s">
        <v>579</v>
      </c>
      <c r="AE115" s="180" t="s">
        <v>558</v>
      </c>
      <c r="AF115" s="180" t="s">
        <v>249</v>
      </c>
      <c r="AG115" s="179">
        <v>44217</v>
      </c>
    </row>
    <row r="116" spans="1:33" ht="15.5" x14ac:dyDescent="0.35">
      <c r="A116" s="174" t="s">
        <v>415</v>
      </c>
      <c r="B116" s="174" t="s">
        <v>416</v>
      </c>
      <c r="C116" s="174" t="s">
        <v>417</v>
      </c>
      <c r="D116" s="174" t="s">
        <v>418</v>
      </c>
      <c r="E116" s="174">
        <v>25309</v>
      </c>
      <c r="F116" s="174" t="s">
        <v>242</v>
      </c>
      <c r="G116" s="174" t="s">
        <v>161</v>
      </c>
      <c r="H116" s="174" t="s">
        <v>142</v>
      </c>
      <c r="I116" s="175">
        <v>7.4429530201342304</v>
      </c>
      <c r="J116" s="175">
        <v>0</v>
      </c>
      <c r="K116" s="175">
        <v>4.3307086614173228E-2</v>
      </c>
      <c r="L116" s="175">
        <v>3.6929133858267673</v>
      </c>
      <c r="M116" s="175">
        <v>0.73622047244094468</v>
      </c>
      <c r="N116" s="175">
        <v>4.2677165354330659</v>
      </c>
      <c r="O116" s="175">
        <v>0.20472440944881892</v>
      </c>
      <c r="P116" s="175">
        <v>0</v>
      </c>
      <c r="Q116" s="175">
        <v>0</v>
      </c>
      <c r="R116" s="175">
        <v>0.36220472440944884</v>
      </c>
      <c r="S116" s="175">
        <v>3.5433070866141732E-2</v>
      </c>
      <c r="T116" s="175">
        <v>0</v>
      </c>
      <c r="U116" s="176">
        <v>4.0748031496062938</v>
      </c>
      <c r="V116" s="176">
        <v>4.3740157480314901</v>
      </c>
      <c r="W116" s="174"/>
      <c r="X116" s="174" t="s">
        <v>702</v>
      </c>
      <c r="Y116" s="177">
        <v>45064</v>
      </c>
      <c r="Z116" s="177" t="s">
        <v>558</v>
      </c>
      <c r="AA116" s="177" t="s">
        <v>249</v>
      </c>
      <c r="AB116" s="178" t="s">
        <v>239</v>
      </c>
      <c r="AC116" s="178" t="s">
        <v>249</v>
      </c>
      <c r="AD116" s="179" t="s">
        <v>419</v>
      </c>
      <c r="AE116" s="180" t="s">
        <v>239</v>
      </c>
      <c r="AF116" s="180" t="s">
        <v>249</v>
      </c>
      <c r="AG116" s="179">
        <v>42996</v>
      </c>
    </row>
    <row r="117" spans="1:33" ht="15.5" x14ac:dyDescent="0.35">
      <c r="A117" s="174" t="s">
        <v>212</v>
      </c>
      <c r="B117" s="174" t="s">
        <v>213</v>
      </c>
      <c r="C117" s="174" t="s">
        <v>214</v>
      </c>
      <c r="D117" s="174" t="s">
        <v>159</v>
      </c>
      <c r="E117" s="174">
        <v>70515</v>
      </c>
      <c r="F117" s="174" t="s">
        <v>160</v>
      </c>
      <c r="G117" s="174" t="s">
        <v>141</v>
      </c>
      <c r="H117" s="174" t="s">
        <v>142</v>
      </c>
      <c r="I117" s="175">
        <v>35.592538759689901</v>
      </c>
      <c r="J117" s="175">
        <v>477.14960629920438</v>
      </c>
      <c r="K117" s="175">
        <v>30.562992125984287</v>
      </c>
      <c r="L117" s="175">
        <v>43.649606299212664</v>
      </c>
      <c r="M117" s="175">
        <v>6.5905511811023612</v>
      </c>
      <c r="N117" s="175">
        <v>0.19291338582677164</v>
      </c>
      <c r="O117" s="175">
        <v>1.8622047244094486</v>
      </c>
      <c r="P117" s="175">
        <v>67.027559055118161</v>
      </c>
      <c r="Q117" s="175">
        <v>488.8700787401491</v>
      </c>
      <c r="R117" s="175">
        <v>49.12204724409456</v>
      </c>
      <c r="S117" s="175">
        <v>12.720472440944892</v>
      </c>
      <c r="T117" s="175">
        <v>2.7244094488188972</v>
      </c>
      <c r="U117" s="176">
        <v>493.38582677164516</v>
      </c>
      <c r="V117" s="176">
        <v>291.57874015747535</v>
      </c>
      <c r="W117" s="174">
        <v>700</v>
      </c>
      <c r="X117" s="174" t="s">
        <v>702</v>
      </c>
      <c r="Y117" s="177">
        <v>45048</v>
      </c>
      <c r="Z117" s="177" t="s">
        <v>561</v>
      </c>
      <c r="AA117" s="177" t="s">
        <v>240</v>
      </c>
      <c r="AB117" s="178" t="s">
        <v>561</v>
      </c>
      <c r="AC117" s="178" t="s">
        <v>144</v>
      </c>
      <c r="AD117" s="182" t="s">
        <v>578</v>
      </c>
      <c r="AE117" s="180" t="s">
        <v>561</v>
      </c>
      <c r="AF117" s="180" t="s">
        <v>144</v>
      </c>
      <c r="AG117" s="179">
        <v>44176</v>
      </c>
    </row>
    <row r="118" spans="1:33" ht="15.5" x14ac:dyDescent="0.35">
      <c r="A118" s="174" t="s">
        <v>686</v>
      </c>
      <c r="B118" s="174" t="s">
        <v>577</v>
      </c>
      <c r="C118" s="174" t="s">
        <v>155</v>
      </c>
      <c r="D118" s="174" t="s">
        <v>152</v>
      </c>
      <c r="E118" s="174">
        <v>78017</v>
      </c>
      <c r="F118" s="174" t="s">
        <v>153</v>
      </c>
      <c r="G118" s="174" t="s">
        <v>141</v>
      </c>
      <c r="H118" s="174" t="s">
        <v>142</v>
      </c>
      <c r="I118" s="175">
        <v>31.9379014989293</v>
      </c>
      <c r="J118" s="175">
        <v>1193.6535433071228</v>
      </c>
      <c r="K118" s="175">
        <v>2.7322834645669278</v>
      </c>
      <c r="L118" s="175">
        <v>0.42913385826771649</v>
      </c>
      <c r="M118" s="175">
        <v>0.12204724409448819</v>
      </c>
      <c r="N118" s="175">
        <v>2.7559055118110236E-2</v>
      </c>
      <c r="O118" s="175">
        <v>7.318897637795267</v>
      </c>
      <c r="P118" s="175">
        <v>1.7913385826771655</v>
      </c>
      <c r="Q118" s="175">
        <v>1187.7992125984413</v>
      </c>
      <c r="R118" s="175">
        <v>0</v>
      </c>
      <c r="S118" s="175">
        <v>0</v>
      </c>
      <c r="T118" s="175">
        <v>1.2125984251968505</v>
      </c>
      <c r="U118" s="176">
        <v>1195.7244094488558</v>
      </c>
      <c r="V118" s="176">
        <v>377.57086614172067</v>
      </c>
      <c r="W118" s="174">
        <v>2400</v>
      </c>
      <c r="X118" s="174" t="s">
        <v>702</v>
      </c>
      <c r="Y118" s="177">
        <v>44937</v>
      </c>
      <c r="Z118" s="177" t="s">
        <v>576</v>
      </c>
      <c r="AA118" s="177" t="s">
        <v>240</v>
      </c>
      <c r="AB118" s="178" t="s">
        <v>576</v>
      </c>
      <c r="AC118" s="178" t="s">
        <v>144</v>
      </c>
      <c r="AD118" s="179" t="s">
        <v>732</v>
      </c>
      <c r="AE118" s="180" t="s">
        <v>731</v>
      </c>
      <c r="AF118" s="180"/>
      <c r="AG118" s="179">
        <v>44974</v>
      </c>
    </row>
    <row r="119" spans="1:33" ht="15.5" x14ac:dyDescent="0.35">
      <c r="A119" s="174" t="s">
        <v>15</v>
      </c>
      <c r="B119" s="174" t="s">
        <v>150</v>
      </c>
      <c r="C119" s="174" t="s">
        <v>151</v>
      </c>
      <c r="D119" s="174" t="s">
        <v>152</v>
      </c>
      <c r="E119" s="174">
        <v>78061</v>
      </c>
      <c r="F119" s="174" t="s">
        <v>153</v>
      </c>
      <c r="G119" s="174" t="s">
        <v>154</v>
      </c>
      <c r="H119" s="174" t="s">
        <v>142</v>
      </c>
      <c r="I119" s="175">
        <v>50.061707758740802</v>
      </c>
      <c r="J119" s="175">
        <v>1030.8385826770964</v>
      </c>
      <c r="K119" s="175">
        <v>73.448818897637864</v>
      </c>
      <c r="L119" s="175">
        <v>126.39763779527573</v>
      </c>
      <c r="M119" s="175">
        <v>60.433070866141762</v>
      </c>
      <c r="N119" s="175">
        <v>247.4921259842524</v>
      </c>
      <c r="O119" s="175">
        <v>1043.5118110235605</v>
      </c>
      <c r="P119" s="175">
        <v>0</v>
      </c>
      <c r="Q119" s="175">
        <v>0.11417322834645668</v>
      </c>
      <c r="R119" s="175">
        <v>40.582677165354362</v>
      </c>
      <c r="S119" s="175">
        <v>33.748031496063035</v>
      </c>
      <c r="T119" s="175">
        <v>50.452755905511829</v>
      </c>
      <c r="U119" s="176">
        <v>1166.334645669308</v>
      </c>
      <c r="V119" s="176">
        <v>803.03149606294687</v>
      </c>
      <c r="W119" s="174">
        <v>1350</v>
      </c>
      <c r="X119" s="174" t="s">
        <v>702</v>
      </c>
      <c r="Y119" s="177">
        <v>45020</v>
      </c>
      <c r="Z119" s="177" t="s">
        <v>561</v>
      </c>
      <c r="AA119" s="177" t="s">
        <v>240</v>
      </c>
      <c r="AB119" s="178" t="s">
        <v>561</v>
      </c>
      <c r="AC119" s="178" t="s">
        <v>144</v>
      </c>
      <c r="AD119" s="182" t="s">
        <v>575</v>
      </c>
      <c r="AE119" s="180" t="s">
        <v>561</v>
      </c>
      <c r="AF119" s="180" t="s">
        <v>144</v>
      </c>
      <c r="AG119" s="179">
        <v>44253</v>
      </c>
    </row>
    <row r="120" spans="1:33" ht="15.5" x14ac:dyDescent="0.35">
      <c r="A120" s="174" t="s">
        <v>145</v>
      </c>
      <c r="B120" s="174" t="s">
        <v>146</v>
      </c>
      <c r="C120" s="174" t="s">
        <v>147</v>
      </c>
      <c r="D120" s="174" t="s">
        <v>148</v>
      </c>
      <c r="E120" s="174">
        <v>31815</v>
      </c>
      <c r="F120" s="174" t="s">
        <v>149</v>
      </c>
      <c r="G120" s="174" t="s">
        <v>141</v>
      </c>
      <c r="H120" s="174" t="s">
        <v>142</v>
      </c>
      <c r="I120" s="175">
        <v>48.714237799765201</v>
      </c>
      <c r="J120" s="175">
        <v>538.4881889763617</v>
      </c>
      <c r="K120" s="175">
        <v>125.98031496063035</v>
      </c>
      <c r="L120" s="175">
        <v>212.34645669291342</v>
      </c>
      <c r="M120" s="175">
        <v>269.09448818897596</v>
      </c>
      <c r="N120" s="175">
        <v>531.35039370077902</v>
      </c>
      <c r="O120" s="175">
        <v>482.92913385825489</v>
      </c>
      <c r="P120" s="175">
        <v>22.988188976377959</v>
      </c>
      <c r="Q120" s="175">
        <v>108.64173228346505</v>
      </c>
      <c r="R120" s="175">
        <v>179.59448818897664</v>
      </c>
      <c r="S120" s="175">
        <v>86.574803149606495</v>
      </c>
      <c r="T120" s="175">
        <v>60.681102362204783</v>
      </c>
      <c r="U120" s="176">
        <v>819.05905511806714</v>
      </c>
      <c r="V120" s="176">
        <v>841.29527559051837</v>
      </c>
      <c r="W120" s="174">
        <v>1600</v>
      </c>
      <c r="X120" s="174" t="s">
        <v>702</v>
      </c>
      <c r="Y120" s="177">
        <v>45042</v>
      </c>
      <c r="Z120" s="177" t="s">
        <v>561</v>
      </c>
      <c r="AA120" s="177" t="s">
        <v>240</v>
      </c>
      <c r="AB120" s="178" t="s">
        <v>561</v>
      </c>
      <c r="AC120" s="178" t="s">
        <v>144</v>
      </c>
      <c r="AD120" s="179" t="s">
        <v>574</v>
      </c>
      <c r="AE120" s="180" t="s">
        <v>561</v>
      </c>
      <c r="AF120" s="180" t="s">
        <v>144</v>
      </c>
      <c r="AG120" s="179">
        <v>44322</v>
      </c>
    </row>
    <row r="121" spans="1:33" ht="15.5" x14ac:dyDescent="0.35">
      <c r="A121" s="174" t="s">
        <v>333</v>
      </c>
      <c r="B121" s="174" t="s">
        <v>334</v>
      </c>
      <c r="C121" s="174" t="s">
        <v>335</v>
      </c>
      <c r="D121" s="174" t="s">
        <v>336</v>
      </c>
      <c r="E121" s="174">
        <v>3820</v>
      </c>
      <c r="F121" s="174" t="s">
        <v>270</v>
      </c>
      <c r="G121" s="174" t="s">
        <v>161</v>
      </c>
      <c r="H121" s="174" t="s">
        <v>142</v>
      </c>
      <c r="I121" s="175">
        <v>58.109452736318403</v>
      </c>
      <c r="J121" s="175">
        <v>0</v>
      </c>
      <c r="K121" s="175">
        <v>0</v>
      </c>
      <c r="L121" s="175">
        <v>30.944881889763792</v>
      </c>
      <c r="M121" s="175">
        <v>26.551181102362207</v>
      </c>
      <c r="N121" s="175">
        <v>33.720472440944903</v>
      </c>
      <c r="O121" s="175">
        <v>20.377952755905518</v>
      </c>
      <c r="P121" s="175">
        <v>1.3149606299212599</v>
      </c>
      <c r="Q121" s="175">
        <v>2.0826771653543306</v>
      </c>
      <c r="R121" s="175">
        <v>12.838582677165359</v>
      </c>
      <c r="S121" s="175">
        <v>2.6968503937007879</v>
      </c>
      <c r="T121" s="175">
        <v>1.2401574803149606</v>
      </c>
      <c r="U121" s="176">
        <v>40.720472440944903</v>
      </c>
      <c r="V121" s="176">
        <v>40.031496062992154</v>
      </c>
      <c r="W121" s="174"/>
      <c r="X121" s="174" t="s">
        <v>702</v>
      </c>
      <c r="Y121" s="177">
        <v>45064</v>
      </c>
      <c r="Z121" s="177" t="s">
        <v>558</v>
      </c>
      <c r="AA121" s="177" t="s">
        <v>249</v>
      </c>
      <c r="AB121" s="178" t="s">
        <v>203</v>
      </c>
      <c r="AC121" s="178" t="s">
        <v>144</v>
      </c>
      <c r="AD121" s="179" t="s">
        <v>573</v>
      </c>
      <c r="AE121" s="180" t="s">
        <v>203</v>
      </c>
      <c r="AF121" s="180" t="s">
        <v>144</v>
      </c>
      <c r="AG121" s="179">
        <v>44175</v>
      </c>
    </row>
    <row r="122" spans="1:33" ht="15.5" x14ac:dyDescent="0.35">
      <c r="A122" s="174" t="s">
        <v>572</v>
      </c>
      <c r="B122" s="174" t="s">
        <v>243</v>
      </c>
      <c r="C122" s="174" t="s">
        <v>29</v>
      </c>
      <c r="D122" s="174" t="s">
        <v>152</v>
      </c>
      <c r="E122" s="174">
        <v>76574</v>
      </c>
      <c r="F122" s="174" t="s">
        <v>153</v>
      </c>
      <c r="G122" s="174" t="s">
        <v>141</v>
      </c>
      <c r="H122" s="174" t="s">
        <v>4</v>
      </c>
      <c r="I122" s="175">
        <v>33.220619282195599</v>
      </c>
      <c r="J122" s="175">
        <v>327.95275590551051</v>
      </c>
      <c r="K122" s="175">
        <v>7.8464566929133817</v>
      </c>
      <c r="L122" s="175">
        <v>20.661417322834676</v>
      </c>
      <c r="M122" s="175">
        <v>12.716535433070867</v>
      </c>
      <c r="N122" s="175">
        <v>37.669291338582752</v>
      </c>
      <c r="O122" s="175">
        <v>331.50787401574638</v>
      </c>
      <c r="P122" s="175">
        <v>0</v>
      </c>
      <c r="Q122" s="175">
        <v>0</v>
      </c>
      <c r="R122" s="175">
        <v>12.188976377952763</v>
      </c>
      <c r="S122" s="175">
        <v>7.7598425196850318</v>
      </c>
      <c r="T122" s="175">
        <v>12.877952755905516</v>
      </c>
      <c r="U122" s="176">
        <v>336.35039370078647</v>
      </c>
      <c r="V122" s="176">
        <v>148.34251968503978</v>
      </c>
      <c r="W122" s="174">
        <v>461</v>
      </c>
      <c r="X122" s="174" t="s">
        <v>702</v>
      </c>
      <c r="Y122" s="177">
        <v>44959</v>
      </c>
      <c r="Z122" s="177" t="s">
        <v>561</v>
      </c>
      <c r="AA122" s="177" t="s">
        <v>240</v>
      </c>
      <c r="AB122" s="178" t="s">
        <v>561</v>
      </c>
      <c r="AC122" s="178" t="s">
        <v>144</v>
      </c>
      <c r="AD122" s="179" t="s">
        <v>571</v>
      </c>
      <c r="AE122" s="180" t="s">
        <v>561</v>
      </c>
      <c r="AF122" s="180" t="s">
        <v>144</v>
      </c>
      <c r="AG122" s="179">
        <v>44286</v>
      </c>
    </row>
    <row r="123" spans="1:33" ht="15.5" x14ac:dyDescent="0.35">
      <c r="A123" s="174" t="s">
        <v>177</v>
      </c>
      <c r="B123" s="174" t="s">
        <v>178</v>
      </c>
      <c r="C123" s="174" t="s">
        <v>179</v>
      </c>
      <c r="D123" s="174" t="s">
        <v>180</v>
      </c>
      <c r="E123" s="174">
        <v>98421</v>
      </c>
      <c r="F123" s="174" t="s">
        <v>181</v>
      </c>
      <c r="G123" s="174" t="s">
        <v>154</v>
      </c>
      <c r="H123" s="174" t="s">
        <v>142</v>
      </c>
      <c r="I123" s="175">
        <v>63.4178228388474</v>
      </c>
      <c r="J123" s="175">
        <v>306.78346456692685</v>
      </c>
      <c r="K123" s="175">
        <v>75.488188976378041</v>
      </c>
      <c r="L123" s="175">
        <v>94.968503937007824</v>
      </c>
      <c r="M123" s="175">
        <v>81.212598425196902</v>
      </c>
      <c r="N123" s="175">
        <v>200.63385826771642</v>
      </c>
      <c r="O123" s="175">
        <v>301.00787401574627</v>
      </c>
      <c r="P123" s="175">
        <v>21.224409448818914</v>
      </c>
      <c r="Q123" s="175">
        <v>35.586614173228419</v>
      </c>
      <c r="R123" s="175">
        <v>99.125984251968518</v>
      </c>
      <c r="S123" s="175">
        <v>22.291338582677167</v>
      </c>
      <c r="T123" s="175">
        <v>9.3582677165354351</v>
      </c>
      <c r="U123" s="176">
        <v>427.67716535432885</v>
      </c>
      <c r="V123" s="176">
        <v>360.19291338582428</v>
      </c>
      <c r="W123" s="174">
        <v>1181</v>
      </c>
      <c r="X123" s="174" t="s">
        <v>702</v>
      </c>
      <c r="Y123" s="177">
        <v>45027</v>
      </c>
      <c r="Z123" s="177" t="s">
        <v>561</v>
      </c>
      <c r="AA123" s="177" t="s">
        <v>240</v>
      </c>
      <c r="AB123" s="178" t="s">
        <v>561</v>
      </c>
      <c r="AC123" s="178" t="s">
        <v>144</v>
      </c>
      <c r="AD123" s="179" t="s">
        <v>570</v>
      </c>
      <c r="AE123" s="180" t="s">
        <v>561</v>
      </c>
      <c r="AF123" s="180" t="s">
        <v>144</v>
      </c>
      <c r="AG123" s="179">
        <v>44329</v>
      </c>
    </row>
    <row r="124" spans="1:33" ht="15.5" x14ac:dyDescent="0.35">
      <c r="A124" s="174" t="s">
        <v>276</v>
      </c>
      <c r="B124" s="174" t="s">
        <v>277</v>
      </c>
      <c r="C124" s="174" t="s">
        <v>278</v>
      </c>
      <c r="D124" s="174" t="s">
        <v>189</v>
      </c>
      <c r="E124" s="174">
        <v>87016</v>
      </c>
      <c r="F124" s="174" t="s">
        <v>190</v>
      </c>
      <c r="G124" s="174" t="s">
        <v>161</v>
      </c>
      <c r="H124" s="174" t="s">
        <v>4</v>
      </c>
      <c r="I124" s="175">
        <v>27.062539086929299</v>
      </c>
      <c r="J124" s="175">
        <v>158.35039370078803</v>
      </c>
      <c r="K124" s="175">
        <v>16.594488188976431</v>
      </c>
      <c r="L124" s="175">
        <v>7.8740157480314932E-2</v>
      </c>
      <c r="M124" s="175">
        <v>3.1496062992125984E-2</v>
      </c>
      <c r="N124" s="175">
        <v>0.36614173228346447</v>
      </c>
      <c r="O124" s="175">
        <v>174.68897637795314</v>
      </c>
      <c r="P124" s="175">
        <v>0</v>
      </c>
      <c r="Q124" s="175">
        <v>0</v>
      </c>
      <c r="R124" s="175">
        <v>2.7559055118110236E-2</v>
      </c>
      <c r="S124" s="175">
        <v>0.13779527559055116</v>
      </c>
      <c r="T124" s="175">
        <v>1.1811023622047244E-2</v>
      </c>
      <c r="U124" s="176">
        <v>174.87795275590597</v>
      </c>
      <c r="V124" s="176">
        <v>101.16929133858301</v>
      </c>
      <c r="W124" s="174">
        <v>505</v>
      </c>
      <c r="X124" s="174" t="s">
        <v>702</v>
      </c>
      <c r="Y124" s="177">
        <v>44909</v>
      </c>
      <c r="Z124" s="177" t="s">
        <v>561</v>
      </c>
      <c r="AA124" s="177" t="s">
        <v>240</v>
      </c>
      <c r="AB124" s="178" t="s">
        <v>561</v>
      </c>
      <c r="AC124" s="178" t="s">
        <v>144</v>
      </c>
      <c r="AD124" s="179" t="s">
        <v>569</v>
      </c>
      <c r="AE124" s="180" t="s">
        <v>561</v>
      </c>
      <c r="AF124" s="180" t="s">
        <v>144</v>
      </c>
      <c r="AG124" s="179">
        <v>44651</v>
      </c>
    </row>
    <row r="125" spans="1:33" ht="15.5" x14ac:dyDescent="0.35">
      <c r="A125" s="174" t="s">
        <v>730</v>
      </c>
      <c r="B125" s="174" t="s">
        <v>729</v>
      </c>
      <c r="C125" s="174" t="s">
        <v>728</v>
      </c>
      <c r="D125" s="174" t="s">
        <v>292</v>
      </c>
      <c r="E125" s="174">
        <v>74103</v>
      </c>
      <c r="F125" s="174" t="s">
        <v>220</v>
      </c>
      <c r="G125" s="174" t="s">
        <v>161</v>
      </c>
      <c r="H125" s="174" t="s">
        <v>142</v>
      </c>
      <c r="I125" s="175">
        <v>1.94366197183099</v>
      </c>
      <c r="J125" s="175">
        <v>1.1338582677165341</v>
      </c>
      <c r="K125" s="175">
        <v>0.89370078740157366</v>
      </c>
      <c r="L125" s="175">
        <v>0.82283464566929054</v>
      </c>
      <c r="M125" s="175">
        <v>0.44881889763779503</v>
      </c>
      <c r="N125" s="175">
        <v>2.3149606299212566</v>
      </c>
      <c r="O125" s="175">
        <v>0.93700787401574681</v>
      </c>
      <c r="P125" s="175">
        <v>2.3622047244094488E-2</v>
      </c>
      <c r="Q125" s="175">
        <v>2.3622047244094488E-2</v>
      </c>
      <c r="R125" s="175">
        <v>0.28740157480314954</v>
      </c>
      <c r="S125" s="175">
        <v>0.26377952755905504</v>
      </c>
      <c r="T125" s="175">
        <v>0.17322834645669283</v>
      </c>
      <c r="U125" s="176">
        <v>2.5748031496062951</v>
      </c>
      <c r="V125" s="176">
        <v>2.2322834645669256</v>
      </c>
      <c r="W125" s="174"/>
      <c r="X125" s="174" t="s">
        <v>795</v>
      </c>
      <c r="Y125" s="177" t="s">
        <v>560</v>
      </c>
      <c r="Z125" s="177" t="s">
        <v>560</v>
      </c>
      <c r="AA125" s="177" t="s">
        <v>560</v>
      </c>
      <c r="AB125" s="178" t="s">
        <v>239</v>
      </c>
      <c r="AC125" s="178" t="s">
        <v>240</v>
      </c>
      <c r="AD125" s="179" t="s">
        <v>727</v>
      </c>
      <c r="AE125" s="180" t="s">
        <v>239</v>
      </c>
      <c r="AF125" s="180"/>
      <c r="AG125" s="179">
        <v>44187</v>
      </c>
    </row>
    <row r="126" spans="1:33" ht="15.5" x14ac:dyDescent="0.35">
      <c r="A126" s="174" t="s">
        <v>726</v>
      </c>
      <c r="B126" s="174" t="s">
        <v>725</v>
      </c>
      <c r="C126" s="174" t="s">
        <v>724</v>
      </c>
      <c r="D126" s="174" t="s">
        <v>720</v>
      </c>
      <c r="E126" s="174">
        <v>72701</v>
      </c>
      <c r="F126" s="174" t="s">
        <v>160</v>
      </c>
      <c r="G126" s="174" t="s">
        <v>202</v>
      </c>
      <c r="H126" s="174" t="s">
        <v>142</v>
      </c>
      <c r="I126" s="175">
        <v>1.69444444444444</v>
      </c>
      <c r="J126" s="175">
        <v>7.4803149606299191E-2</v>
      </c>
      <c r="K126" s="175">
        <v>0.1614173228346456</v>
      </c>
      <c r="L126" s="175">
        <v>0.27165354330708646</v>
      </c>
      <c r="M126" s="175">
        <v>0.28740157480314943</v>
      </c>
      <c r="N126" s="175">
        <v>0.57480314960629875</v>
      </c>
      <c r="O126" s="175">
        <v>0.21653543307086612</v>
      </c>
      <c r="P126" s="175">
        <v>0</v>
      </c>
      <c r="Q126" s="175">
        <v>3.937007874015748E-3</v>
      </c>
      <c r="R126" s="175">
        <v>1.5748031496062992E-2</v>
      </c>
      <c r="S126" s="175">
        <v>2.3622047244094488E-2</v>
      </c>
      <c r="T126" s="175">
        <v>0</v>
      </c>
      <c r="U126" s="176">
        <v>0.75590551181102283</v>
      </c>
      <c r="V126" s="176">
        <v>0.70866141732283394</v>
      </c>
      <c r="W126" s="174"/>
      <c r="X126" s="174" t="s">
        <v>388</v>
      </c>
      <c r="Y126" s="177" t="s">
        <v>560</v>
      </c>
      <c r="Z126" s="177" t="s">
        <v>560</v>
      </c>
      <c r="AA126" s="177" t="s">
        <v>560</v>
      </c>
      <c r="AB126" s="178" t="s">
        <v>558</v>
      </c>
      <c r="AC126" s="180" t="s">
        <v>566</v>
      </c>
      <c r="AD126" s="179" t="s">
        <v>568</v>
      </c>
      <c r="AE126" s="180" t="s">
        <v>558</v>
      </c>
      <c r="AF126" s="180" t="s">
        <v>566</v>
      </c>
      <c r="AG126" s="179">
        <v>44573</v>
      </c>
    </row>
    <row r="127" spans="1:33" ht="15.5" x14ac:dyDescent="0.35">
      <c r="A127" s="174" t="s">
        <v>390</v>
      </c>
      <c r="B127" s="174" t="s">
        <v>391</v>
      </c>
      <c r="C127" s="174" t="s">
        <v>392</v>
      </c>
      <c r="D127" s="174" t="s">
        <v>295</v>
      </c>
      <c r="E127" s="174">
        <v>89512</v>
      </c>
      <c r="F127" s="174" t="s">
        <v>296</v>
      </c>
      <c r="G127" s="174" t="s">
        <v>202</v>
      </c>
      <c r="H127" s="174" t="s">
        <v>142</v>
      </c>
      <c r="I127" s="175">
        <v>10.2543103448276</v>
      </c>
      <c r="J127" s="175">
        <v>0.28346456692913391</v>
      </c>
      <c r="K127" s="175">
        <v>2.7283464566929125</v>
      </c>
      <c r="L127" s="175">
        <v>2.6417322834645649</v>
      </c>
      <c r="M127" s="175">
        <v>3.7007874015747997</v>
      </c>
      <c r="N127" s="175">
        <v>8.5669291338582649</v>
      </c>
      <c r="O127" s="175">
        <v>0.53543307086614167</v>
      </c>
      <c r="P127" s="175">
        <v>0.2480314960629921</v>
      </c>
      <c r="Q127" s="175">
        <v>3.937007874015748E-3</v>
      </c>
      <c r="R127" s="175">
        <v>1.6850393700787398</v>
      </c>
      <c r="S127" s="175">
        <v>0.26771653543307083</v>
      </c>
      <c r="T127" s="175">
        <v>0.60236220472440949</v>
      </c>
      <c r="U127" s="176">
        <v>6.7992125984251874</v>
      </c>
      <c r="V127" s="176">
        <v>8.8425196850393686</v>
      </c>
      <c r="W127" s="174"/>
      <c r="X127" s="174" t="s">
        <v>702</v>
      </c>
      <c r="Y127" s="177">
        <v>44916</v>
      </c>
      <c r="Z127" s="177" t="s">
        <v>558</v>
      </c>
      <c r="AA127" s="177" t="s">
        <v>240</v>
      </c>
      <c r="AB127" s="178" t="s">
        <v>558</v>
      </c>
      <c r="AC127" s="178" t="s">
        <v>566</v>
      </c>
      <c r="AD127" s="179" t="s">
        <v>565</v>
      </c>
      <c r="AE127" s="180" t="s">
        <v>239</v>
      </c>
      <c r="AF127" s="180" t="s">
        <v>249</v>
      </c>
      <c r="AG127" s="179">
        <v>44119</v>
      </c>
    </row>
    <row r="128" spans="1:33" ht="15.5" x14ac:dyDescent="0.35">
      <c r="A128" s="174" t="s">
        <v>21</v>
      </c>
      <c r="B128" s="174" t="s">
        <v>329</v>
      </c>
      <c r="C128" s="174" t="s">
        <v>251</v>
      </c>
      <c r="D128" s="174" t="s">
        <v>152</v>
      </c>
      <c r="E128" s="174">
        <v>78046</v>
      </c>
      <c r="F128" s="174" t="s">
        <v>564</v>
      </c>
      <c r="G128" s="174" t="s">
        <v>141</v>
      </c>
      <c r="H128" s="174" t="s">
        <v>142</v>
      </c>
      <c r="I128" s="175">
        <v>38.133333333333297</v>
      </c>
      <c r="J128" s="175">
        <v>37.366141732283509</v>
      </c>
      <c r="K128" s="175">
        <v>4.4015748031496047</v>
      </c>
      <c r="L128" s="175">
        <v>33.354330708661458</v>
      </c>
      <c r="M128" s="175">
        <v>106.48425196850405</v>
      </c>
      <c r="N128" s="175">
        <v>53.787401574803177</v>
      </c>
      <c r="O128" s="175">
        <v>102.72047244094524</v>
      </c>
      <c r="P128" s="175">
        <v>8.8818897637795242</v>
      </c>
      <c r="Q128" s="175">
        <v>16.216535433070906</v>
      </c>
      <c r="R128" s="175">
        <v>12.751968503937011</v>
      </c>
      <c r="S128" s="175">
        <v>5.8818897637795251</v>
      </c>
      <c r="T128" s="175">
        <v>5.940944881889763</v>
      </c>
      <c r="U128" s="176">
        <v>157.03149606299169</v>
      </c>
      <c r="V128" s="176">
        <v>121.22834645669312</v>
      </c>
      <c r="W128" s="174"/>
      <c r="X128" s="174" t="s">
        <v>702</v>
      </c>
      <c r="Y128" s="177">
        <v>45009</v>
      </c>
      <c r="Z128" s="177" t="s">
        <v>561</v>
      </c>
      <c r="AA128" s="177" t="s">
        <v>240</v>
      </c>
      <c r="AB128" s="178" t="s">
        <v>561</v>
      </c>
      <c r="AC128" s="178" t="s">
        <v>144</v>
      </c>
      <c r="AD128" s="179" t="s">
        <v>563</v>
      </c>
      <c r="AE128" s="180" t="s">
        <v>561</v>
      </c>
      <c r="AF128" s="180" t="s">
        <v>144</v>
      </c>
      <c r="AG128" s="179">
        <v>44230</v>
      </c>
    </row>
    <row r="129" spans="1:33" ht="15.5" x14ac:dyDescent="0.35">
      <c r="A129" s="174" t="s">
        <v>156</v>
      </c>
      <c r="B129" s="174" t="s">
        <v>157</v>
      </c>
      <c r="C129" s="174" t="s">
        <v>158</v>
      </c>
      <c r="D129" s="174" t="s">
        <v>159</v>
      </c>
      <c r="E129" s="174">
        <v>71483</v>
      </c>
      <c r="F129" s="174" t="s">
        <v>160</v>
      </c>
      <c r="G129" s="174" t="s">
        <v>141</v>
      </c>
      <c r="H129" s="174" t="s">
        <v>4</v>
      </c>
      <c r="I129" s="175">
        <v>39.999627143922403</v>
      </c>
      <c r="J129" s="175">
        <v>951.30708661411279</v>
      </c>
      <c r="K129" s="175">
        <v>45.925196850393775</v>
      </c>
      <c r="L129" s="175">
        <v>58.472440944881946</v>
      </c>
      <c r="M129" s="175">
        <v>59.165354330708659</v>
      </c>
      <c r="N129" s="175">
        <v>159.27165354330708</v>
      </c>
      <c r="O129" s="175">
        <v>954.75196850387681</v>
      </c>
      <c r="P129" s="175">
        <v>0</v>
      </c>
      <c r="Q129" s="175">
        <v>0.84645669291338588</v>
      </c>
      <c r="R129" s="175">
        <v>59.826771653543389</v>
      </c>
      <c r="S129" s="175">
        <v>19.385826771653566</v>
      </c>
      <c r="T129" s="175">
        <v>28.366141732283488</v>
      </c>
      <c r="U129" s="176">
        <v>1007.2913385826081</v>
      </c>
      <c r="V129" s="176">
        <v>692.29133858265004</v>
      </c>
      <c r="W129" s="174">
        <v>946</v>
      </c>
      <c r="X129" s="174" t="s">
        <v>702</v>
      </c>
      <c r="Y129" s="177">
        <v>45007</v>
      </c>
      <c r="Z129" s="177" t="s">
        <v>561</v>
      </c>
      <c r="AA129" s="177" t="s">
        <v>423</v>
      </c>
      <c r="AB129" s="178" t="s">
        <v>561</v>
      </c>
      <c r="AC129" s="178" t="s">
        <v>144</v>
      </c>
      <c r="AD129" s="182" t="s">
        <v>562</v>
      </c>
      <c r="AE129" s="180" t="s">
        <v>561</v>
      </c>
      <c r="AF129" s="180" t="s">
        <v>144</v>
      </c>
      <c r="AG129" s="179">
        <v>44127</v>
      </c>
    </row>
    <row r="130" spans="1:33" s="98" customFormat="1" ht="15.5" x14ac:dyDescent="0.35">
      <c r="A130" s="174" t="s">
        <v>325</v>
      </c>
      <c r="B130" s="174" t="s">
        <v>326</v>
      </c>
      <c r="C130" s="174" t="s">
        <v>327</v>
      </c>
      <c r="D130" s="174" t="s">
        <v>328</v>
      </c>
      <c r="E130" s="174">
        <v>2863</v>
      </c>
      <c r="F130" s="174" t="s">
        <v>270</v>
      </c>
      <c r="G130" s="174" t="s">
        <v>202</v>
      </c>
      <c r="H130" s="174" t="s">
        <v>4</v>
      </c>
      <c r="I130" s="175">
        <v>34.485645933014403</v>
      </c>
      <c r="J130" s="175">
        <v>37.248031496063042</v>
      </c>
      <c r="K130" s="175">
        <v>22.874015748031503</v>
      </c>
      <c r="L130" s="175">
        <v>1.5748031496062992E-2</v>
      </c>
      <c r="M130" s="175">
        <v>3.937007874015748E-3</v>
      </c>
      <c r="N130" s="175">
        <v>14.397637795275589</v>
      </c>
      <c r="O130" s="175">
        <v>45.744094488189063</v>
      </c>
      <c r="P130" s="175">
        <v>0</v>
      </c>
      <c r="Q130" s="175">
        <v>0</v>
      </c>
      <c r="R130" s="175">
        <v>2.6141732283464569</v>
      </c>
      <c r="S130" s="175">
        <v>1.4094488188976377</v>
      </c>
      <c r="T130" s="175">
        <v>2.6456692913385824</v>
      </c>
      <c r="U130" s="176">
        <v>53.472440944881932</v>
      </c>
      <c r="V130" s="176">
        <v>43.507874015748108</v>
      </c>
      <c r="W130" s="174"/>
      <c r="X130" s="174" t="s">
        <v>702</v>
      </c>
      <c r="Y130" s="177">
        <v>45064</v>
      </c>
      <c r="Z130" s="177" t="s">
        <v>558</v>
      </c>
      <c r="AA130" s="177" t="s">
        <v>249</v>
      </c>
      <c r="AB130" s="178" t="s">
        <v>558</v>
      </c>
      <c r="AC130" s="180" t="s">
        <v>566</v>
      </c>
      <c r="AD130" s="179" t="s">
        <v>559</v>
      </c>
      <c r="AE130" s="180" t="s">
        <v>558</v>
      </c>
      <c r="AF130" s="180" t="s">
        <v>249</v>
      </c>
      <c r="AG130" s="179">
        <v>44294</v>
      </c>
    </row>
    <row r="131" spans="1:33" ht="15.5" x14ac:dyDescent="0.35">
      <c r="A131" s="105" t="s">
        <v>557</v>
      </c>
      <c r="B131" s="108"/>
      <c r="C131" s="108"/>
      <c r="D131" s="108"/>
      <c r="E131" s="113"/>
      <c r="F131" s="108"/>
      <c r="G131" s="108"/>
      <c r="H131" s="108"/>
      <c r="I131" s="168"/>
      <c r="J131" s="167"/>
      <c r="K131" s="167"/>
      <c r="L131" s="167"/>
      <c r="M131" s="167"/>
      <c r="N131" s="167"/>
      <c r="O131" s="167"/>
      <c r="P131" s="167"/>
      <c r="Q131" s="167"/>
      <c r="R131" s="167"/>
      <c r="S131" s="167"/>
      <c r="T131" s="167"/>
      <c r="U131" s="112"/>
      <c r="V131" s="112"/>
      <c r="W131" s="111"/>
      <c r="X131" s="108"/>
      <c r="Y131" s="109"/>
      <c r="Z131" s="108"/>
      <c r="AA131" s="108"/>
      <c r="AB131" s="141"/>
      <c r="AC131" s="141"/>
      <c r="AD131" s="142"/>
      <c r="AE131" s="143"/>
      <c r="AF131" s="144"/>
      <c r="AG131" s="110"/>
    </row>
    <row r="132" spans="1:33" ht="15.5" x14ac:dyDescent="0.35">
      <c r="A132" s="105" t="s">
        <v>556</v>
      </c>
      <c r="B132" s="108"/>
      <c r="C132" s="108"/>
      <c r="D132" s="108"/>
      <c r="E132" s="113"/>
      <c r="F132" s="108"/>
      <c r="G132" s="108"/>
      <c r="H132" s="108"/>
      <c r="I132" s="168"/>
      <c r="J132" s="167"/>
      <c r="K132" s="167"/>
      <c r="L132" s="167"/>
      <c r="M132" s="167"/>
      <c r="N132" s="167"/>
      <c r="O132" s="167"/>
      <c r="P132" s="167"/>
      <c r="Q132" s="167"/>
      <c r="R132" s="167"/>
      <c r="S132" s="167"/>
      <c r="T132" s="167"/>
      <c r="U132" s="112"/>
      <c r="V132" s="112"/>
      <c r="W132" s="111"/>
      <c r="X132" s="108"/>
      <c r="Y132" s="109"/>
      <c r="Z132" s="108"/>
      <c r="AA132" s="108"/>
      <c r="AB132" s="141"/>
      <c r="AC132" s="141"/>
      <c r="AD132" s="142"/>
      <c r="AE132" s="143"/>
      <c r="AF132" s="144"/>
      <c r="AG132" s="110"/>
    </row>
    <row r="133" spans="1:33" ht="15.5" x14ac:dyDescent="0.35">
      <c r="A133" s="454" t="s">
        <v>555</v>
      </c>
      <c r="B133" s="454"/>
      <c r="C133" s="454"/>
      <c r="D133" s="454"/>
      <c r="E133" s="454"/>
      <c r="F133" s="108"/>
      <c r="G133" s="108"/>
      <c r="H133" s="108"/>
      <c r="I133" s="168"/>
      <c r="J133" s="167"/>
      <c r="K133" s="167"/>
      <c r="L133" s="167"/>
      <c r="M133" s="167"/>
      <c r="N133" s="167"/>
      <c r="O133" s="167"/>
      <c r="P133" s="167"/>
      <c r="Q133" s="167"/>
      <c r="R133" s="167"/>
      <c r="S133" s="167"/>
      <c r="T133" s="167"/>
      <c r="U133" s="112"/>
      <c r="V133" s="112"/>
      <c r="W133" s="111"/>
      <c r="X133" s="108"/>
      <c r="Y133" s="109"/>
      <c r="Z133" s="108"/>
      <c r="AA133" s="108"/>
      <c r="AB133" s="141"/>
      <c r="AC133" s="141"/>
      <c r="AD133" s="142"/>
      <c r="AE133" s="143"/>
      <c r="AF133" s="144"/>
      <c r="AG133" s="110"/>
    </row>
    <row r="134" spans="1:33" ht="15.5" x14ac:dyDescent="0.35">
      <c r="A134" s="454"/>
      <c r="B134" s="454"/>
      <c r="C134" s="454"/>
      <c r="D134" s="454"/>
      <c r="E134" s="454"/>
      <c r="F134" s="108"/>
      <c r="G134" s="108"/>
      <c r="H134" s="108"/>
      <c r="I134" s="168"/>
      <c r="J134" s="167"/>
      <c r="K134" s="167"/>
      <c r="L134" s="167"/>
      <c r="M134" s="167"/>
      <c r="N134" s="167"/>
      <c r="O134" s="167"/>
      <c r="P134" s="167"/>
      <c r="Q134" s="167"/>
      <c r="R134" s="167"/>
      <c r="S134" s="167"/>
      <c r="T134" s="167"/>
      <c r="U134" s="112"/>
      <c r="V134" s="112"/>
      <c r="W134" s="111"/>
      <c r="X134" s="108"/>
      <c r="Y134" s="109"/>
      <c r="Z134" s="108"/>
      <c r="AA134" s="108"/>
      <c r="AB134" s="141"/>
      <c r="AC134" s="141"/>
      <c r="AD134" s="142"/>
      <c r="AE134" s="143"/>
      <c r="AF134" s="144"/>
      <c r="AG134" s="110"/>
    </row>
    <row r="135" spans="1:33" ht="15.5" x14ac:dyDescent="0.35">
      <c r="A135" s="115" t="s">
        <v>554</v>
      </c>
      <c r="F135" s="108"/>
      <c r="G135" s="108"/>
      <c r="H135" s="108"/>
      <c r="I135" s="168"/>
      <c r="J135" s="167"/>
      <c r="K135" s="167"/>
      <c r="L135" s="167"/>
      <c r="M135" s="167"/>
      <c r="N135" s="167"/>
      <c r="O135" s="167"/>
      <c r="P135" s="167"/>
      <c r="Q135" s="167"/>
      <c r="R135" s="167"/>
      <c r="S135" s="167"/>
      <c r="T135" s="167"/>
      <c r="U135" s="112"/>
      <c r="V135" s="112"/>
      <c r="W135" s="111"/>
      <c r="X135" s="108"/>
      <c r="Y135" s="109"/>
      <c r="Z135" s="108"/>
      <c r="AA135" s="108"/>
      <c r="AB135" s="141"/>
      <c r="AC135" s="141"/>
      <c r="AD135" s="142"/>
      <c r="AE135" s="143"/>
      <c r="AF135" s="144"/>
      <c r="AG135" s="110"/>
    </row>
    <row r="136" spans="1:33" ht="15.5" x14ac:dyDescent="0.35">
      <c r="A136" s="98" t="s">
        <v>553</v>
      </c>
      <c r="B136" s="98"/>
      <c r="C136" s="98"/>
      <c r="D136" s="98"/>
      <c r="E136" s="98"/>
      <c r="F136" s="108"/>
      <c r="G136" s="108"/>
      <c r="H136" s="108"/>
      <c r="I136" s="168"/>
      <c r="J136" s="167"/>
      <c r="K136" s="167"/>
      <c r="L136" s="167"/>
      <c r="M136" s="167"/>
      <c r="N136" s="167"/>
      <c r="O136" s="167"/>
      <c r="P136" s="167"/>
      <c r="Q136" s="167"/>
      <c r="R136" s="167"/>
      <c r="S136" s="167"/>
      <c r="T136" s="167"/>
      <c r="U136" s="112"/>
      <c r="V136" s="112"/>
      <c r="W136" s="111"/>
      <c r="X136" s="108"/>
      <c r="Y136" s="109"/>
      <c r="Z136" s="108"/>
      <c r="AA136" s="108"/>
      <c r="AB136" s="141"/>
      <c r="AC136" s="141"/>
      <c r="AD136" s="142"/>
      <c r="AE136" s="143"/>
      <c r="AF136" s="144"/>
      <c r="AG136" s="110"/>
    </row>
    <row r="137" spans="1:33" ht="15.5" x14ac:dyDescent="0.35">
      <c r="A137" s="114" t="s">
        <v>552</v>
      </c>
      <c r="B137" s="108"/>
      <c r="C137" s="108"/>
      <c r="D137" s="108"/>
      <c r="E137" s="113"/>
      <c r="F137" s="108"/>
      <c r="G137" s="108"/>
      <c r="H137" s="108"/>
      <c r="I137" s="168"/>
      <c r="J137" s="167"/>
      <c r="K137" s="167"/>
      <c r="L137" s="167"/>
      <c r="M137" s="167"/>
      <c r="N137" s="167"/>
      <c r="O137" s="167"/>
      <c r="P137" s="167"/>
      <c r="Q137" s="167"/>
      <c r="R137" s="167"/>
      <c r="S137" s="167"/>
      <c r="T137" s="167"/>
      <c r="U137" s="112"/>
      <c r="V137" s="112"/>
      <c r="W137" s="111"/>
      <c r="X137" s="108"/>
      <c r="Y137" s="109"/>
      <c r="Z137" s="108"/>
      <c r="AA137" s="108"/>
      <c r="AB137" s="141"/>
      <c r="AC137" s="141"/>
      <c r="AD137" s="142"/>
      <c r="AE137" s="143"/>
      <c r="AF137" s="144"/>
      <c r="AG137" s="110"/>
    </row>
    <row r="138" spans="1:33" ht="15.5" x14ac:dyDescent="0.35">
      <c r="B138" s="105"/>
      <c r="C138" s="108"/>
      <c r="D138" s="105"/>
      <c r="E138" s="105"/>
      <c r="F138" s="104"/>
      <c r="G138" s="107"/>
      <c r="H138" s="106"/>
      <c r="I138" s="166"/>
      <c r="J138" s="166"/>
      <c r="K138" s="166"/>
      <c r="L138" s="166"/>
      <c r="M138" s="165"/>
      <c r="N138" s="164"/>
      <c r="O138" s="164"/>
      <c r="P138" s="164"/>
      <c r="Q138" s="164"/>
      <c r="R138" s="164"/>
      <c r="S138" s="164"/>
      <c r="T138" s="164"/>
      <c r="U138" s="163"/>
      <c r="V138" s="163"/>
      <c r="W138" s="101"/>
      <c r="X138" s="101"/>
      <c r="Y138" s="103"/>
      <c r="Z138" s="101"/>
      <c r="AA138" s="101"/>
      <c r="AB138" s="145"/>
      <c r="AC138" s="145"/>
      <c r="AD138" s="146"/>
      <c r="AE138" s="147"/>
      <c r="AF138" s="145"/>
      <c r="AG138" s="102"/>
    </row>
    <row r="142" spans="1:33" x14ac:dyDescent="0.35">
      <c r="A142" s="98"/>
      <c r="B142" s="98"/>
      <c r="C142" s="98"/>
      <c r="D142" s="98"/>
      <c r="E142" s="98"/>
      <c r="F142" s="98"/>
      <c r="G142" s="98"/>
      <c r="H142" s="98"/>
      <c r="I142" s="162"/>
      <c r="J142" s="162"/>
      <c r="K142" s="162"/>
      <c r="L142" s="162"/>
      <c r="M142" s="162"/>
      <c r="N142" s="162"/>
      <c r="O142" s="162"/>
      <c r="P142" s="162"/>
      <c r="Q142" s="162"/>
      <c r="R142" s="162"/>
      <c r="S142" s="162"/>
      <c r="T142" s="162"/>
      <c r="U142" s="161"/>
      <c r="V142" s="161"/>
      <c r="W142" s="98"/>
      <c r="X142" s="98"/>
      <c r="Y142" s="100"/>
      <c r="Z142" s="98"/>
      <c r="AA142" s="98"/>
      <c r="AB142" s="148"/>
      <c r="AC142" s="148"/>
      <c r="AD142" s="149"/>
      <c r="AE142" s="150"/>
      <c r="AF142" s="148"/>
      <c r="AG142" s="99"/>
    </row>
  </sheetData>
  <mergeCells count="15">
    <mergeCell ref="A133:E134"/>
    <mergeCell ref="A1:D1"/>
    <mergeCell ref="A2:D2"/>
    <mergeCell ref="A3:D3"/>
    <mergeCell ref="E3:H3"/>
    <mergeCell ref="R5:U5"/>
    <mergeCell ref="W5:AG5"/>
    <mergeCell ref="M3:P3"/>
    <mergeCell ref="I3:L3"/>
    <mergeCell ref="Q3:T3"/>
    <mergeCell ref="U3:X3"/>
    <mergeCell ref="AB3:AF3"/>
    <mergeCell ref="A4:AG4"/>
    <mergeCell ref="J5:M5"/>
    <mergeCell ref="N5:Q5"/>
  </mergeCells>
  <conditionalFormatting sqref="AG7">
    <cfRule type="cellIs" dxfId="69"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AF65-BC2C-4017-9C3A-4DCDBAE66293}">
  <dimension ref="A1:F28"/>
  <sheetViews>
    <sheetView workbookViewId="0">
      <selection sqref="A1:F1"/>
    </sheetView>
  </sheetViews>
  <sheetFormatPr defaultRowHeight="14.5" x14ac:dyDescent="0.35"/>
  <cols>
    <col min="1" max="1" width="51.1796875" bestFit="1" customWidth="1"/>
    <col min="2" max="2" width="19" customWidth="1"/>
  </cols>
  <sheetData>
    <row r="1" spans="1:6" ht="26" x14ac:dyDescent="0.35">
      <c r="A1" s="433" t="s">
        <v>43</v>
      </c>
      <c r="B1" s="433"/>
      <c r="C1" s="433"/>
      <c r="D1" s="433"/>
      <c r="E1" s="433"/>
      <c r="F1" s="433"/>
    </row>
    <row r="3" spans="1:6" ht="15" customHeight="1" x14ac:dyDescent="0.35">
      <c r="A3" s="159" t="s">
        <v>723</v>
      </c>
      <c r="B3" s="159"/>
      <c r="C3" s="159"/>
      <c r="D3" s="159"/>
      <c r="E3" s="159"/>
    </row>
    <row r="4" spans="1:6" x14ac:dyDescent="0.35">
      <c r="A4" s="11" t="s">
        <v>524</v>
      </c>
      <c r="B4" s="157" t="s">
        <v>523</v>
      </c>
    </row>
    <row r="5" spans="1:6" ht="15" thickBot="1" x14ac:dyDescent="0.4">
      <c r="A5" s="74" t="s">
        <v>522</v>
      </c>
      <c r="B5" s="153">
        <v>100</v>
      </c>
    </row>
    <row r="6" spans="1:6" ht="15" thickTop="1" x14ac:dyDescent="0.35">
      <c r="A6" s="72" t="s">
        <v>521</v>
      </c>
      <c r="B6" s="154">
        <v>28</v>
      </c>
    </row>
    <row r="7" spans="1:6" x14ac:dyDescent="0.35">
      <c r="A7" s="73" t="s">
        <v>520</v>
      </c>
      <c r="B7" s="155">
        <v>11</v>
      </c>
    </row>
    <row r="8" spans="1:6" x14ac:dyDescent="0.35">
      <c r="A8" s="73" t="s">
        <v>519</v>
      </c>
      <c r="B8" s="155">
        <v>17</v>
      </c>
    </row>
    <row r="9" spans="1:6" x14ac:dyDescent="0.35">
      <c r="A9" s="72" t="s">
        <v>518</v>
      </c>
      <c r="B9" s="156">
        <v>28</v>
      </c>
    </row>
    <row r="10" spans="1:6" x14ac:dyDescent="0.35">
      <c r="A10" s="71" t="s">
        <v>517</v>
      </c>
      <c r="B10" s="70">
        <v>5</v>
      </c>
    </row>
    <row r="11" spans="1:6" x14ac:dyDescent="0.35">
      <c r="A11" s="71" t="s">
        <v>515</v>
      </c>
      <c r="B11" s="70">
        <v>4</v>
      </c>
    </row>
    <row r="12" spans="1:6" x14ac:dyDescent="0.35">
      <c r="A12" s="71" t="s">
        <v>516</v>
      </c>
      <c r="B12" s="70">
        <v>3</v>
      </c>
    </row>
    <row r="13" spans="1:6" x14ac:dyDescent="0.35">
      <c r="A13" s="71" t="s">
        <v>514</v>
      </c>
      <c r="B13" s="70">
        <v>3</v>
      </c>
    </row>
    <row r="14" spans="1:6" x14ac:dyDescent="0.35">
      <c r="A14" s="71" t="s">
        <v>512</v>
      </c>
      <c r="B14" s="70">
        <v>2</v>
      </c>
    </row>
    <row r="15" spans="1:6" x14ac:dyDescent="0.35">
      <c r="A15" s="71" t="s">
        <v>696</v>
      </c>
      <c r="B15" s="70">
        <v>2</v>
      </c>
    </row>
    <row r="16" spans="1:6" x14ac:dyDescent="0.35">
      <c r="A16" s="71" t="s">
        <v>513</v>
      </c>
      <c r="B16" s="70">
        <v>2</v>
      </c>
    </row>
    <row r="17" spans="1:2" x14ac:dyDescent="0.35">
      <c r="A17" s="71" t="s">
        <v>510</v>
      </c>
      <c r="B17" s="70">
        <v>2</v>
      </c>
    </row>
    <row r="18" spans="1:2" x14ac:dyDescent="0.35">
      <c r="A18" s="71" t="s">
        <v>722</v>
      </c>
      <c r="B18" s="70">
        <v>1</v>
      </c>
    </row>
    <row r="19" spans="1:2" x14ac:dyDescent="0.35">
      <c r="A19" s="71" t="s">
        <v>511</v>
      </c>
      <c r="B19" s="70">
        <v>1</v>
      </c>
    </row>
    <row r="20" spans="1:2" x14ac:dyDescent="0.35">
      <c r="A20" s="71" t="s">
        <v>509</v>
      </c>
      <c r="B20" s="70">
        <v>1</v>
      </c>
    </row>
    <row r="21" spans="1:2" x14ac:dyDescent="0.35">
      <c r="A21" s="71" t="s">
        <v>695</v>
      </c>
      <c r="B21" s="70">
        <v>1</v>
      </c>
    </row>
    <row r="22" spans="1:2" x14ac:dyDescent="0.35">
      <c r="A22" s="71" t="s">
        <v>701</v>
      </c>
      <c r="B22" s="70">
        <v>1</v>
      </c>
    </row>
    <row r="23" spans="1:2" x14ac:dyDescent="0.35">
      <c r="A23" s="158"/>
    </row>
    <row r="24" spans="1:2" x14ac:dyDescent="0.35">
      <c r="A24" s="158"/>
    </row>
    <row r="25" spans="1:2" x14ac:dyDescent="0.35">
      <c r="A25" s="455" t="s">
        <v>508</v>
      </c>
      <c r="B25" s="455"/>
    </row>
    <row r="26" spans="1:2" x14ac:dyDescent="0.35">
      <c r="A26" s="455"/>
      <c r="B26" s="455"/>
    </row>
    <row r="27" spans="1:2" x14ac:dyDescent="0.35">
      <c r="A27" s="455"/>
      <c r="B27" s="455"/>
    </row>
    <row r="28" spans="1:2" x14ac:dyDescent="0.35">
      <c r="A28" s="455"/>
      <c r="B28" s="455"/>
    </row>
  </sheetData>
  <mergeCells count="2">
    <mergeCell ref="A1:F1"/>
    <mergeCell ref="A25:B2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BAC5F-C87E-4AB5-ACCC-12AF4644B11E}">
  <dimension ref="A1:BD203"/>
  <sheetViews>
    <sheetView zoomScaleNormal="100" workbookViewId="0"/>
  </sheetViews>
  <sheetFormatPr defaultRowHeight="15" x14ac:dyDescent="0.35"/>
  <cols>
    <col min="1" max="1" width="23.453125" customWidth="1"/>
    <col min="2" max="2" width="16.7265625" customWidth="1"/>
    <col min="3" max="3" width="37.26953125" bestFit="1" customWidth="1"/>
    <col min="4" max="4" width="34.7265625" customWidth="1"/>
    <col min="5" max="9" width="19.54296875" customWidth="1"/>
    <col min="10" max="10" width="15" customWidth="1"/>
    <col min="13" max="13" width="8.7265625" style="3"/>
  </cols>
  <sheetData>
    <row r="1" spans="1:56" ht="26.25" customHeight="1" thickBot="1" x14ac:dyDescent="0.4">
      <c r="A1" s="88" t="s">
        <v>551</v>
      </c>
      <c r="B1" s="88"/>
      <c r="C1" s="95"/>
      <c r="D1" s="94"/>
      <c r="E1" s="94"/>
      <c r="F1" s="94"/>
      <c r="G1" s="94"/>
      <c r="H1" s="93"/>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5" customHeight="1" thickBot="1" x14ac:dyDescent="0.4">
      <c r="A2" s="459" t="s">
        <v>550</v>
      </c>
      <c r="B2" s="460"/>
      <c r="C2" s="460"/>
      <c r="D2" s="460"/>
      <c r="E2" s="460"/>
      <c r="F2" s="460"/>
      <c r="G2" s="460"/>
      <c r="H2" s="461"/>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5.5" thickBot="1" x14ac:dyDescent="0.4">
      <c r="A4" s="92"/>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4">
      <c r="A5" s="456" t="s">
        <v>549</v>
      </c>
      <c r="B5" s="457"/>
      <c r="C5" s="457"/>
      <c r="D5" s="458"/>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4">
      <c r="A6" s="88" t="s">
        <v>539</v>
      </c>
      <c r="B6" s="87" t="s">
        <v>538</v>
      </c>
      <c r="C6" s="87" t="s">
        <v>537</v>
      </c>
      <c r="D6" s="87" t="s">
        <v>536</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5.5" thickBot="1" x14ac:dyDescent="0.4">
      <c r="A7" s="85" t="s">
        <v>535</v>
      </c>
      <c r="B7" s="84">
        <v>41</v>
      </c>
      <c r="C7" s="84">
        <v>14.46</v>
      </c>
      <c r="D7" s="84">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5" thickBot="1" x14ac:dyDescent="0.4">
      <c r="A8" s="85" t="s">
        <v>534</v>
      </c>
      <c r="B8" s="84">
        <v>10</v>
      </c>
      <c r="C8" s="84">
        <v>26.3</v>
      </c>
      <c r="D8" s="84">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5" thickBot="1" x14ac:dyDescent="0.4">
      <c r="A9" s="85" t="s">
        <v>533</v>
      </c>
      <c r="B9" s="84">
        <v>231</v>
      </c>
      <c r="C9" s="84">
        <v>10.48</v>
      </c>
      <c r="D9" s="84">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4">
      <c r="A10" s="86" t="s">
        <v>532</v>
      </c>
      <c r="B10" s="84">
        <v>12</v>
      </c>
      <c r="C10" s="84">
        <v>20.83</v>
      </c>
      <c r="D10" s="84">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5" thickBot="1" x14ac:dyDescent="0.4">
      <c r="A11" s="85" t="s">
        <v>531</v>
      </c>
      <c r="B11" s="84">
        <v>2</v>
      </c>
      <c r="C11" s="84">
        <v>11</v>
      </c>
      <c r="D11" s="84">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5" thickBot="1" x14ac:dyDescent="0.4">
      <c r="A12" s="82" t="s">
        <v>530</v>
      </c>
      <c r="B12" s="81">
        <v>296</v>
      </c>
      <c r="C12" s="81">
        <v>11.99</v>
      </c>
      <c r="D12" s="81">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5">
      <c r="A14" s="462" t="s">
        <v>548</v>
      </c>
      <c r="B14" s="462"/>
      <c r="C14" s="462"/>
      <c r="D14" s="462"/>
      <c r="E14" s="462"/>
      <c r="F14" s="462"/>
      <c r="G14" s="462"/>
      <c r="H14" s="462"/>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5" thickBot="1" x14ac:dyDescent="0.4">
      <c r="A15" s="89"/>
      <c r="B15" s="89"/>
      <c r="C15" s="89"/>
      <c r="D15" s="89"/>
      <c r="E15" s="89"/>
      <c r="F15" s="89"/>
      <c r="G15" s="89"/>
      <c r="H15" s="89"/>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4">
      <c r="A16" s="456" t="s">
        <v>547</v>
      </c>
      <c r="B16" s="457"/>
      <c r="C16" s="457"/>
      <c r="D16" s="458"/>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4">
      <c r="A17" s="88" t="s">
        <v>539</v>
      </c>
      <c r="B17" s="87" t="s">
        <v>538</v>
      </c>
      <c r="C17" s="87" t="s">
        <v>537</v>
      </c>
      <c r="D17" s="87" t="s">
        <v>536</v>
      </c>
      <c r="E17" s="91"/>
      <c r="F17" s="90"/>
      <c r="G17" s="90"/>
      <c r="H17" s="90"/>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5" thickBot="1" x14ac:dyDescent="0.4">
      <c r="A18" s="85" t="s">
        <v>535</v>
      </c>
      <c r="B18" s="84">
        <v>52</v>
      </c>
      <c r="C18" s="83">
        <v>9.884615385</v>
      </c>
      <c r="D18" s="83">
        <v>11.42222222</v>
      </c>
      <c r="E18" s="78"/>
      <c r="F18" s="77"/>
      <c r="G18" s="77"/>
      <c r="H18" s="77"/>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5" thickBot="1" x14ac:dyDescent="0.4">
      <c r="A19" s="85" t="s">
        <v>534</v>
      </c>
      <c r="B19" s="84">
        <v>5</v>
      </c>
      <c r="C19" s="83">
        <v>15.2</v>
      </c>
      <c r="D19" s="83">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5.5" thickBot="1" x14ac:dyDescent="0.4">
      <c r="A20" s="85" t="s">
        <v>533</v>
      </c>
      <c r="B20" s="84">
        <v>111</v>
      </c>
      <c r="C20" s="83">
        <v>7.4864864860000004</v>
      </c>
      <c r="D20" s="83">
        <v>7.6944444440000002</v>
      </c>
      <c r="E20" s="91"/>
      <c r="F20" s="90"/>
      <c r="G20" s="90"/>
      <c r="H20" s="90"/>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4" customHeight="1" thickBot="1" x14ac:dyDescent="0.4">
      <c r="A21" s="86" t="s">
        <v>532</v>
      </c>
      <c r="B21" s="84">
        <v>19</v>
      </c>
      <c r="C21" s="83">
        <v>7.0526315789999998</v>
      </c>
      <c r="D21" s="83">
        <v>7.4444444440000002</v>
      </c>
      <c r="E21" s="76"/>
      <c r="F21" s="76"/>
      <c r="G21" s="76"/>
      <c r="H21" s="76"/>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5" thickBot="1" x14ac:dyDescent="0.4">
      <c r="A22" s="85" t="s">
        <v>531</v>
      </c>
      <c r="B22" s="84">
        <v>39</v>
      </c>
      <c r="C22" s="83">
        <v>17.410256409999999</v>
      </c>
      <c r="D22" s="83">
        <v>19.399999999999999</v>
      </c>
      <c r="E22" s="12"/>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5" thickBot="1" x14ac:dyDescent="0.4">
      <c r="A23" s="82" t="s">
        <v>530</v>
      </c>
      <c r="B23" s="81">
        <v>226</v>
      </c>
      <c r="C23" s="80">
        <v>11.406797971999998</v>
      </c>
      <c r="D23" s="80">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5">
      <c r="A25" s="462" t="s">
        <v>546</v>
      </c>
      <c r="B25" s="462"/>
      <c r="C25" s="462"/>
      <c r="D25" s="462"/>
      <c r="E25" s="462"/>
      <c r="F25" s="462"/>
      <c r="G25" s="462"/>
      <c r="H25" s="462"/>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5">
      <c r="A26" s="89" t="s">
        <v>545</v>
      </c>
      <c r="B26" s="89"/>
      <c r="C26" s="89"/>
      <c r="D26" s="89"/>
      <c r="E26" s="89"/>
      <c r="F26" s="89"/>
      <c r="G26" s="89"/>
      <c r="H26" s="89"/>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5" thickBot="1" x14ac:dyDescent="0.4">
      <c r="A27" s="89"/>
      <c r="B27" s="89"/>
      <c r="C27" s="89"/>
      <c r="D27" s="89"/>
      <c r="E27" s="89"/>
      <c r="F27" s="89"/>
      <c r="G27" s="89"/>
      <c r="H27" s="89"/>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4">
      <c r="A28" s="456" t="s">
        <v>544</v>
      </c>
      <c r="B28" s="457"/>
      <c r="C28" s="457"/>
      <c r="D28" s="458"/>
      <c r="E28" s="89"/>
      <c r="F28" s="89"/>
      <c r="G28" s="89"/>
      <c r="H28" s="89"/>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4">
      <c r="A29" s="88" t="s">
        <v>539</v>
      </c>
      <c r="B29" s="87" t="s">
        <v>538</v>
      </c>
      <c r="C29" s="87" t="s">
        <v>537</v>
      </c>
      <c r="D29" s="87" t="s">
        <v>536</v>
      </c>
      <c r="E29" s="89"/>
      <c r="F29" s="89"/>
      <c r="G29" s="89"/>
      <c r="H29" s="89"/>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5" thickBot="1" x14ac:dyDescent="0.4">
      <c r="A30" s="85" t="s">
        <v>535</v>
      </c>
      <c r="B30" s="84">
        <v>59</v>
      </c>
      <c r="C30" s="83">
        <v>11.78</v>
      </c>
      <c r="D30" s="83">
        <v>35</v>
      </c>
      <c r="E30" s="89"/>
      <c r="F30" s="89"/>
      <c r="G30" s="89"/>
      <c r="H30" s="89"/>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5" thickBot="1" x14ac:dyDescent="0.4">
      <c r="A31" s="85" t="s">
        <v>534</v>
      </c>
      <c r="B31" s="84">
        <v>13</v>
      </c>
      <c r="C31" s="83">
        <v>17.079999999999998</v>
      </c>
      <c r="D31" s="83">
        <v>64.540000000000006</v>
      </c>
      <c r="E31" s="89"/>
      <c r="F31" s="89"/>
      <c r="G31" s="89"/>
      <c r="H31" s="89"/>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5" thickBot="1" x14ac:dyDescent="0.4">
      <c r="A32" s="85" t="s">
        <v>533</v>
      </c>
      <c r="B32" s="84">
        <v>146</v>
      </c>
      <c r="C32" s="83">
        <v>10.210000000000001</v>
      </c>
      <c r="D32" s="83">
        <v>18.420000000000002</v>
      </c>
      <c r="E32" s="89"/>
      <c r="F32" s="89"/>
      <c r="G32" s="89"/>
      <c r="H32" s="89"/>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65" customHeight="1" thickBot="1" x14ac:dyDescent="0.4">
      <c r="A33" s="86" t="s">
        <v>532</v>
      </c>
      <c r="B33" s="84">
        <v>32</v>
      </c>
      <c r="C33" s="83">
        <v>4.91</v>
      </c>
      <c r="D33" s="83">
        <v>9.9700000000000006</v>
      </c>
      <c r="E33" s="89"/>
      <c r="F33" s="89"/>
      <c r="G33" s="89"/>
      <c r="H33" s="89"/>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5" thickBot="1" x14ac:dyDescent="0.4">
      <c r="A34" s="85" t="s">
        <v>531</v>
      </c>
      <c r="B34" s="84">
        <v>61</v>
      </c>
      <c r="C34" s="83">
        <v>50.8</v>
      </c>
      <c r="D34" s="83">
        <v>87.23</v>
      </c>
      <c r="E34" s="89"/>
      <c r="F34" s="89"/>
      <c r="G34" s="89"/>
      <c r="H34" s="89"/>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5" thickBot="1" x14ac:dyDescent="0.4">
      <c r="A35" s="82" t="s">
        <v>530</v>
      </c>
      <c r="B35" s="81">
        <v>311</v>
      </c>
      <c r="C35" s="80">
        <v>18.21</v>
      </c>
      <c r="D35" s="80">
        <v>36.119999999999997</v>
      </c>
      <c r="E35" s="89"/>
      <c r="F35" s="89"/>
      <c r="G35" s="89"/>
      <c r="H35" s="89"/>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5">
      <c r="A37" s="79" t="s">
        <v>543</v>
      </c>
      <c r="B37" s="79"/>
      <c r="C37" s="79"/>
      <c r="D37" s="79"/>
      <c r="E37" s="79"/>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5">
      <c r="A38" s="79"/>
      <c r="B38" s="79"/>
      <c r="C38" s="79"/>
      <c r="D38" s="79"/>
      <c r="E38" s="79"/>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5.5" thickBot="1" x14ac:dyDescent="0.4">
      <c r="A39" s="79"/>
      <c r="B39" s="79"/>
      <c r="C39" s="79"/>
      <c r="D39" s="79"/>
      <c r="E39" s="79"/>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5.5" thickBot="1" x14ac:dyDescent="0.4">
      <c r="A40" s="456" t="s">
        <v>542</v>
      </c>
      <c r="B40" s="457"/>
      <c r="C40" s="457"/>
      <c r="D40" s="458"/>
      <c r="E40" s="79"/>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4">
      <c r="A41" s="88" t="s">
        <v>539</v>
      </c>
      <c r="B41" s="87" t="s">
        <v>538</v>
      </c>
      <c r="C41" s="87" t="s">
        <v>537</v>
      </c>
      <c r="D41" s="87" t="s">
        <v>536</v>
      </c>
      <c r="E41" s="79"/>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5.5" thickBot="1" x14ac:dyDescent="0.4">
      <c r="A42" s="85" t="s">
        <v>535</v>
      </c>
      <c r="B42" s="84">
        <v>96</v>
      </c>
      <c r="C42" s="83">
        <v>14.614583333333334</v>
      </c>
      <c r="D42" s="83">
        <v>32.385416666666664</v>
      </c>
      <c r="E42" s="79"/>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5.5" thickBot="1" x14ac:dyDescent="0.4">
      <c r="A43" s="85" t="s">
        <v>534</v>
      </c>
      <c r="B43" s="84">
        <v>5</v>
      </c>
      <c r="C43" s="83">
        <v>29</v>
      </c>
      <c r="D43" s="83">
        <v>57.6</v>
      </c>
      <c r="E43" s="79"/>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5.5" thickBot="1" x14ac:dyDescent="0.4">
      <c r="A44" s="85" t="s">
        <v>533</v>
      </c>
      <c r="B44" s="84">
        <v>200</v>
      </c>
      <c r="C44" s="83">
        <v>12.205</v>
      </c>
      <c r="D44" s="83">
        <v>17.045000000000002</v>
      </c>
      <c r="E44" s="79"/>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5" thickBot="1" x14ac:dyDescent="0.4">
      <c r="A45" s="86" t="s">
        <v>532</v>
      </c>
      <c r="B45" s="84">
        <v>19</v>
      </c>
      <c r="C45" s="83">
        <v>4.1052631578947372</v>
      </c>
      <c r="D45" s="83">
        <v>26</v>
      </c>
      <c r="E45" s="79"/>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5.5" thickBot="1" x14ac:dyDescent="0.4">
      <c r="A46" s="85" t="s">
        <v>531</v>
      </c>
      <c r="B46" s="84">
        <v>57</v>
      </c>
      <c r="C46" s="83">
        <v>43.210526315789473</v>
      </c>
      <c r="D46" s="83">
        <v>73.578947368421055</v>
      </c>
      <c r="E46" s="79"/>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5.5" thickBot="1" x14ac:dyDescent="0.4">
      <c r="A47" s="82" t="s">
        <v>530</v>
      </c>
      <c r="B47" s="81">
        <v>377</v>
      </c>
      <c r="C47" s="80">
        <v>17.320954907161802</v>
      </c>
      <c r="D47" s="80">
        <v>30.488063660477454</v>
      </c>
      <c r="E47" s="79"/>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5">
      <c r="E48" s="79"/>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5">
      <c r="A49" s="79" t="s">
        <v>541</v>
      </c>
      <c r="B49" s="79"/>
      <c r="C49" s="79"/>
      <c r="D49" s="79"/>
      <c r="E49" s="79"/>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5">
      <c r="A50" s="79"/>
      <c r="B50" s="79"/>
      <c r="C50" s="79"/>
      <c r="D50" s="79"/>
      <c r="E50" s="79"/>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5.5" thickBot="1" x14ac:dyDescent="0.4">
      <c r="A51" s="79"/>
      <c r="B51" s="79"/>
      <c r="C51" s="79"/>
      <c r="D51" s="79"/>
      <c r="E51" s="79"/>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5.5" thickBot="1" x14ac:dyDescent="0.4">
      <c r="A52" s="456" t="s">
        <v>540</v>
      </c>
      <c r="B52" s="457"/>
      <c r="C52" s="457"/>
      <c r="D52" s="458"/>
      <c r="E52" s="79"/>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5" thickBot="1" x14ac:dyDescent="0.4">
      <c r="A53" s="88" t="s">
        <v>539</v>
      </c>
      <c r="B53" s="87" t="s">
        <v>538</v>
      </c>
      <c r="C53" s="87" t="s">
        <v>537</v>
      </c>
      <c r="D53" s="87" t="s">
        <v>536</v>
      </c>
      <c r="E53" s="79"/>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5.5" thickBot="1" x14ac:dyDescent="0.4">
      <c r="A54" s="85" t="s">
        <v>535</v>
      </c>
      <c r="B54" s="84">
        <v>110</v>
      </c>
      <c r="C54" s="84">
        <v>14</v>
      </c>
      <c r="D54" s="83">
        <v>34.390909090909091</v>
      </c>
      <c r="E54" s="79"/>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5.5" thickBot="1" x14ac:dyDescent="0.4">
      <c r="A55" s="85" t="s">
        <v>534</v>
      </c>
      <c r="B55" s="84">
        <v>13</v>
      </c>
      <c r="C55" s="83">
        <v>20.46153846153846</v>
      </c>
      <c r="D55" s="84">
        <v>31</v>
      </c>
      <c r="E55" s="79"/>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5.5" thickBot="1" x14ac:dyDescent="0.4">
      <c r="A56" s="85" t="s">
        <v>533</v>
      </c>
      <c r="B56" s="84">
        <v>178</v>
      </c>
      <c r="C56" s="83">
        <v>10.258426966292134</v>
      </c>
      <c r="D56" s="83">
        <v>18.713483146067414</v>
      </c>
      <c r="E56" s="79"/>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5" thickBot="1" x14ac:dyDescent="0.4">
      <c r="A57" s="86" t="s">
        <v>532</v>
      </c>
      <c r="B57" s="84">
        <v>17</v>
      </c>
      <c r="C57" s="83">
        <v>8.0588235294117645</v>
      </c>
      <c r="D57" s="83">
        <v>15.647058823529411</v>
      </c>
      <c r="E57" s="79"/>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5.5" thickBot="1" x14ac:dyDescent="0.4">
      <c r="A58" s="85" t="s">
        <v>531</v>
      </c>
      <c r="B58" s="84">
        <v>55</v>
      </c>
      <c r="C58" s="83">
        <v>62.18181818181818</v>
      </c>
      <c r="D58" s="83">
        <v>90.618181818181824</v>
      </c>
      <c r="E58" s="79"/>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5.5" thickBot="1" x14ac:dyDescent="0.4">
      <c r="A59" s="82" t="s">
        <v>530</v>
      </c>
      <c r="B59" s="81">
        <v>373</v>
      </c>
      <c r="C59" s="80">
        <v>19.273458445040216</v>
      </c>
      <c r="D59" s="80">
        <v>34.227882037533512</v>
      </c>
      <c r="E59" s="79"/>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5">
      <c r="E60" s="79"/>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5">
      <c r="A61" s="79" t="s">
        <v>529</v>
      </c>
      <c r="B61" s="79"/>
      <c r="C61" s="79"/>
      <c r="D61" s="79"/>
      <c r="E61" s="79"/>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5">
      <c r="A62" s="79"/>
      <c r="B62" s="79"/>
      <c r="C62" s="79"/>
      <c r="D62" s="79"/>
      <c r="E62" s="79"/>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x14ac:dyDescent="0.35">
      <c r="A63" s="79"/>
      <c r="B63" s="79"/>
      <c r="C63" s="79"/>
      <c r="D63" s="79"/>
      <c r="E63" s="79"/>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x14ac:dyDescent="0.35">
      <c r="A64" s="79"/>
      <c r="B64" s="79"/>
      <c r="C64" s="79"/>
      <c r="D64" s="79"/>
      <c r="E64" s="79"/>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x14ac:dyDescent="0.35">
      <c r="A65" s="79"/>
      <c r="B65" s="79"/>
      <c r="C65" s="79"/>
      <c r="D65" s="79"/>
      <c r="E65" s="79"/>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x14ac:dyDescent="0.35">
      <c r="A66" s="79"/>
      <c r="B66" s="79"/>
      <c r="C66" s="79"/>
      <c r="D66" s="79"/>
      <c r="E66" s="79"/>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x14ac:dyDescent="0.35">
      <c r="A67" s="79"/>
      <c r="B67" s="79"/>
      <c r="C67" s="79"/>
      <c r="D67" s="79"/>
      <c r="E67" s="79"/>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x14ac:dyDescent="0.35">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x14ac:dyDescent="0.35">
      <c r="A69" s="465" t="s">
        <v>528</v>
      </c>
      <c r="B69" s="466"/>
      <c r="C69" s="466"/>
      <c r="D69" s="466"/>
      <c r="E69" s="466"/>
      <c r="F69" s="466"/>
      <c r="G69" s="466"/>
      <c r="H69" s="466"/>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5.65" customHeight="1" x14ac:dyDescent="0.35">
      <c r="A70" s="467" t="s">
        <v>527</v>
      </c>
      <c r="B70" s="468"/>
      <c r="C70" s="468"/>
      <c r="D70" s="468"/>
      <c r="E70" s="468"/>
      <c r="F70" s="468"/>
      <c r="G70" s="468"/>
      <c r="H70" s="46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x14ac:dyDescent="0.35">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5">
      <c r="A72" s="465" t="s">
        <v>526</v>
      </c>
      <c r="B72" s="466"/>
      <c r="C72" s="466"/>
      <c r="D72" s="466"/>
      <c r="E72" s="466"/>
      <c r="F72" s="466"/>
      <c r="G72" s="466"/>
      <c r="H72" s="466"/>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5">
      <c r="A73" s="463" t="s">
        <v>525</v>
      </c>
      <c r="B73" s="464"/>
      <c r="C73" s="464"/>
      <c r="D73" s="464"/>
      <c r="E73" s="464"/>
      <c r="F73" s="464"/>
      <c r="G73" s="464"/>
      <c r="H73" s="46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5">
      <c r="A74" s="76"/>
      <c r="B74" s="76"/>
      <c r="C74" s="76"/>
      <c r="D74" s="76"/>
      <c r="E74" s="76"/>
      <c r="F74" s="76"/>
      <c r="G74" s="76"/>
      <c r="H74" s="76"/>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x14ac:dyDescent="0.35">
      <c r="A75" s="76"/>
      <c r="B75" s="76"/>
      <c r="C75" s="76"/>
      <c r="D75" s="76"/>
      <c r="E75" s="76"/>
      <c r="F75" s="76"/>
      <c r="G75" s="76"/>
      <c r="H75" s="76"/>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x14ac:dyDescent="0.35">
      <c r="A76" s="76"/>
      <c r="B76" s="76"/>
      <c r="C76" s="76"/>
      <c r="D76" s="76"/>
      <c r="E76" s="76"/>
      <c r="F76" s="76"/>
      <c r="G76" s="76"/>
      <c r="H76" s="76"/>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x14ac:dyDescent="0.35">
      <c r="A77" s="75"/>
      <c r="B77" s="75"/>
      <c r="C77" s="75"/>
      <c r="D77" s="75"/>
      <c r="E77" s="3"/>
      <c r="F77" s="3"/>
      <c r="G77" s="3"/>
      <c r="H77" s="3"/>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x14ac:dyDescent="0.35">
      <c r="A78" s="75"/>
      <c r="B78" s="75"/>
      <c r="C78" s="75"/>
      <c r="D78" s="75"/>
      <c r="E78" s="3"/>
      <c r="F78" s="3"/>
      <c r="G78" s="3"/>
      <c r="H78" s="3"/>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x14ac:dyDescent="0.35">
      <c r="A79" s="75"/>
      <c r="B79" s="75"/>
      <c r="C79" s="75"/>
      <c r="D79" s="75"/>
      <c r="E79" s="3"/>
      <c r="F79" s="3"/>
      <c r="G79" s="3"/>
      <c r="H79" s="3"/>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x14ac:dyDescent="0.35">
      <c r="A80" s="75"/>
      <c r="B80" s="75"/>
      <c r="C80" s="75"/>
      <c r="D80" s="75"/>
      <c r="E80" s="3"/>
      <c r="F80" s="3"/>
      <c r="G80" s="3"/>
      <c r="H80" s="3"/>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x14ac:dyDescent="0.35">
      <c r="A81" s="75"/>
      <c r="B81" s="75"/>
      <c r="C81" s="75"/>
      <c r="D81" s="75"/>
      <c r="E81" s="3"/>
      <c r="F81" s="3"/>
      <c r="G81" s="3"/>
      <c r="H81" s="3"/>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x14ac:dyDescent="0.35">
      <c r="A82" s="75"/>
      <c r="B82" s="75"/>
      <c r="C82" s="75"/>
      <c r="D82" s="75"/>
      <c r="E82" s="3"/>
      <c r="F82" s="3"/>
      <c r="G82" s="3"/>
      <c r="H82" s="3"/>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x14ac:dyDescent="0.35">
      <c r="A83" s="75"/>
      <c r="B83" s="75"/>
      <c r="C83" s="75"/>
      <c r="D83" s="75"/>
      <c r="E83" s="3"/>
      <c r="F83" s="3"/>
      <c r="G83" s="3"/>
      <c r="H83" s="3"/>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5">
      <c r="A84" s="75"/>
      <c r="B84" s="75"/>
      <c r="C84" s="75"/>
      <c r="D84" s="75"/>
      <c r="E84" s="3"/>
      <c r="F84" s="3"/>
      <c r="G84" s="3"/>
      <c r="H84" s="3"/>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5">
      <c r="A85" s="75"/>
      <c r="B85" s="75"/>
      <c r="C85" s="75"/>
      <c r="D85" s="75"/>
      <c r="E85" s="3"/>
      <c r="F85" s="3"/>
      <c r="G85" s="3"/>
      <c r="H85" s="3"/>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5">
      <c r="A86" s="75"/>
      <c r="B86" s="75"/>
      <c r="C86" s="75"/>
      <c r="D86" s="75"/>
      <c r="E86" s="3"/>
      <c r="F86" s="3"/>
      <c r="G86" s="3"/>
      <c r="H86" s="3"/>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x14ac:dyDescent="0.35">
      <c r="A87" s="75"/>
      <c r="B87" s="75"/>
      <c r="C87" s="75"/>
      <c r="D87" s="75"/>
      <c r="E87" s="3"/>
      <c r="F87" s="3"/>
      <c r="G87" s="3"/>
      <c r="H87" s="3"/>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x14ac:dyDescent="0.35">
      <c r="A88" s="75"/>
      <c r="B88" s="75"/>
      <c r="C88" s="75"/>
      <c r="D88" s="75"/>
      <c r="E88" s="3"/>
      <c r="F88" s="3"/>
      <c r="G88" s="3"/>
      <c r="H88" s="3"/>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x14ac:dyDescent="0.35">
      <c r="A89" s="75"/>
      <c r="B89" s="75"/>
      <c r="C89" s="75"/>
      <c r="D89" s="75"/>
      <c r="E89" s="3"/>
      <c r="F89" s="3"/>
      <c r="G89" s="3"/>
      <c r="H89" s="3"/>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x14ac:dyDescent="0.35">
      <c r="A90" s="75"/>
      <c r="B90" s="75"/>
      <c r="C90" s="75"/>
      <c r="D90" s="75"/>
      <c r="E90" s="3"/>
      <c r="F90" s="3"/>
      <c r="G90" s="3"/>
      <c r="H90" s="3"/>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x14ac:dyDescent="0.35">
      <c r="A91" s="75"/>
      <c r="B91" s="75"/>
      <c r="C91" s="75"/>
      <c r="D91" s="75"/>
      <c r="E91" s="3"/>
      <c r="F91" s="3"/>
      <c r="G91" s="3"/>
      <c r="H91" s="3"/>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x14ac:dyDescent="0.35">
      <c r="A92" s="75"/>
      <c r="B92" s="75"/>
      <c r="C92" s="75"/>
      <c r="D92" s="75"/>
      <c r="E92" s="3"/>
      <c r="F92" s="3"/>
      <c r="G92" s="3"/>
      <c r="H92" s="3"/>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x14ac:dyDescent="0.35">
      <c r="A93" s="75"/>
      <c r="B93" s="75"/>
      <c r="C93" s="75"/>
      <c r="D93" s="75"/>
      <c r="E93" s="3"/>
      <c r="F93" s="3"/>
      <c r="G93" s="3"/>
      <c r="H93" s="3"/>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x14ac:dyDescent="0.35">
      <c r="A94" s="75"/>
      <c r="B94" s="75"/>
      <c r="C94" s="75"/>
      <c r="D94" s="75"/>
      <c r="E94" s="3"/>
      <c r="F94" s="3"/>
      <c r="G94" s="3"/>
      <c r="H94" s="3"/>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x14ac:dyDescent="0.35">
      <c r="A95" s="75"/>
      <c r="B95" s="75"/>
      <c r="C95" s="75"/>
      <c r="D95" s="75"/>
      <c r="E95" s="3"/>
      <c r="F95" s="3"/>
      <c r="G95" s="3"/>
      <c r="H95" s="3"/>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5">
      <c r="A96" s="75"/>
      <c r="B96" s="75"/>
      <c r="C96" s="75"/>
      <c r="D96" s="75"/>
      <c r="E96" s="3"/>
      <c r="F96" s="3"/>
      <c r="G96" s="3"/>
      <c r="H96" s="3"/>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5">
      <c r="A97" s="75"/>
      <c r="B97" s="75"/>
      <c r="C97" s="75"/>
      <c r="D97" s="75"/>
      <c r="E97" s="3"/>
      <c r="F97" s="3"/>
      <c r="G97" s="3"/>
      <c r="H97" s="3"/>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5">
      <c r="A98" s="75"/>
      <c r="B98" s="75"/>
      <c r="C98" s="75"/>
      <c r="D98" s="75"/>
      <c r="E98" s="3"/>
      <c r="F98" s="3"/>
      <c r="G98" s="3"/>
      <c r="H98" s="3"/>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35">
      <c r="A99" s="75"/>
      <c r="B99" s="75"/>
      <c r="C99" s="75"/>
      <c r="D99" s="75"/>
      <c r="E99" s="3"/>
      <c r="F99" s="3"/>
      <c r="G99" s="3"/>
      <c r="H99" s="3"/>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x14ac:dyDescent="0.35">
      <c r="A100" s="75"/>
      <c r="B100" s="75"/>
      <c r="C100" s="75"/>
      <c r="D100" s="75"/>
      <c r="E100" s="3"/>
      <c r="F100" s="3"/>
      <c r="G100" s="3"/>
      <c r="H100" s="3"/>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x14ac:dyDescent="0.35">
      <c r="A101" s="75"/>
      <c r="B101" s="75"/>
      <c r="C101" s="75"/>
      <c r="D101" s="75"/>
      <c r="E101" s="3"/>
      <c r="F101" s="3"/>
      <c r="G101" s="3"/>
      <c r="H101" s="3"/>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x14ac:dyDescent="0.35">
      <c r="A102" s="75"/>
      <c r="B102" s="75"/>
      <c r="C102" s="75"/>
      <c r="D102" s="75"/>
      <c r="E102" s="3"/>
      <c r="F102" s="3"/>
      <c r="G102" s="3"/>
      <c r="H102" s="3"/>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x14ac:dyDescent="0.35">
      <c r="A103" s="75"/>
      <c r="B103" s="75"/>
      <c r="C103" s="75"/>
      <c r="D103" s="75"/>
      <c r="E103" s="3"/>
      <c r="F103" s="3"/>
      <c r="G103" s="3"/>
      <c r="H103" s="3"/>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x14ac:dyDescent="0.35">
      <c r="A104" s="75"/>
      <c r="B104" s="75"/>
      <c r="C104" s="75"/>
      <c r="D104" s="75"/>
      <c r="E104" s="3"/>
      <c r="F104" s="3"/>
      <c r="G104" s="3"/>
      <c r="H104" s="3"/>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x14ac:dyDescent="0.35">
      <c r="A105" s="75"/>
      <c r="B105" s="75"/>
      <c r="C105" s="75"/>
      <c r="D105" s="75"/>
      <c r="E105" s="3"/>
      <c r="F105" s="3"/>
      <c r="G105" s="3"/>
      <c r="H105" s="3"/>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x14ac:dyDescent="0.35">
      <c r="A106" s="75"/>
      <c r="B106" s="75"/>
      <c r="C106" s="75"/>
      <c r="D106" s="75"/>
      <c r="E106" s="3"/>
      <c r="F106" s="3"/>
      <c r="G106" s="3"/>
      <c r="H106" s="3"/>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x14ac:dyDescent="0.35">
      <c r="A107" s="75"/>
      <c r="B107" s="75"/>
      <c r="C107" s="75"/>
      <c r="D107" s="75"/>
      <c r="E107" s="3"/>
      <c r="F107" s="3"/>
      <c r="G107" s="3"/>
      <c r="H107" s="3"/>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5">
      <c r="A108" s="75"/>
      <c r="B108" s="75"/>
      <c r="C108" s="75"/>
      <c r="D108" s="75"/>
      <c r="E108" s="3"/>
      <c r="F108" s="3"/>
      <c r="G108" s="3"/>
      <c r="H108" s="3"/>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5">
      <c r="A109" s="75"/>
      <c r="B109" s="75"/>
      <c r="C109" s="75"/>
      <c r="D109" s="75"/>
      <c r="E109" s="3"/>
      <c r="F109" s="3"/>
      <c r="G109" s="3"/>
      <c r="H109" s="3"/>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5">
      <c r="A110" s="75"/>
      <c r="B110" s="75"/>
      <c r="C110" s="75"/>
      <c r="D110" s="75"/>
      <c r="E110" s="3"/>
      <c r="F110" s="3"/>
      <c r="G110" s="3"/>
      <c r="H110" s="3"/>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x14ac:dyDescent="0.35">
      <c r="A111" s="75"/>
      <c r="B111" s="75"/>
      <c r="C111" s="75"/>
      <c r="D111" s="75"/>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x14ac:dyDescent="0.35">
      <c r="A112" s="75"/>
      <c r="B112" s="75"/>
      <c r="C112" s="75"/>
      <c r="D112" s="75"/>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x14ac:dyDescent="0.35">
      <c r="A113" s="75"/>
      <c r="B113" s="75"/>
      <c r="C113" s="75"/>
      <c r="D113" s="75"/>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x14ac:dyDescent="0.35">
      <c r="A114" s="75"/>
      <c r="B114" s="75"/>
      <c r="C114" s="75"/>
      <c r="D114" s="75"/>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x14ac:dyDescent="0.35">
      <c r="A115" s="75"/>
      <c r="B115" s="75"/>
      <c r="C115" s="75"/>
      <c r="D115" s="75"/>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x14ac:dyDescent="0.35">
      <c r="A116" s="75"/>
      <c r="B116" s="75"/>
      <c r="C116" s="75"/>
      <c r="D116" s="75"/>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x14ac:dyDescent="0.35">
      <c r="A117" s="75"/>
      <c r="B117" s="75"/>
      <c r="C117" s="75"/>
      <c r="D117" s="75"/>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x14ac:dyDescent="0.35">
      <c r="A118" s="75"/>
      <c r="B118" s="75"/>
      <c r="C118" s="75"/>
      <c r="D118" s="75"/>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x14ac:dyDescent="0.35">
      <c r="A119" s="75"/>
      <c r="B119" s="75"/>
      <c r="C119" s="75"/>
      <c r="D119" s="75"/>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5">
      <c r="A120" s="75"/>
      <c r="B120" s="75"/>
      <c r="C120" s="75"/>
      <c r="D120" s="75"/>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5">
      <c r="A121" s="75"/>
      <c r="B121" s="75"/>
      <c r="C121" s="75"/>
      <c r="D121" s="75"/>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5">
      <c r="A122" s="75"/>
      <c r="B122" s="75"/>
      <c r="C122" s="75"/>
      <c r="D122" s="75"/>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35">
      <c r="A123" s="75"/>
      <c r="B123" s="75"/>
      <c r="C123" s="75"/>
      <c r="D123" s="75"/>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35">
      <c r="A124" s="75"/>
      <c r="B124" s="75"/>
      <c r="C124" s="75"/>
      <c r="D124" s="75"/>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x14ac:dyDescent="0.35">
      <c r="A125" s="75"/>
      <c r="B125" s="75"/>
      <c r="C125" s="75"/>
      <c r="D125" s="75"/>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35">
      <c r="A126" s="75"/>
      <c r="B126" s="75"/>
      <c r="C126" s="75"/>
      <c r="D126" s="75"/>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35">
      <c r="A127" s="75"/>
      <c r="B127" s="75"/>
      <c r="C127" s="75"/>
      <c r="D127" s="75"/>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35">
      <c r="A128" s="75"/>
      <c r="B128" s="75"/>
      <c r="C128" s="75"/>
      <c r="D128" s="75"/>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35">
      <c r="A129" s="75"/>
      <c r="B129" s="75"/>
      <c r="C129" s="75"/>
      <c r="D129" s="75"/>
      <c r="E129" s="3"/>
      <c r="F129" s="3"/>
      <c r="G129" s="3"/>
      <c r="H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35">
      <c r="A130" s="75"/>
      <c r="B130" s="75"/>
      <c r="C130" s="75"/>
      <c r="D130" s="75"/>
      <c r="E130" s="3"/>
      <c r="F130" s="3"/>
      <c r="G130" s="3"/>
      <c r="H130" s="3"/>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35">
      <c r="A131" s="75"/>
      <c r="B131" s="75"/>
      <c r="C131" s="75"/>
      <c r="D131" s="75"/>
      <c r="E131" s="3"/>
      <c r="F131" s="3"/>
      <c r="G131" s="3"/>
      <c r="H131" s="3"/>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5">
      <c r="A132" s="75"/>
      <c r="B132" s="75"/>
      <c r="C132" s="75"/>
      <c r="D132" s="75"/>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5">
      <c r="A133" s="75"/>
      <c r="B133" s="75"/>
      <c r="C133" s="75"/>
      <c r="D133" s="75"/>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5">
      <c r="A134" s="75"/>
      <c r="B134" s="75"/>
      <c r="C134" s="75"/>
      <c r="D134" s="75"/>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35">
      <c r="A135" s="75"/>
      <c r="B135" s="75"/>
      <c r="C135" s="75"/>
      <c r="D135" s="75"/>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35">
      <c r="A136" s="75"/>
      <c r="B136" s="75"/>
      <c r="C136" s="75"/>
      <c r="D136" s="75"/>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35">
      <c r="A137" s="75"/>
      <c r="B137" s="75"/>
      <c r="C137" s="75"/>
      <c r="D137" s="75"/>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35">
      <c r="A138" s="75"/>
      <c r="B138" s="75"/>
      <c r="C138" s="75"/>
      <c r="D138" s="75"/>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35">
      <c r="A139" s="75"/>
      <c r="B139" s="75"/>
      <c r="C139" s="75"/>
      <c r="D139" s="75"/>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35">
      <c r="A140" s="75"/>
      <c r="B140" s="75"/>
      <c r="C140" s="75"/>
      <c r="D140" s="75"/>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35">
      <c r="A141" s="75"/>
      <c r="B141" s="75"/>
      <c r="C141" s="75"/>
      <c r="D141" s="75"/>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35">
      <c r="A142" s="75"/>
      <c r="B142" s="75"/>
      <c r="C142" s="75"/>
      <c r="D142" s="75"/>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35">
      <c r="A143" s="75"/>
      <c r="B143" s="75"/>
      <c r="C143" s="75"/>
      <c r="D143" s="75"/>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5">
      <c r="A144" s="75"/>
      <c r="B144" s="75"/>
      <c r="C144" s="75"/>
      <c r="D144" s="75"/>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5">
      <c r="A145" s="75"/>
      <c r="B145" s="75"/>
      <c r="C145" s="75"/>
      <c r="D145" s="75"/>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5">
      <c r="A146" s="75"/>
      <c r="B146" s="75"/>
      <c r="C146" s="75"/>
      <c r="D146" s="75"/>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35">
      <c r="A147" s="75"/>
      <c r="B147" s="75"/>
      <c r="C147" s="75"/>
      <c r="D147" s="75"/>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35">
      <c r="A148" s="75"/>
      <c r="B148" s="75"/>
      <c r="C148" s="75"/>
      <c r="D148" s="75"/>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35">
      <c r="A149" s="75"/>
      <c r="B149" s="75"/>
      <c r="C149" s="75"/>
      <c r="D149" s="75"/>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35">
      <c r="A150" s="75"/>
      <c r="B150" s="75"/>
      <c r="C150" s="75"/>
      <c r="D150" s="75"/>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35">
      <c r="A151" s="75"/>
      <c r="B151" s="75"/>
      <c r="C151" s="75"/>
      <c r="D151" s="75"/>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35">
      <c r="A152" s="75"/>
      <c r="B152" s="75"/>
      <c r="C152" s="75"/>
      <c r="D152" s="75"/>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35">
      <c r="A153" s="75"/>
      <c r="B153" s="75"/>
      <c r="C153" s="75"/>
      <c r="D153" s="75"/>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35">
      <c r="A154" s="75"/>
      <c r="B154" s="75"/>
      <c r="C154" s="75"/>
      <c r="D154" s="75"/>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35">
      <c r="A155" s="75"/>
      <c r="B155" s="75"/>
      <c r="C155" s="75"/>
      <c r="D155" s="75"/>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5">
      <c r="A156" s="75"/>
      <c r="B156" s="75"/>
      <c r="C156" s="75"/>
      <c r="D156" s="75"/>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5">
      <c r="A157" s="75"/>
      <c r="B157" s="75"/>
      <c r="C157" s="75"/>
      <c r="D157" s="75"/>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5">
      <c r="A158" s="75"/>
      <c r="B158" s="75"/>
      <c r="C158" s="75"/>
      <c r="D158" s="75"/>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35">
      <c r="A159" s="75"/>
      <c r="B159" s="75"/>
      <c r="C159" s="75"/>
      <c r="D159" s="75"/>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35">
      <c r="A160" s="75"/>
      <c r="B160" s="75"/>
      <c r="C160" s="75"/>
      <c r="D160" s="75"/>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35">
      <c r="A161" s="75"/>
      <c r="B161" s="75"/>
      <c r="C161" s="75"/>
      <c r="D161" s="75"/>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35">
      <c r="A162" s="75"/>
      <c r="B162" s="75"/>
      <c r="C162" s="75"/>
      <c r="D162" s="75"/>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35">
      <c r="A163" s="75"/>
      <c r="B163" s="75"/>
      <c r="C163" s="75"/>
      <c r="D163" s="75"/>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35">
      <c r="A164" s="75"/>
      <c r="B164" s="75"/>
      <c r="C164" s="75"/>
      <c r="D164" s="75"/>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35">
      <c r="A165" s="75"/>
      <c r="B165" s="75"/>
      <c r="C165" s="75"/>
      <c r="D165" s="75"/>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35">
      <c r="A166" s="75"/>
      <c r="B166" s="75"/>
      <c r="C166" s="75"/>
      <c r="D166" s="75"/>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35">
      <c r="A167" s="75"/>
      <c r="B167" s="75"/>
      <c r="C167" s="75"/>
      <c r="D167" s="75"/>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5">
      <c r="A168" s="75"/>
      <c r="B168" s="75"/>
      <c r="C168" s="75"/>
      <c r="D168" s="75"/>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5">
      <c r="A169" s="75"/>
      <c r="B169" s="75"/>
      <c r="C169" s="75"/>
      <c r="D169" s="75"/>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5">
      <c r="A170" s="75"/>
      <c r="B170" s="75"/>
      <c r="C170" s="75"/>
      <c r="D170" s="75"/>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35">
      <c r="A171" s="75"/>
      <c r="B171" s="75"/>
      <c r="C171" s="75"/>
      <c r="D171" s="75"/>
      <c r="M171"/>
    </row>
    <row r="172" spans="1:56" x14ac:dyDescent="0.35">
      <c r="A172" s="75"/>
      <c r="B172" s="75"/>
      <c r="C172" s="75"/>
      <c r="D172" s="75"/>
      <c r="M172"/>
    </row>
    <row r="173" spans="1:56" x14ac:dyDescent="0.35">
      <c r="A173" s="75"/>
      <c r="B173" s="75"/>
      <c r="C173" s="75"/>
      <c r="D173" s="75"/>
    </row>
    <row r="174" spans="1:56" x14ac:dyDescent="0.35">
      <c r="A174" s="75"/>
      <c r="B174" s="75"/>
      <c r="C174" s="75"/>
      <c r="D174" s="75"/>
    </row>
    <row r="175" spans="1:56" x14ac:dyDescent="0.35">
      <c r="A175" s="75"/>
      <c r="B175" s="75"/>
      <c r="C175" s="75"/>
      <c r="D175" s="75"/>
    </row>
    <row r="176" spans="1:56" x14ac:dyDescent="0.35">
      <c r="A176" s="75"/>
      <c r="B176" s="75"/>
      <c r="C176" s="75"/>
      <c r="D176" s="75"/>
    </row>
    <row r="177" spans="1:4" x14ac:dyDescent="0.35">
      <c r="A177" s="75"/>
      <c r="B177" s="75"/>
      <c r="C177" s="75"/>
      <c r="D177" s="75"/>
    </row>
    <row r="178" spans="1:4" x14ac:dyDescent="0.35">
      <c r="A178" s="75"/>
      <c r="B178" s="75"/>
      <c r="C178" s="75"/>
      <c r="D178" s="75"/>
    </row>
    <row r="179" spans="1:4" x14ac:dyDescent="0.35">
      <c r="A179" s="75"/>
      <c r="B179" s="75"/>
      <c r="C179" s="75"/>
      <c r="D179" s="75"/>
    </row>
    <row r="180" spans="1:4" x14ac:dyDescent="0.35">
      <c r="A180" s="75"/>
      <c r="B180" s="75"/>
      <c r="C180" s="75"/>
      <c r="D180" s="75"/>
    </row>
    <row r="181" spans="1:4" x14ac:dyDescent="0.35">
      <c r="A181" s="75"/>
      <c r="B181" s="75"/>
      <c r="C181" s="75"/>
      <c r="D181" s="75"/>
    </row>
    <row r="182" spans="1:4" x14ac:dyDescent="0.35">
      <c r="A182" s="75"/>
      <c r="B182" s="75"/>
      <c r="C182" s="75"/>
      <c r="D182" s="75"/>
    </row>
    <row r="183" spans="1:4" x14ac:dyDescent="0.35">
      <c r="A183" s="75"/>
      <c r="B183" s="75"/>
      <c r="C183" s="75"/>
      <c r="D183" s="75"/>
    </row>
    <row r="184" spans="1:4" x14ac:dyDescent="0.35">
      <c r="A184" s="75"/>
      <c r="B184" s="75"/>
      <c r="C184" s="75"/>
      <c r="D184" s="75"/>
    </row>
    <row r="185" spans="1:4" x14ac:dyDescent="0.35">
      <c r="A185" s="75"/>
      <c r="B185" s="75"/>
      <c r="C185" s="75"/>
      <c r="D185" s="75"/>
    </row>
    <row r="186" spans="1:4" x14ac:dyDescent="0.35">
      <c r="A186" s="75"/>
      <c r="B186" s="75"/>
      <c r="C186" s="75"/>
      <c r="D186" s="75"/>
    </row>
    <row r="187" spans="1:4" x14ac:dyDescent="0.35">
      <c r="A187" s="75"/>
      <c r="B187" s="75"/>
      <c r="C187" s="75"/>
      <c r="D187" s="75"/>
    </row>
    <row r="188" spans="1:4" x14ac:dyDescent="0.35">
      <c r="A188" s="75"/>
      <c r="B188" s="75"/>
      <c r="C188" s="75"/>
      <c r="D188" s="75"/>
    </row>
    <row r="189" spans="1:4" x14ac:dyDescent="0.35">
      <c r="A189" s="75"/>
      <c r="B189" s="75"/>
      <c r="C189" s="75"/>
      <c r="D189" s="75"/>
    </row>
    <row r="190" spans="1:4" x14ac:dyDescent="0.35">
      <c r="A190" s="75"/>
      <c r="B190" s="75"/>
      <c r="C190" s="75"/>
      <c r="D190" s="75"/>
    </row>
    <row r="191" spans="1:4" x14ac:dyDescent="0.35">
      <c r="A191" s="75"/>
      <c r="B191" s="75"/>
      <c r="C191" s="75"/>
      <c r="D191" s="75"/>
    </row>
    <row r="192" spans="1:4" x14ac:dyDescent="0.35">
      <c r="A192" s="75"/>
      <c r="B192" s="75"/>
      <c r="C192" s="75"/>
      <c r="D192" s="75"/>
    </row>
    <row r="193" spans="1:4" x14ac:dyDescent="0.35">
      <c r="A193" s="75"/>
      <c r="B193" s="75"/>
      <c r="C193" s="75"/>
      <c r="D193" s="75"/>
    </row>
    <row r="194" spans="1:4" x14ac:dyDescent="0.35">
      <c r="A194" s="75"/>
      <c r="B194" s="75"/>
      <c r="C194" s="75"/>
      <c r="D194" s="75"/>
    </row>
    <row r="195" spans="1:4" x14ac:dyDescent="0.35">
      <c r="A195" s="75"/>
      <c r="B195" s="75"/>
      <c r="C195" s="75"/>
      <c r="D195" s="75"/>
    </row>
    <row r="196" spans="1:4" x14ac:dyDescent="0.35">
      <c r="A196" s="75"/>
      <c r="B196" s="75"/>
      <c r="C196" s="75"/>
      <c r="D196" s="75"/>
    </row>
    <row r="197" spans="1:4" x14ac:dyDescent="0.35">
      <c r="A197" s="75"/>
      <c r="B197" s="75"/>
      <c r="C197" s="75"/>
      <c r="D197" s="75"/>
    </row>
    <row r="198" spans="1:4" x14ac:dyDescent="0.35">
      <c r="A198" s="75"/>
      <c r="B198" s="75"/>
      <c r="C198" s="75"/>
      <c r="D198" s="75"/>
    </row>
    <row r="199" spans="1:4" x14ac:dyDescent="0.35">
      <c r="A199" s="75"/>
      <c r="B199" s="75"/>
      <c r="C199" s="75"/>
      <c r="D199" s="75"/>
    </row>
    <row r="200" spans="1:4" x14ac:dyDescent="0.35">
      <c r="A200" s="75"/>
      <c r="B200" s="75"/>
      <c r="C200" s="75"/>
      <c r="D200" s="75"/>
    </row>
    <row r="201" spans="1:4" x14ac:dyDescent="0.35">
      <c r="A201" s="75"/>
      <c r="B201" s="75"/>
      <c r="C201" s="75"/>
      <c r="D201" s="75"/>
    </row>
    <row r="202" spans="1:4" x14ac:dyDescent="0.35">
      <c r="A202" s="75"/>
      <c r="B202" s="75"/>
      <c r="C202" s="75"/>
      <c r="D202" s="75"/>
    </row>
    <row r="203" spans="1:4" x14ac:dyDescent="0.35">
      <c r="A203" s="75"/>
      <c r="B203" s="75"/>
      <c r="C203" s="75"/>
      <c r="D203" s="75"/>
    </row>
  </sheetData>
  <mergeCells count="12">
    <mergeCell ref="A16:D16"/>
    <mergeCell ref="A2:H2"/>
    <mergeCell ref="A5:D5"/>
    <mergeCell ref="A14:H14"/>
    <mergeCell ref="A73:H73"/>
    <mergeCell ref="A25:H25"/>
    <mergeCell ref="A28:D28"/>
    <mergeCell ref="A40:D40"/>
    <mergeCell ref="A69:H69"/>
    <mergeCell ref="A70:H70"/>
    <mergeCell ref="A72:H72"/>
    <mergeCell ref="A52:D5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27B5D-9714-4836-8BAB-D15C9923E09E}">
  <sheetPr>
    <pageSetUpPr fitToPage="1"/>
  </sheetPr>
  <dimension ref="A1:D155"/>
  <sheetViews>
    <sheetView showGridLines="0" topLeftCell="A104" zoomScale="80" zoomScaleNormal="80" workbookViewId="0">
      <selection activeCell="B112" sqref="B112"/>
    </sheetView>
  </sheetViews>
  <sheetFormatPr defaultRowHeight="14.5" x14ac:dyDescent="0.35"/>
  <cols>
    <col min="1" max="1" width="26.54296875" style="1" customWidth="1"/>
    <col min="2" max="2" width="160.7265625" customWidth="1"/>
  </cols>
  <sheetData>
    <row r="1" spans="1:2" s="2" customFormat="1" ht="26" x14ac:dyDescent="0.35">
      <c r="A1" s="387" t="s">
        <v>43</v>
      </c>
      <c r="B1" s="387"/>
    </row>
    <row r="2" spans="1:2" s="2" customFormat="1" ht="74.25" customHeight="1" x14ac:dyDescent="0.35">
      <c r="A2" s="388" t="s">
        <v>44</v>
      </c>
      <c r="B2" s="388"/>
    </row>
    <row r="3" spans="1:2" s="2" customFormat="1" ht="48.65" customHeight="1" thickBot="1" x14ac:dyDescent="0.4">
      <c r="A3" s="10" t="s">
        <v>462</v>
      </c>
      <c r="B3" s="377"/>
    </row>
    <row r="4" spans="1:2" ht="18" x14ac:dyDescent="0.35">
      <c r="A4" s="14" t="s">
        <v>111</v>
      </c>
      <c r="B4" s="15" t="s">
        <v>112</v>
      </c>
    </row>
    <row r="5" spans="1:2" ht="15.5" x14ac:dyDescent="0.35">
      <c r="A5" s="16" t="s">
        <v>45</v>
      </c>
      <c r="B5" s="17" t="s">
        <v>46</v>
      </c>
    </row>
    <row r="6" spans="1:2" ht="15.5" x14ac:dyDescent="0.35">
      <c r="A6" s="16" t="s">
        <v>47</v>
      </c>
      <c r="B6" s="17" t="s">
        <v>48</v>
      </c>
    </row>
    <row r="7" spans="1:2" ht="15.5" x14ac:dyDescent="0.35">
      <c r="A7" s="16" t="s">
        <v>49</v>
      </c>
      <c r="B7" s="17" t="s">
        <v>50</v>
      </c>
    </row>
    <row r="8" spans="1:2" ht="15.5" x14ac:dyDescent="0.35">
      <c r="A8" s="16" t="s">
        <v>51</v>
      </c>
      <c r="B8" s="17" t="s">
        <v>52</v>
      </c>
    </row>
    <row r="9" spans="1:2" ht="15.5" x14ac:dyDescent="0.35">
      <c r="A9" s="16" t="s">
        <v>3</v>
      </c>
      <c r="B9" s="17" t="s">
        <v>53</v>
      </c>
    </row>
    <row r="10" spans="1:2" ht="15.5" x14ac:dyDescent="0.35">
      <c r="A10" s="16" t="s">
        <v>54</v>
      </c>
      <c r="B10" s="17" t="s">
        <v>55</v>
      </c>
    </row>
    <row r="11" spans="1:2" ht="15.5" x14ac:dyDescent="0.35">
      <c r="A11" s="16" t="s">
        <v>56</v>
      </c>
      <c r="B11" s="17" t="s">
        <v>57</v>
      </c>
    </row>
    <row r="12" spans="1:2" ht="15.5" x14ac:dyDescent="0.35">
      <c r="A12" s="16" t="s">
        <v>58</v>
      </c>
      <c r="B12" s="17" t="s">
        <v>59</v>
      </c>
    </row>
    <row r="13" spans="1:2" ht="46.5" x14ac:dyDescent="0.35">
      <c r="A13" s="16" t="s">
        <v>60</v>
      </c>
      <c r="B13" s="17" t="s">
        <v>61</v>
      </c>
    </row>
    <row r="14" spans="1:2" ht="46.5" x14ac:dyDescent="0.35">
      <c r="A14" s="16" t="s">
        <v>62</v>
      </c>
      <c r="B14" s="17" t="s">
        <v>63</v>
      </c>
    </row>
    <row r="15" spans="1:2" ht="15.5" x14ac:dyDescent="0.35">
      <c r="A15" s="16" t="s">
        <v>64</v>
      </c>
      <c r="B15" s="17" t="s">
        <v>65</v>
      </c>
    </row>
    <row r="16" spans="1:2" ht="47.25" customHeight="1" x14ac:dyDescent="0.35">
      <c r="A16" s="478" t="s">
        <v>66</v>
      </c>
      <c r="B16" s="17" t="s">
        <v>67</v>
      </c>
    </row>
    <row r="17" spans="1:2" ht="46.5" x14ac:dyDescent="0.35">
      <c r="A17" s="478"/>
      <c r="B17" s="17" t="s">
        <v>68</v>
      </c>
    </row>
    <row r="18" spans="1:2" ht="47.15" customHeight="1" x14ac:dyDescent="0.35">
      <c r="A18" s="478" t="s">
        <v>465</v>
      </c>
      <c r="B18" s="17" t="s">
        <v>466</v>
      </c>
    </row>
    <row r="19" spans="1:2" ht="46.5" x14ac:dyDescent="0.35">
      <c r="A19" s="478"/>
      <c r="B19" s="17" t="s">
        <v>467</v>
      </c>
    </row>
    <row r="20" spans="1:2" ht="201" customHeight="1" x14ac:dyDescent="0.35">
      <c r="A20" s="16" t="s">
        <v>69</v>
      </c>
      <c r="B20" s="17" t="s">
        <v>930</v>
      </c>
    </row>
    <row r="21" spans="1:2" ht="15.5" x14ac:dyDescent="0.35">
      <c r="A21" s="16" t="s">
        <v>70</v>
      </c>
      <c r="B21" s="17" t="s">
        <v>71</v>
      </c>
    </row>
    <row r="22" spans="1:2" ht="15.5" x14ac:dyDescent="0.35">
      <c r="A22" s="16" t="s">
        <v>72</v>
      </c>
      <c r="B22" s="17" t="s">
        <v>73</v>
      </c>
    </row>
    <row r="23" spans="1:2" ht="15.5" x14ac:dyDescent="0.35">
      <c r="A23" s="16" t="s">
        <v>74</v>
      </c>
      <c r="B23" s="17" t="s">
        <v>75</v>
      </c>
    </row>
    <row r="24" spans="1:2" ht="31" x14ac:dyDescent="0.35">
      <c r="A24" s="16" t="s">
        <v>76</v>
      </c>
      <c r="B24" s="17" t="s">
        <v>77</v>
      </c>
    </row>
    <row r="25" spans="1:2" ht="31" x14ac:dyDescent="0.35">
      <c r="A25" s="16" t="s">
        <v>78</v>
      </c>
      <c r="B25" s="17" t="s">
        <v>79</v>
      </c>
    </row>
    <row r="26" spans="1:2" ht="15.5" x14ac:dyDescent="0.35">
      <c r="A26" s="16" t="s">
        <v>80</v>
      </c>
      <c r="B26" s="17" t="s">
        <v>81</v>
      </c>
    </row>
    <row r="27" spans="1:2" ht="15.5" x14ac:dyDescent="0.35">
      <c r="A27" s="16" t="s">
        <v>82</v>
      </c>
      <c r="B27" s="17" t="s">
        <v>83</v>
      </c>
    </row>
    <row r="28" spans="1:2" ht="15.5" x14ac:dyDescent="0.35">
      <c r="A28" s="16" t="s">
        <v>84</v>
      </c>
      <c r="B28" s="17" t="s">
        <v>85</v>
      </c>
    </row>
    <row r="29" spans="1:2" ht="15.5" x14ac:dyDescent="0.35">
      <c r="A29" s="16" t="s">
        <v>86</v>
      </c>
      <c r="B29" s="17" t="s">
        <v>87</v>
      </c>
    </row>
    <row r="30" spans="1:2" ht="15.5" x14ac:dyDescent="0.35">
      <c r="A30" s="16" t="s">
        <v>88</v>
      </c>
      <c r="B30" s="17" t="s">
        <v>89</v>
      </c>
    </row>
    <row r="31" spans="1:2" ht="15.5" x14ac:dyDescent="0.35">
      <c r="A31" s="16" t="s">
        <v>1</v>
      </c>
      <c r="B31" s="17" t="s">
        <v>90</v>
      </c>
    </row>
    <row r="32" spans="1:2" ht="31" x14ac:dyDescent="0.35">
      <c r="A32" s="16" t="s">
        <v>489</v>
      </c>
      <c r="B32" s="17" t="s">
        <v>91</v>
      </c>
    </row>
    <row r="33" spans="1:2" ht="15.5" x14ac:dyDescent="0.35">
      <c r="A33" s="16" t="s">
        <v>2</v>
      </c>
      <c r="B33" s="17" t="s">
        <v>92</v>
      </c>
    </row>
    <row r="34" spans="1:2" ht="31" x14ac:dyDescent="0.35">
      <c r="A34" s="16" t="s">
        <v>93</v>
      </c>
      <c r="B34" s="17" t="s">
        <v>94</v>
      </c>
    </row>
    <row r="35" spans="1:2" ht="15.5" x14ac:dyDescent="0.35">
      <c r="A35" s="16" t="s">
        <v>95</v>
      </c>
      <c r="B35" s="17" t="s">
        <v>96</v>
      </c>
    </row>
    <row r="36" spans="1:2" ht="31" x14ac:dyDescent="0.35">
      <c r="A36" s="16" t="s">
        <v>97</v>
      </c>
      <c r="B36" s="17" t="s">
        <v>98</v>
      </c>
    </row>
    <row r="37" spans="1:2" ht="15.5" x14ac:dyDescent="0.35">
      <c r="A37" s="16" t="s">
        <v>99</v>
      </c>
      <c r="B37" s="17" t="s">
        <v>468</v>
      </c>
    </row>
    <row r="38" spans="1:2" ht="15.5" x14ac:dyDescent="0.35">
      <c r="A38" s="16" t="s">
        <v>19</v>
      </c>
      <c r="B38" s="17" t="s">
        <v>469</v>
      </c>
    </row>
    <row r="39" spans="1:2" ht="15.5" x14ac:dyDescent="0.35">
      <c r="A39" s="478" t="s">
        <v>100</v>
      </c>
      <c r="B39" s="17" t="s">
        <v>101</v>
      </c>
    </row>
    <row r="40" spans="1:2" ht="15.5" x14ac:dyDescent="0.35">
      <c r="A40" s="478"/>
      <c r="B40" s="17" t="s">
        <v>102</v>
      </c>
    </row>
    <row r="41" spans="1:2" ht="46.5" x14ac:dyDescent="0.35">
      <c r="A41" s="478"/>
      <c r="B41" s="17" t="s">
        <v>103</v>
      </c>
    </row>
    <row r="42" spans="1:2" ht="15.5" x14ac:dyDescent="0.35">
      <c r="A42" s="478"/>
      <c r="B42" s="17" t="s">
        <v>104</v>
      </c>
    </row>
    <row r="43" spans="1:2" ht="46.5" x14ac:dyDescent="0.35">
      <c r="A43" s="478"/>
      <c r="B43" s="17" t="s">
        <v>105</v>
      </c>
    </row>
    <row r="44" spans="1:2" ht="15.5" x14ac:dyDescent="0.35">
      <c r="A44" s="478"/>
      <c r="B44" s="17" t="s">
        <v>106</v>
      </c>
    </row>
    <row r="45" spans="1:2" ht="15.5" x14ac:dyDescent="0.35">
      <c r="A45" s="478"/>
      <c r="B45" s="17" t="s">
        <v>107</v>
      </c>
    </row>
    <row r="46" spans="1:2" ht="15.5" x14ac:dyDescent="0.35">
      <c r="A46" s="478"/>
      <c r="B46" s="17" t="s">
        <v>108</v>
      </c>
    </row>
    <row r="47" spans="1:2" ht="15.5" x14ac:dyDescent="0.35">
      <c r="A47" s="16" t="s">
        <v>109</v>
      </c>
      <c r="B47" s="17" t="s">
        <v>110</v>
      </c>
    </row>
    <row r="48" spans="1:2" ht="31" x14ac:dyDescent="0.35">
      <c r="A48" s="478" t="s">
        <v>484</v>
      </c>
      <c r="B48" s="17" t="s">
        <v>470</v>
      </c>
    </row>
    <row r="49" spans="1:2" ht="15.5" x14ac:dyDescent="0.35">
      <c r="A49" s="478"/>
      <c r="B49" s="17" t="s">
        <v>471</v>
      </c>
    </row>
    <row r="50" spans="1:2" ht="15.5" x14ac:dyDescent="0.35">
      <c r="A50" s="478"/>
      <c r="B50" s="17" t="s">
        <v>472</v>
      </c>
    </row>
    <row r="51" spans="1:2" ht="15.75" customHeight="1" x14ac:dyDescent="0.35">
      <c r="A51" s="478" t="s">
        <v>931</v>
      </c>
      <c r="B51" s="378" t="s">
        <v>932</v>
      </c>
    </row>
    <row r="52" spans="1:2" ht="15.5" x14ac:dyDescent="0.35">
      <c r="A52" s="478"/>
      <c r="B52" s="17" t="s">
        <v>473</v>
      </c>
    </row>
    <row r="53" spans="1:2" ht="35.5" customHeight="1" x14ac:dyDescent="0.35">
      <c r="A53" s="478"/>
      <c r="B53" s="17" t="s">
        <v>474</v>
      </c>
    </row>
    <row r="54" spans="1:2" ht="86.25" customHeight="1" x14ac:dyDescent="0.35">
      <c r="A54" s="478"/>
      <c r="B54" s="17" t="s">
        <v>933</v>
      </c>
    </row>
    <row r="55" spans="1:2" ht="87.65" customHeight="1" x14ac:dyDescent="0.35">
      <c r="A55" s="478"/>
      <c r="B55" s="17" t="s">
        <v>487</v>
      </c>
    </row>
    <row r="56" spans="1:2" ht="31" x14ac:dyDescent="0.35">
      <c r="A56" s="478"/>
      <c r="B56" s="17" t="s">
        <v>475</v>
      </c>
    </row>
    <row r="57" spans="1:2" ht="77.5" x14ac:dyDescent="0.35">
      <c r="A57" s="478"/>
      <c r="B57" s="17" t="s">
        <v>485</v>
      </c>
    </row>
    <row r="58" spans="1:2" ht="15.5" x14ac:dyDescent="0.35">
      <c r="A58" s="478"/>
      <c r="B58" s="17" t="s">
        <v>476</v>
      </c>
    </row>
    <row r="59" spans="1:2" ht="31" x14ac:dyDescent="0.35">
      <c r="A59" s="478"/>
      <c r="B59" s="17" t="s">
        <v>934</v>
      </c>
    </row>
    <row r="60" spans="1:2" ht="170.5" x14ac:dyDescent="0.35">
      <c r="A60" s="478"/>
      <c r="B60" s="17" t="s">
        <v>935</v>
      </c>
    </row>
    <row r="61" spans="1:2" ht="15.5" x14ac:dyDescent="0.35">
      <c r="A61" s="478" t="s">
        <v>936</v>
      </c>
      <c r="B61" s="378" t="s">
        <v>937</v>
      </c>
    </row>
    <row r="62" spans="1:2" ht="31" x14ac:dyDescent="0.35">
      <c r="A62" s="478"/>
      <c r="B62" s="17" t="s">
        <v>938</v>
      </c>
    </row>
    <row r="63" spans="1:2" ht="15.5" x14ac:dyDescent="0.35">
      <c r="A63" s="478"/>
      <c r="B63" s="17" t="s">
        <v>477</v>
      </c>
    </row>
    <row r="64" spans="1:2" ht="15.5" x14ac:dyDescent="0.35">
      <c r="A64" s="478"/>
      <c r="B64" s="17" t="s">
        <v>939</v>
      </c>
    </row>
    <row r="65" spans="1:2" ht="77.5" x14ac:dyDescent="0.35">
      <c r="A65" s="478"/>
      <c r="B65" s="17" t="s">
        <v>486</v>
      </c>
    </row>
    <row r="66" spans="1:2" ht="178" customHeight="1" x14ac:dyDescent="0.35">
      <c r="A66" s="478"/>
      <c r="B66" s="17" t="s">
        <v>935</v>
      </c>
    </row>
    <row r="67" spans="1:2" ht="15.5" x14ac:dyDescent="0.35">
      <c r="A67" s="471" t="s">
        <v>940</v>
      </c>
      <c r="B67" s="378" t="s">
        <v>941</v>
      </c>
    </row>
    <row r="68" spans="1:2" ht="15.5" x14ac:dyDescent="0.35">
      <c r="A68" s="471"/>
      <c r="B68" s="17" t="s">
        <v>478</v>
      </c>
    </row>
    <row r="69" spans="1:2" ht="50.5" customHeight="1" x14ac:dyDescent="0.35">
      <c r="A69" s="471"/>
      <c r="B69" s="17" t="s">
        <v>942</v>
      </c>
    </row>
    <row r="70" spans="1:2" ht="46.5" x14ac:dyDescent="0.35">
      <c r="A70" s="471"/>
      <c r="B70" s="17" t="s">
        <v>943</v>
      </c>
    </row>
    <row r="71" spans="1:2" ht="170.5" x14ac:dyDescent="0.35">
      <c r="A71" s="471"/>
      <c r="B71" s="17" t="s">
        <v>935</v>
      </c>
    </row>
    <row r="72" spans="1:2" ht="15.5" x14ac:dyDescent="0.35">
      <c r="A72" s="471" t="s">
        <v>488</v>
      </c>
      <c r="B72" s="378" t="s">
        <v>944</v>
      </c>
    </row>
    <row r="73" spans="1:2" ht="15.5" x14ac:dyDescent="0.35">
      <c r="A73" s="471"/>
      <c r="B73" s="17" t="s">
        <v>479</v>
      </c>
    </row>
    <row r="74" spans="1:2" ht="83.5" customHeight="1" x14ac:dyDescent="0.35">
      <c r="A74" s="471"/>
      <c r="B74" s="17" t="s">
        <v>486</v>
      </c>
    </row>
    <row r="75" spans="1:2" ht="77.5" x14ac:dyDescent="0.35">
      <c r="A75" s="471"/>
      <c r="B75" s="18" t="s">
        <v>485</v>
      </c>
    </row>
    <row r="76" spans="1:2" ht="15.5" x14ac:dyDescent="0.35">
      <c r="A76" s="471"/>
      <c r="B76" s="17" t="s">
        <v>476</v>
      </c>
    </row>
    <row r="77" spans="1:2" ht="31" x14ac:dyDescent="0.35">
      <c r="A77" s="471"/>
      <c r="B77" s="17" t="s">
        <v>945</v>
      </c>
    </row>
    <row r="78" spans="1:2" ht="170.5" x14ac:dyDescent="0.35">
      <c r="A78" s="471"/>
      <c r="B78" s="17" t="s">
        <v>935</v>
      </c>
    </row>
    <row r="79" spans="1:2" ht="15.5" x14ac:dyDescent="0.35">
      <c r="A79" s="470" t="s">
        <v>946</v>
      </c>
      <c r="B79" s="378" t="s">
        <v>947</v>
      </c>
    </row>
    <row r="80" spans="1:2" ht="15.5" x14ac:dyDescent="0.35">
      <c r="A80" s="470"/>
      <c r="B80" s="17" t="s">
        <v>479</v>
      </c>
    </row>
    <row r="81" spans="1:2" ht="31" x14ac:dyDescent="0.35">
      <c r="A81" s="470"/>
      <c r="B81" s="17" t="s">
        <v>475</v>
      </c>
    </row>
    <row r="82" spans="1:2" ht="15.5" x14ac:dyDescent="0.35">
      <c r="A82" s="470"/>
      <c r="B82" s="17" t="s">
        <v>480</v>
      </c>
    </row>
    <row r="83" spans="1:2" ht="46.5" x14ac:dyDescent="0.35">
      <c r="A83" s="470"/>
      <c r="B83" s="17" t="s">
        <v>481</v>
      </c>
    </row>
    <row r="84" spans="1:2" ht="15.5" x14ac:dyDescent="0.35">
      <c r="A84" s="470"/>
      <c r="B84" s="17" t="s">
        <v>482</v>
      </c>
    </row>
    <row r="85" spans="1:2" ht="15.5" x14ac:dyDescent="0.35">
      <c r="A85" s="470"/>
      <c r="B85" s="17" t="s">
        <v>483</v>
      </c>
    </row>
    <row r="86" spans="1:2" ht="15.5" x14ac:dyDescent="0.35">
      <c r="A86" s="470"/>
      <c r="B86" s="17" t="s">
        <v>476</v>
      </c>
    </row>
    <row r="87" spans="1:2" ht="77.5" x14ac:dyDescent="0.35">
      <c r="A87" s="470"/>
      <c r="B87" s="17" t="s">
        <v>486</v>
      </c>
    </row>
    <row r="88" spans="1:2" ht="170.5" x14ac:dyDescent="0.35">
      <c r="A88" s="470"/>
      <c r="B88" s="17" t="s">
        <v>935</v>
      </c>
    </row>
    <row r="89" spans="1:2" ht="15.65" customHeight="1" x14ac:dyDescent="0.35">
      <c r="A89" s="469" t="s">
        <v>948</v>
      </c>
      <c r="B89" s="19" t="s">
        <v>949</v>
      </c>
    </row>
    <row r="90" spans="1:2" ht="15.5" x14ac:dyDescent="0.35">
      <c r="A90" s="469"/>
      <c r="B90" s="379" t="s">
        <v>937</v>
      </c>
    </row>
    <row r="91" spans="1:2" ht="15.5" x14ac:dyDescent="0.35">
      <c r="A91" s="469"/>
      <c r="B91" s="20" t="s">
        <v>479</v>
      </c>
    </row>
    <row r="92" spans="1:2" ht="15.5" x14ac:dyDescent="0.35">
      <c r="A92" s="469"/>
      <c r="B92" s="19" t="s">
        <v>950</v>
      </c>
    </row>
    <row r="93" spans="1:2" ht="62" x14ac:dyDescent="0.35">
      <c r="A93" s="469"/>
      <c r="B93" s="20" t="s">
        <v>951</v>
      </c>
    </row>
    <row r="94" spans="1:2" ht="31" x14ac:dyDescent="0.35">
      <c r="A94" s="469"/>
      <c r="B94" s="20" t="s">
        <v>952</v>
      </c>
    </row>
    <row r="95" spans="1:2" ht="49" customHeight="1" x14ac:dyDescent="0.35">
      <c r="A95" s="469"/>
      <c r="B95" s="19" t="s">
        <v>953</v>
      </c>
    </row>
    <row r="96" spans="1:2" ht="31" x14ac:dyDescent="0.35">
      <c r="A96" s="469"/>
      <c r="B96" s="20" t="s">
        <v>954</v>
      </c>
    </row>
    <row r="97" spans="1:2" ht="143.5" customHeight="1" x14ac:dyDescent="0.35">
      <c r="A97" s="469"/>
      <c r="B97" s="19" t="s">
        <v>955</v>
      </c>
    </row>
    <row r="98" spans="1:2" ht="66" customHeight="1" x14ac:dyDescent="0.35">
      <c r="A98" s="469"/>
      <c r="B98" s="20" t="s">
        <v>956</v>
      </c>
    </row>
    <row r="99" spans="1:2" ht="31" x14ac:dyDescent="0.35">
      <c r="A99" s="469" t="s">
        <v>957</v>
      </c>
      <c r="B99" s="20" t="s">
        <v>958</v>
      </c>
    </row>
    <row r="100" spans="1:2" ht="148" customHeight="1" x14ac:dyDescent="0.35">
      <c r="A100" s="469"/>
      <c r="B100" s="380" t="s">
        <v>959</v>
      </c>
    </row>
    <row r="101" spans="1:2" ht="15.65" customHeight="1" x14ac:dyDescent="0.35">
      <c r="A101" s="469"/>
      <c r="B101" s="20" t="s">
        <v>960</v>
      </c>
    </row>
    <row r="102" spans="1:2" ht="176.15" customHeight="1" x14ac:dyDescent="0.35">
      <c r="A102" s="469"/>
      <c r="B102" s="381" t="s">
        <v>935</v>
      </c>
    </row>
    <row r="103" spans="1:2" ht="31" x14ac:dyDescent="0.35">
      <c r="A103" s="469"/>
      <c r="B103" s="382" t="s">
        <v>961</v>
      </c>
    </row>
    <row r="104" spans="1:2" ht="15.5" x14ac:dyDescent="0.35">
      <c r="A104" s="469"/>
      <c r="B104" s="20" t="s">
        <v>962</v>
      </c>
    </row>
    <row r="105" spans="1:2" ht="15.5" x14ac:dyDescent="0.35">
      <c r="A105" s="470" t="s">
        <v>963</v>
      </c>
      <c r="B105" s="19" t="s">
        <v>937</v>
      </c>
    </row>
    <row r="106" spans="1:2" ht="31" x14ac:dyDescent="0.35">
      <c r="A106" s="470"/>
      <c r="B106" s="17" t="s">
        <v>964</v>
      </c>
    </row>
    <row r="107" spans="1:2" ht="15.5" x14ac:dyDescent="0.35">
      <c r="A107" s="470"/>
      <c r="B107" s="17" t="s">
        <v>477</v>
      </c>
    </row>
    <row r="108" spans="1:2" ht="15.5" x14ac:dyDescent="0.35">
      <c r="A108" s="470"/>
      <c r="B108" s="17" t="s">
        <v>939</v>
      </c>
    </row>
    <row r="109" spans="1:2" ht="15.5" x14ac:dyDescent="0.35">
      <c r="A109" s="470"/>
      <c r="B109" s="19" t="s">
        <v>965</v>
      </c>
    </row>
    <row r="110" spans="1:2" ht="21" customHeight="1" x14ac:dyDescent="0.35">
      <c r="A110" s="470"/>
      <c r="B110" s="19" t="s">
        <v>966</v>
      </c>
    </row>
    <row r="111" spans="1:2" ht="31" x14ac:dyDescent="0.35">
      <c r="A111" s="470"/>
      <c r="B111" s="19" t="s">
        <v>967</v>
      </c>
    </row>
    <row r="112" spans="1:2" ht="31" x14ac:dyDescent="0.35">
      <c r="A112" s="470"/>
      <c r="B112" s="19" t="s">
        <v>968</v>
      </c>
    </row>
    <row r="113" spans="1:2" ht="15.65" customHeight="1" x14ac:dyDescent="0.35">
      <c r="A113" s="471" t="s">
        <v>969</v>
      </c>
      <c r="B113" s="18" t="s">
        <v>970</v>
      </c>
    </row>
    <row r="114" spans="1:2" ht="15.5" x14ac:dyDescent="0.35">
      <c r="A114" s="471"/>
      <c r="B114" s="19" t="s">
        <v>971</v>
      </c>
    </row>
    <row r="115" spans="1:2" ht="15.5" x14ac:dyDescent="0.35">
      <c r="A115" s="471"/>
      <c r="B115" s="19" t="s">
        <v>972</v>
      </c>
    </row>
    <row r="116" spans="1:2" ht="15.5" x14ac:dyDescent="0.35">
      <c r="A116" s="471"/>
      <c r="B116" s="19" t="s">
        <v>973</v>
      </c>
    </row>
    <row r="117" spans="1:2" ht="15.5" x14ac:dyDescent="0.35">
      <c r="A117" s="471"/>
      <c r="B117" s="19" t="s">
        <v>974</v>
      </c>
    </row>
    <row r="118" spans="1:2" ht="15.5" x14ac:dyDescent="0.35">
      <c r="A118" s="472" t="s">
        <v>975</v>
      </c>
      <c r="B118" s="19" t="s">
        <v>976</v>
      </c>
    </row>
    <row r="119" spans="1:2" ht="15.65" customHeight="1" x14ac:dyDescent="0.35">
      <c r="A119" s="473"/>
      <c r="B119" s="18" t="s">
        <v>977</v>
      </c>
    </row>
    <row r="120" spans="1:2" ht="15.5" x14ac:dyDescent="0.35">
      <c r="A120" s="473"/>
      <c r="B120" s="18" t="s">
        <v>978</v>
      </c>
    </row>
    <row r="121" spans="1:2" ht="16.5" customHeight="1" x14ac:dyDescent="0.35">
      <c r="A121" s="473"/>
      <c r="B121" s="18" t="s">
        <v>979</v>
      </c>
    </row>
    <row r="122" spans="1:2" ht="16.5" customHeight="1" x14ac:dyDescent="0.35">
      <c r="A122" s="473"/>
      <c r="B122" s="18" t="s">
        <v>980</v>
      </c>
    </row>
    <row r="123" spans="1:2" ht="16.5" customHeight="1" x14ac:dyDescent="0.35">
      <c r="A123" s="473"/>
      <c r="B123" s="19" t="s">
        <v>981</v>
      </c>
    </row>
    <row r="124" spans="1:2" ht="16.5" customHeight="1" x14ac:dyDescent="0.35">
      <c r="A124" s="473"/>
      <c r="B124" s="18" t="s">
        <v>977</v>
      </c>
    </row>
    <row r="125" spans="1:2" ht="16.5" customHeight="1" x14ac:dyDescent="0.35">
      <c r="A125" s="473"/>
      <c r="B125" s="18" t="s">
        <v>978</v>
      </c>
    </row>
    <row r="126" spans="1:2" ht="16.5" customHeight="1" x14ac:dyDescent="0.35">
      <c r="A126" s="473"/>
      <c r="B126" s="18" t="s">
        <v>982</v>
      </c>
    </row>
    <row r="127" spans="1:2" ht="16.5" customHeight="1" x14ac:dyDescent="0.35">
      <c r="A127" s="473"/>
      <c r="B127" s="18" t="s">
        <v>980</v>
      </c>
    </row>
    <row r="128" spans="1:2" ht="15.5" x14ac:dyDescent="0.35">
      <c r="A128" s="473"/>
      <c r="B128" s="19" t="s">
        <v>983</v>
      </c>
    </row>
    <row r="129" spans="1:4" ht="15.5" x14ac:dyDescent="0.35">
      <c r="A129" s="473"/>
      <c r="B129" s="18" t="s">
        <v>977</v>
      </c>
    </row>
    <row r="130" spans="1:4" ht="15.5" x14ac:dyDescent="0.35">
      <c r="A130" s="473"/>
      <c r="B130" s="18" t="s">
        <v>978</v>
      </c>
      <c r="D130" s="115"/>
    </row>
    <row r="131" spans="1:4" ht="15.5" x14ac:dyDescent="0.35">
      <c r="A131" s="473"/>
      <c r="B131" s="18" t="s">
        <v>979</v>
      </c>
    </row>
    <row r="132" spans="1:4" ht="15.5" x14ac:dyDescent="0.35">
      <c r="A132" s="473"/>
      <c r="B132" s="18" t="s">
        <v>980</v>
      </c>
    </row>
    <row r="133" spans="1:4" ht="15.5" x14ac:dyDescent="0.35">
      <c r="A133" s="473"/>
      <c r="B133" s="19" t="s">
        <v>984</v>
      </c>
    </row>
    <row r="134" spans="1:4" ht="15.5" x14ac:dyDescent="0.35">
      <c r="A134" s="473"/>
      <c r="B134" s="18" t="s">
        <v>985</v>
      </c>
    </row>
    <row r="135" spans="1:4" ht="15.5" x14ac:dyDescent="0.35">
      <c r="A135" s="473"/>
      <c r="B135" s="18" t="s">
        <v>986</v>
      </c>
    </row>
    <row r="136" spans="1:4" ht="15.5" x14ac:dyDescent="0.35">
      <c r="A136" s="473"/>
      <c r="B136" s="18" t="s">
        <v>987</v>
      </c>
    </row>
    <row r="137" spans="1:4" ht="15.5" x14ac:dyDescent="0.35">
      <c r="A137" s="473"/>
      <c r="B137" s="18" t="s">
        <v>988</v>
      </c>
    </row>
    <row r="138" spans="1:4" ht="15.5" x14ac:dyDescent="0.35">
      <c r="A138" s="473"/>
      <c r="B138" s="18" t="s">
        <v>989</v>
      </c>
    </row>
    <row r="139" spans="1:4" ht="15.5" x14ac:dyDescent="0.35">
      <c r="A139" s="473"/>
      <c r="B139" s="18" t="s">
        <v>990</v>
      </c>
    </row>
    <row r="140" spans="1:4" ht="54.65" customHeight="1" x14ac:dyDescent="0.35">
      <c r="A140" s="473"/>
      <c r="B140" s="18" t="s">
        <v>991</v>
      </c>
    </row>
    <row r="141" spans="1:4" ht="15.5" x14ac:dyDescent="0.35">
      <c r="A141" s="473"/>
      <c r="B141" s="18" t="s">
        <v>992</v>
      </c>
    </row>
    <row r="142" spans="1:4" ht="31" x14ac:dyDescent="0.35">
      <c r="A142" s="473"/>
      <c r="B142" s="18" t="s">
        <v>993</v>
      </c>
    </row>
    <row r="143" spans="1:4" ht="15.5" x14ac:dyDescent="0.35">
      <c r="A143" s="473"/>
      <c r="B143" s="18" t="s">
        <v>473</v>
      </c>
    </row>
    <row r="144" spans="1:4" ht="31" x14ac:dyDescent="0.35">
      <c r="A144" s="473"/>
      <c r="B144" s="18" t="s">
        <v>994</v>
      </c>
    </row>
    <row r="145" spans="1:2" ht="93" x14ac:dyDescent="0.35">
      <c r="A145" s="473"/>
      <c r="B145" s="18" t="s">
        <v>995</v>
      </c>
    </row>
    <row r="146" spans="1:2" ht="15.5" x14ac:dyDescent="0.35">
      <c r="A146" s="473"/>
      <c r="B146" s="18" t="s">
        <v>996</v>
      </c>
    </row>
    <row r="147" spans="1:2" ht="31" x14ac:dyDescent="0.35">
      <c r="A147" s="473"/>
      <c r="B147" s="18" t="s">
        <v>997</v>
      </c>
    </row>
    <row r="148" spans="1:2" ht="15.5" x14ac:dyDescent="0.35">
      <c r="A148" s="474"/>
      <c r="B148" s="383" t="s">
        <v>998</v>
      </c>
    </row>
    <row r="149" spans="1:2" ht="15.5" x14ac:dyDescent="0.35">
      <c r="A149" s="475" t="s">
        <v>999</v>
      </c>
      <c r="B149" s="18" t="s">
        <v>1000</v>
      </c>
    </row>
    <row r="150" spans="1:2" ht="15.5" x14ac:dyDescent="0.35">
      <c r="A150" s="476"/>
      <c r="B150" s="18" t="s">
        <v>1001</v>
      </c>
    </row>
    <row r="151" spans="1:2" ht="15.5" x14ac:dyDescent="0.35">
      <c r="A151" s="476"/>
      <c r="B151" s="18" t="s">
        <v>1002</v>
      </c>
    </row>
    <row r="152" spans="1:2" ht="15.5" x14ac:dyDescent="0.35">
      <c r="A152" s="476"/>
      <c r="B152" s="18" t="s">
        <v>1003</v>
      </c>
    </row>
    <row r="153" spans="1:2" ht="15.5" x14ac:dyDescent="0.35">
      <c r="A153" s="476"/>
      <c r="B153" s="18" t="s">
        <v>1004</v>
      </c>
    </row>
    <row r="154" spans="1:2" ht="15.5" x14ac:dyDescent="0.35">
      <c r="A154" s="476"/>
      <c r="B154" s="18" t="s">
        <v>1005</v>
      </c>
    </row>
    <row r="155" spans="1:2" ht="16" thickBot="1" x14ac:dyDescent="0.4">
      <c r="A155" s="477"/>
      <c r="B155" s="384" t="s">
        <v>1006</v>
      </c>
    </row>
  </sheetData>
  <mergeCells count="17">
    <mergeCell ref="A89:A98"/>
    <mergeCell ref="A1:B1"/>
    <mergeCell ref="A2:B2"/>
    <mergeCell ref="A16:A17"/>
    <mergeCell ref="A18:A19"/>
    <mergeCell ref="A39:A46"/>
    <mergeCell ref="A48:A50"/>
    <mergeCell ref="A51:A60"/>
    <mergeCell ref="A61:A66"/>
    <mergeCell ref="A67:A71"/>
    <mergeCell ref="A72:A78"/>
    <mergeCell ref="A79:A88"/>
    <mergeCell ref="A99:A104"/>
    <mergeCell ref="A105:A112"/>
    <mergeCell ref="A113:A117"/>
    <mergeCell ref="A118:A148"/>
    <mergeCell ref="A149:A155"/>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0" ma:contentTypeDescription="Create a new document." ma:contentTypeScope="" ma:versionID="1927ac19cb85ee9509ddbc5f71393a09">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5a02860b1ce3aeff9359f77f91c70304"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C86D39-2F08-46C2-BEAF-CA09D97B0E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A08AC0-783C-4C1B-927A-AB27E36B29B1}">
  <ds:schemaRefs>
    <ds:schemaRef ds:uri="http://purl.org/dc/dcmitype/"/>
    <ds:schemaRef ds:uri="http://purl.org/dc/elements/1.1/"/>
    <ds:schemaRef ds:uri="51f64f43-848e-4f71-a29c-5b275075194e"/>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9225b539-7b15-42b2-871d-c20cb6e17ae7"/>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FY23 YTD</vt:lpstr>
      <vt:lpstr>Detention FY23</vt:lpstr>
      <vt:lpstr> ICLOS and Detainees</vt:lpstr>
      <vt:lpstr>Monthly Bond Statistics</vt:lpstr>
      <vt:lpstr>Semiannual</vt:lpstr>
      <vt:lpstr>Facilities FY23</vt:lpstr>
      <vt:lpstr>Trans. Detainee Pop. FY23</vt:lpstr>
      <vt:lpstr>Vulnerable &amp; Special Population</vt:lpstr>
      <vt:lpstr>Footnotes</vt:lpstr>
      <vt:lpstr>'Detention FY23'!Print_Area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LESA, STU</cp:lastModifiedBy>
  <cp:lastPrinted>2020-02-10T19:14:43Z</cp:lastPrinted>
  <dcterms:created xsi:type="dcterms:W3CDTF">2020-01-31T18:40:16Z</dcterms:created>
  <dcterms:modified xsi:type="dcterms:W3CDTF">2023-06-23T20:53:06Z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