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https://icegov-my.sharepoint.com/personal/0507501155_ice_dhs_gov/Documents/Desktop/"/>
    </mc:Choice>
  </mc:AlternateContent>
  <xr:revisionPtr revIDLastSave="4" documentId="8_{76253F16-2E2D-4C4B-B8E6-B8836576D251}" xr6:coauthVersionLast="47" xr6:coauthVersionMax="47" xr10:uidLastSave="{BD24354E-FB2B-452C-B980-04A8FA7C56E8}"/>
  <bookViews>
    <workbookView xWindow="57480" yWindow="-120" windowWidth="29040" windowHeight="15840" tabRatio="668" activeTab="2" xr2:uid="{00000000-000D-0000-FFFF-FFFF00000000}"/>
  </bookViews>
  <sheets>
    <sheet name="Header" sheetId="9" r:id="rId1"/>
    <sheet name="ATD FY22 YTD" sheetId="12" r:id="rId2"/>
    <sheet name="Detention FY22" sheetId="14" r:id="rId3"/>
    <sheet name=" ICLOS and Detainees" sheetId="15" r:id="rId4"/>
    <sheet name="Facilities FY22 YTD" sheetId="5" r:id="rId5"/>
    <sheet name="Trans. Detainee Pop. FY22 YTD " sheetId="13" r:id="rId6"/>
    <sheet name="Footnotes" sheetId="16" r:id="rId7"/>
  </sheets>
  <definedNames>
    <definedName name="_xlnm.Print_Area" localSheetId="2">'Detention FY22'!$A$1:$V$110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I47" i="15" l="1"/>
  <c r="AH47" i="15"/>
  <c r="AG47" i="15"/>
  <c r="AF47" i="15"/>
  <c r="AE47" i="15"/>
  <c r="AD47" i="15"/>
  <c r="AC47" i="15"/>
  <c r="AB47" i="15"/>
  <c r="AA47" i="15"/>
  <c r="Z47" i="15"/>
  <c r="Y47" i="15"/>
  <c r="X47" i="15"/>
  <c r="W47" i="15"/>
  <c r="V47" i="15"/>
  <c r="U47" i="15"/>
  <c r="T47" i="15"/>
  <c r="S47" i="15"/>
  <c r="R47" i="15"/>
  <c r="Q47" i="15"/>
  <c r="P47" i="15"/>
  <c r="O47" i="15"/>
  <c r="N47" i="15"/>
  <c r="M47" i="15"/>
  <c r="L47" i="15"/>
  <c r="K47" i="15"/>
  <c r="J47" i="15"/>
  <c r="I47" i="15"/>
  <c r="H47" i="15"/>
  <c r="G47" i="15"/>
  <c r="F47" i="15"/>
  <c r="E47" i="15"/>
  <c r="D47" i="15"/>
  <c r="C47" i="15"/>
  <c r="B47" i="15"/>
  <c r="AI46" i="15"/>
  <c r="AH46" i="15"/>
  <c r="AG46" i="15"/>
  <c r="AF46" i="15"/>
  <c r="AE46" i="15"/>
  <c r="AD46" i="15"/>
  <c r="AC46" i="15"/>
  <c r="AB46" i="15"/>
  <c r="AA46" i="15"/>
  <c r="Z46" i="15"/>
  <c r="Y46" i="15"/>
  <c r="X46" i="15"/>
  <c r="W46" i="15"/>
  <c r="V46" i="15"/>
  <c r="U46" i="15"/>
  <c r="T46" i="15"/>
  <c r="S46" i="15"/>
  <c r="R46" i="15"/>
  <c r="Q46" i="15"/>
  <c r="P46" i="15"/>
  <c r="O46" i="15"/>
  <c r="N46" i="15"/>
  <c r="M46" i="15"/>
  <c r="L46" i="15"/>
  <c r="K46" i="15"/>
  <c r="J46" i="15"/>
  <c r="I46" i="15"/>
  <c r="H46" i="15"/>
  <c r="G46" i="15"/>
  <c r="F46" i="15"/>
  <c r="E46" i="15"/>
  <c r="D46" i="15"/>
  <c r="C46" i="15"/>
  <c r="B46" i="15"/>
  <c r="AI45" i="15"/>
  <c r="AH45" i="15"/>
  <c r="AG45" i="15"/>
  <c r="AF45" i="15"/>
  <c r="AE45" i="15"/>
  <c r="AD45" i="15"/>
  <c r="AC45" i="15"/>
  <c r="AB45" i="15"/>
  <c r="AA45" i="15"/>
  <c r="Z45" i="15"/>
  <c r="Y45" i="15"/>
  <c r="X45" i="15"/>
  <c r="W45" i="15"/>
  <c r="V45" i="15"/>
  <c r="U45" i="15"/>
  <c r="T45" i="15"/>
  <c r="S45" i="15"/>
  <c r="R45" i="15"/>
  <c r="Q45" i="15"/>
  <c r="P45" i="15"/>
  <c r="O45" i="15"/>
  <c r="N45" i="15"/>
  <c r="M45" i="15"/>
  <c r="L45" i="15"/>
  <c r="K45" i="15"/>
  <c r="J45" i="15"/>
  <c r="I45" i="15"/>
  <c r="H45" i="15"/>
  <c r="G45" i="15"/>
  <c r="F45" i="15"/>
  <c r="E45" i="15"/>
  <c r="D45" i="15"/>
  <c r="C45" i="15"/>
  <c r="B45" i="15"/>
  <c r="AI44" i="15"/>
  <c r="AI48" i="15" s="1"/>
  <c r="AH44" i="15"/>
  <c r="AH48" i="15" s="1"/>
  <c r="AG44" i="15"/>
  <c r="AG48" i="15" s="1"/>
  <c r="AF44" i="15"/>
  <c r="AF48" i="15" s="1"/>
  <c r="AE44" i="15"/>
  <c r="AE48" i="15" s="1"/>
  <c r="AD44" i="15"/>
  <c r="AD48" i="15" s="1"/>
  <c r="AC44" i="15"/>
  <c r="AC48" i="15" s="1"/>
  <c r="AB44" i="15"/>
  <c r="AB48" i="15" s="1"/>
  <c r="AA44" i="15"/>
  <c r="AA48" i="15" s="1"/>
  <c r="Z44" i="15"/>
  <c r="Z48" i="15" s="1"/>
  <c r="Y44" i="15"/>
  <c r="Y48" i="15" s="1"/>
  <c r="X44" i="15"/>
  <c r="X48" i="15" s="1"/>
  <c r="W44" i="15"/>
  <c r="W48" i="15" s="1"/>
  <c r="V44" i="15"/>
  <c r="V48" i="15" s="1"/>
  <c r="U44" i="15"/>
  <c r="U48" i="15" s="1"/>
  <c r="T44" i="15"/>
  <c r="T48" i="15" s="1"/>
  <c r="S44" i="15"/>
  <c r="S48" i="15" s="1"/>
  <c r="R44" i="15"/>
  <c r="R48" i="15" s="1"/>
  <c r="Q44" i="15"/>
  <c r="Q48" i="15" s="1"/>
  <c r="P44" i="15"/>
  <c r="P48" i="15" s="1"/>
  <c r="O44" i="15"/>
  <c r="O48" i="15" s="1"/>
  <c r="N44" i="15"/>
  <c r="N48" i="15" s="1"/>
  <c r="M44" i="15"/>
  <c r="M48" i="15" s="1"/>
  <c r="L44" i="15"/>
  <c r="L48" i="15" s="1"/>
  <c r="K44" i="15"/>
  <c r="K48" i="15" s="1"/>
  <c r="J44" i="15"/>
  <c r="J48" i="15" s="1"/>
  <c r="I44" i="15"/>
  <c r="I48" i="15" s="1"/>
  <c r="H44" i="15"/>
  <c r="H48" i="15" s="1"/>
  <c r="G44" i="15"/>
  <c r="G48" i="15" s="1"/>
  <c r="F44" i="15"/>
  <c r="F48" i="15" s="1"/>
  <c r="E44" i="15"/>
  <c r="E48" i="15" s="1"/>
  <c r="D44" i="15"/>
  <c r="D48" i="15" s="1"/>
  <c r="C44" i="15"/>
  <c r="C48" i="15" s="1"/>
  <c r="B44" i="15"/>
  <c r="B48" i="15" s="1"/>
  <c r="M30" i="15"/>
  <c r="L30" i="15"/>
  <c r="K30" i="15"/>
  <c r="J30" i="15"/>
  <c r="I30" i="15"/>
  <c r="H30" i="15"/>
  <c r="G30" i="15"/>
  <c r="F30" i="15"/>
  <c r="E30" i="15"/>
  <c r="D30" i="15"/>
  <c r="C30" i="15"/>
  <c r="B30" i="15"/>
  <c r="M24" i="15"/>
  <c r="L24" i="15"/>
  <c r="K24" i="15"/>
  <c r="J24" i="15"/>
  <c r="I24" i="15"/>
  <c r="H24" i="15"/>
  <c r="G24" i="15"/>
  <c r="F24" i="15"/>
  <c r="E24" i="15"/>
  <c r="D24" i="15"/>
  <c r="C24" i="15"/>
  <c r="B24" i="15"/>
  <c r="F38" i="14"/>
  <c r="O38" i="14" s="1"/>
  <c r="G38" i="14"/>
  <c r="H38" i="14"/>
  <c r="I38" i="14"/>
  <c r="J38" i="14"/>
  <c r="K38" i="14"/>
  <c r="L38" i="14"/>
  <c r="M38" i="14"/>
  <c r="N38" i="14"/>
  <c r="F39" i="14"/>
  <c r="G39" i="14"/>
  <c r="H39" i="14"/>
  <c r="I39" i="14"/>
  <c r="J39" i="14"/>
  <c r="K39" i="14"/>
  <c r="L39" i="14"/>
  <c r="M39" i="14"/>
  <c r="N39" i="14"/>
  <c r="F40" i="14"/>
  <c r="G40" i="14"/>
  <c r="H40" i="14"/>
  <c r="I40" i="14"/>
  <c r="J40" i="14"/>
  <c r="K40" i="14"/>
  <c r="L40" i="14"/>
  <c r="M40" i="14"/>
  <c r="N40" i="14"/>
  <c r="F41" i="14"/>
  <c r="G41" i="14"/>
  <c r="H41" i="14"/>
  <c r="I41" i="14"/>
  <c r="J41" i="14"/>
  <c r="K41" i="14"/>
  <c r="L41" i="14"/>
  <c r="M41" i="14"/>
  <c r="N41" i="14"/>
  <c r="F42" i="14"/>
  <c r="G42" i="14"/>
  <c r="H42" i="14"/>
  <c r="I42" i="14"/>
  <c r="J42" i="14"/>
  <c r="K42" i="14"/>
  <c r="L42" i="14"/>
  <c r="M42" i="14"/>
  <c r="N42" i="14"/>
  <c r="O43" i="14"/>
  <c r="O44" i="14"/>
  <c r="O40" i="14" s="1"/>
  <c r="O39" i="14" s="1"/>
  <c r="O45" i="14"/>
  <c r="O41" i="14" s="1"/>
  <c r="O46" i="14"/>
  <c r="O47" i="14"/>
  <c r="O48" i="14"/>
  <c r="O49" i="14"/>
  <c r="O50" i="14"/>
  <c r="O42" i="14" s="1"/>
  <c r="O51" i="14"/>
  <c r="O52" i="14"/>
  <c r="O53" i="14"/>
  <c r="O54" i="14"/>
  <c r="O55" i="14"/>
  <c r="O56" i="14"/>
  <c r="O57" i="14"/>
  <c r="O58" i="14"/>
  <c r="O59" i="14"/>
  <c r="O60" i="14"/>
  <c r="O61" i="14"/>
  <c r="O62" i="14"/>
</calcChain>
</file>

<file path=xl/sharedStrings.xml><?xml version="1.0" encoding="utf-8"?>
<sst xmlns="http://schemas.openxmlformats.org/spreadsheetml/2006/main" count="2403" uniqueCount="856">
  <si>
    <t>Other</t>
  </si>
  <si>
    <t>Total</t>
  </si>
  <si>
    <t>Order of Recognizance</t>
  </si>
  <si>
    <t>Order of Supervision</t>
  </si>
  <si>
    <t>ATD</t>
  </si>
  <si>
    <t>Male</t>
  </si>
  <si>
    <t>ALLEN PARISH PUBLIC SAFETY COMPLEX</t>
  </si>
  <si>
    <t>BROWARD TRANSITIONAL CENTER</t>
  </si>
  <si>
    <t>ALEXANDRIA STAGING FACILITY</t>
  </si>
  <si>
    <t>Female</t>
  </si>
  <si>
    <t>EL VALLE DETENTION FACILITY</t>
  </si>
  <si>
    <t>BRAZIL</t>
  </si>
  <si>
    <t>FLORENCE STAGING FACILITY</t>
  </si>
  <si>
    <t>SENECA COUNTY JAIL</t>
  </si>
  <si>
    <t>RIO GRANDE DETENTION CENTER</t>
  </si>
  <si>
    <t>LA PALMA CORRECTIONAL CENTER</t>
  </si>
  <si>
    <t>LAREDO PROCESSING CENTER</t>
  </si>
  <si>
    <t>GLADES COUNTY DETENTION CENTER</t>
  </si>
  <si>
    <t>SOUTH TEXAS ICE PROCESSING CENTER</t>
  </si>
  <si>
    <t>SHERBURNE COUNTY JAIL</t>
  </si>
  <si>
    <t>JACKSON PARISH CORRECTIONAL CENTER</t>
  </si>
  <si>
    <t>MONROE COUNTY DETENTION-DORM</t>
  </si>
  <si>
    <t>ELIZABETH</t>
  </si>
  <si>
    <t>TR</t>
  </si>
  <si>
    <t>KARNES COUNTY RESIDENTIAL CENTER</t>
  </si>
  <si>
    <t>CIBOLA COUNTY CORRECTIONAL CENTER</t>
  </si>
  <si>
    <t>WEBB COUNTY DETENTION CENTER (CCA)</t>
  </si>
  <si>
    <t>ADAMS COUNTY DET CENTER</t>
  </si>
  <si>
    <t>ORANGE COUNTY JAIL</t>
  </si>
  <si>
    <t>MA</t>
  </si>
  <si>
    <t>MIA</t>
  </si>
  <si>
    <t>ALEXANDRIA</t>
  </si>
  <si>
    <t>NEVADA SOUTHERN DETENTION CENTER</t>
  </si>
  <si>
    <t>OKMULGEE COUNTY JAIL</t>
  </si>
  <si>
    <t>ELOY</t>
  </si>
  <si>
    <t>TAYLOR</t>
  </si>
  <si>
    <t>CHI</t>
  </si>
  <si>
    <t>MILAN</t>
  </si>
  <si>
    <t>EDEN</t>
  </si>
  <si>
    <t>MD</t>
  </si>
  <si>
    <t>PINE PRAIRIE ICE PROCESSING CENTER</t>
  </si>
  <si>
    <t>ALVARADO</t>
  </si>
  <si>
    <t>AURORA</t>
  </si>
  <si>
    <t>GEAUGA COUNTY JAIL</t>
  </si>
  <si>
    <t>AL</t>
  </si>
  <si>
    <t>HENDERSON</t>
  </si>
  <si>
    <t>KNOX COUNTY DETENTION FACILITY</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</si>
  <si>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</si>
  <si>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</si>
  <si>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</si>
  <si>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</si>
  <si>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</si>
  <si>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</si>
  <si>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</si>
  <si>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</si>
  <si>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</si>
  <si>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</si>
  <si>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</si>
  <si>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</si>
  <si>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</si>
  <si>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</si>
  <si>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</si>
  <si>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</si>
  <si>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</si>
  <si>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</si>
  <si>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</si>
  <si>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</si>
  <si>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Convicted Criminal</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</si>
  <si>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</si>
  <si>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</si>
  <si>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</si>
  <si>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</si>
  <si>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</si>
  <si>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</si>
  <si>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</si>
  <si>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</si>
  <si>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</si>
  <si>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</si>
  <si>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</si>
  <si>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</si>
  <si>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</si>
  <si>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</si>
  <si>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</si>
  <si>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</si>
  <si>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</si>
  <si>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</si>
  <si>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</si>
  <si>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</si>
  <si>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</si>
  <si>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</si>
  <si>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</si>
  <si>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</si>
  <si>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</si>
  <si>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</si>
  <si>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</si>
  <si>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</si>
  <si>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</si>
  <si>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</si>
  <si>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</si>
  <si>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Pending Criminal Charges</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</si>
  <si>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</si>
  <si>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</si>
  <si>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</si>
  <si>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</si>
  <si>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</si>
  <si>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</si>
  <si>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</si>
  <si>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</si>
  <si>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</si>
  <si>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</si>
  <si>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</si>
  <si>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</si>
  <si>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</si>
  <si>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</si>
  <si>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</si>
  <si>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</si>
  <si>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</si>
  <si>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</si>
  <si>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</si>
  <si>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</si>
  <si>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Detention Facility Type</t>
  </si>
  <si>
    <t>Total Detained</t>
  </si>
  <si>
    <t>Adult</t>
  </si>
  <si>
    <t>ICE Release Fiscal Year</t>
  </si>
  <si>
    <t>Criminality</t>
  </si>
  <si>
    <t>Percent ICE</t>
  </si>
  <si>
    <t>Percent CBP</t>
  </si>
  <si>
    <t>Other Immigration Violator</t>
  </si>
  <si>
    <t>Expedited Removal (I-860)</t>
  </si>
  <si>
    <t>Notice to Appear (I-862)</t>
  </si>
  <si>
    <t>Reinstatement of Deport Order (I-871)</t>
  </si>
  <si>
    <t>Agency</t>
  </si>
  <si>
    <t>Oct</t>
  </si>
  <si>
    <t>Nov</t>
  </si>
  <si>
    <t>Dec</t>
  </si>
  <si>
    <t>Jan</t>
  </si>
  <si>
    <t>Feb</t>
  </si>
  <si>
    <t>Mar</t>
  </si>
  <si>
    <t>Apr</t>
  </si>
  <si>
    <t>May</t>
  </si>
  <si>
    <t>Jun</t>
  </si>
  <si>
    <t>Removals</t>
  </si>
  <si>
    <t>Jul</t>
  </si>
  <si>
    <t>Aug</t>
  </si>
  <si>
    <t>Sep</t>
  </si>
  <si>
    <t>Release Reason</t>
  </si>
  <si>
    <t>Facility Type</t>
  </si>
  <si>
    <t>CBP Average</t>
  </si>
  <si>
    <t xml:space="preserve">ICE Average  </t>
  </si>
  <si>
    <t xml:space="preserve">Average </t>
  </si>
  <si>
    <t>FY Overall</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</si>
  <si>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</si>
  <si>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</si>
  <si>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</si>
  <si>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</si>
  <si>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</si>
  <si>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</si>
  <si>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</si>
  <si>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</si>
  <si>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</si>
  <si>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</si>
  <si>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</si>
  <si>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</si>
  <si>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</si>
  <si>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</si>
  <si>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</si>
  <si>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</si>
  <si>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</si>
  <si>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</si>
  <si>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</si>
  <si>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</si>
  <si>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</si>
  <si>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</si>
  <si>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</si>
  <si>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</si>
  <si>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</si>
  <si>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</si>
  <si>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Second to Last Inspection Rating</t>
  </si>
  <si>
    <t>10250 RANCHO ROAD</t>
  </si>
  <si>
    <t>ADELANTO</t>
  </si>
  <si>
    <t>CA</t>
  </si>
  <si>
    <t>LOS</t>
  </si>
  <si>
    <t>DIGSA</t>
  </si>
  <si>
    <t>Female/Male</t>
  </si>
  <si>
    <t>Regular</t>
  </si>
  <si>
    <t>PBNDS 2011</t>
  </si>
  <si>
    <t>Meets Standard</t>
  </si>
  <si>
    <t>Pending</t>
  </si>
  <si>
    <t>STEWART DETENTION CENTER</t>
  </si>
  <si>
    <t>146 CCA ROAD</t>
  </si>
  <si>
    <t>LUMPKIN</t>
  </si>
  <si>
    <t>GA</t>
  </si>
  <si>
    <t>ATL</t>
  </si>
  <si>
    <t>566 VETERANS DRIVE</t>
  </si>
  <si>
    <t>PEARSALL</t>
  </si>
  <si>
    <t>TX</t>
  </si>
  <si>
    <t>SNA</t>
  </si>
  <si>
    <t>CDF</t>
  </si>
  <si>
    <t>SOUTH TEXAS FAMILY RESIDENTIAL CENTER</t>
  </si>
  <si>
    <t>DILLEY</t>
  </si>
  <si>
    <t>FAMILY</t>
  </si>
  <si>
    <t>JFRMU Family</t>
  </si>
  <si>
    <t>1/9/2020</t>
  </si>
  <si>
    <t>WINN CORRECTIONAL CENTER</t>
  </si>
  <si>
    <t>560 GUM SPRING ROAD</t>
  </si>
  <si>
    <t>WINNFIELD</t>
  </si>
  <si>
    <t>LA</t>
  </si>
  <si>
    <t>NOL</t>
  </si>
  <si>
    <t>IGSA</t>
  </si>
  <si>
    <t>N/A</t>
  </si>
  <si>
    <t>5501 NORTH LA PALMA ROAD</t>
  </si>
  <si>
    <t>AZ</t>
  </si>
  <si>
    <t>PHO</t>
  </si>
  <si>
    <t>LASALLE ICE PROCESSING CENTER (JENA)</t>
  </si>
  <si>
    <t>830 PINEHILL ROAD</t>
  </si>
  <si>
    <t>JENA</t>
  </si>
  <si>
    <t>ELOY FEDERAL CONTRACT FACILITY</t>
  </si>
  <si>
    <t>1705 EAST HANNA RD.</t>
  </si>
  <si>
    <t>20 HOBO FORK RD.</t>
  </si>
  <si>
    <t>NATCHEZ</t>
  </si>
  <si>
    <t>MS</t>
  </si>
  <si>
    <t>OTAY MESA DETENTION CENTER (SAN DIEGO CDF)</t>
  </si>
  <si>
    <t>7488 CALZADA DE LA FUENTE</t>
  </si>
  <si>
    <t>SAN DIEGO</t>
  </si>
  <si>
    <t>SND</t>
  </si>
  <si>
    <t>USMS CDF</t>
  </si>
  <si>
    <t>TACOMA ICE PROCESSING CENTER (NORTHWEST DET CTR)</t>
  </si>
  <si>
    <t>1623 E. J STREET</t>
  </si>
  <si>
    <t>TACOMA</t>
  </si>
  <si>
    <t>WA</t>
  </si>
  <si>
    <t>SEA</t>
  </si>
  <si>
    <t>PORT ISABEL</t>
  </si>
  <si>
    <t>27991 BUENA VISTA BOULEVARD</t>
  </si>
  <si>
    <t>LOS FRESNOS</t>
  </si>
  <si>
    <t>SPC</t>
  </si>
  <si>
    <t>OTERO COUNTY PROCESSING CENTER</t>
  </si>
  <si>
    <t>26 MCGREGOR RANGE ROAD</t>
  </si>
  <si>
    <t>CHAPARRAL</t>
  </si>
  <si>
    <t>NM</t>
  </si>
  <si>
    <t>ELP</t>
  </si>
  <si>
    <t>MONTGOMERY ICE PROCESSING CENTER</t>
  </si>
  <si>
    <t>806 HILBIG RD</t>
  </si>
  <si>
    <t>CONROE</t>
  </si>
  <si>
    <t>HOU</t>
  </si>
  <si>
    <t>RICHWOOD CORRECTIONAL CENTER</t>
  </si>
  <si>
    <t>180 PINE BAYOU CIRCLE</t>
  </si>
  <si>
    <t>RICHWOOD</t>
  </si>
  <si>
    <t>327 INDUSTRIAL DRIVE</t>
  </si>
  <si>
    <t>JONESBORO</t>
  </si>
  <si>
    <t>1800 INDUSTRIAL DRIVE</t>
  </si>
  <si>
    <t>RAYMONDVILLE</t>
  </si>
  <si>
    <t>10/24/2019</t>
  </si>
  <si>
    <t>USMS IGA</t>
  </si>
  <si>
    <t>PBNDS 2008</t>
  </si>
  <si>
    <t>EL PASO SERVICE PROCESSING CENTER</t>
  </si>
  <si>
    <t>8915 MONTANA AVE.</t>
  </si>
  <si>
    <t>EL PASO</t>
  </si>
  <si>
    <t>HOUSTON CONTRACT DETENTION FACILITY</t>
  </si>
  <si>
    <t>15850 EXPORT PLAZA DRIVE</t>
  </si>
  <si>
    <t>HOUSTON</t>
  </si>
  <si>
    <t>1133 HAMPTON DUPRE ROAD</t>
  </si>
  <si>
    <t>PINE PRAIRIE</t>
  </si>
  <si>
    <t>SOUTH LOUISIANA DETENTION CENTER</t>
  </si>
  <si>
    <t>3843 STAGG AVENUE</t>
  </si>
  <si>
    <t>BASILE</t>
  </si>
  <si>
    <t>IMPERIAL REGIONAL DETENTION FACILITY</t>
  </si>
  <si>
    <t>1572 GATEWAY</t>
  </si>
  <si>
    <t>CALEXICO</t>
  </si>
  <si>
    <t>PRAIRIELAND DETENTION FACILITY</t>
  </si>
  <si>
    <t>1209 SUNFLOWER LN</t>
  </si>
  <si>
    <t>DAL</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</si>
  <si>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</si>
  <si>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</si>
  <si>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</si>
  <si>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</si>
  <si>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</si>
  <si>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</si>
  <si>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</si>
  <si>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</si>
  <si>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</si>
  <si>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</si>
  <si>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</si>
  <si>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</si>
  <si>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</si>
  <si>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</si>
  <si>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</si>
  <si>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FOLKSTON</t>
  </si>
  <si>
    <t>3900 NORTH POWERLINE ROAD</t>
  </si>
  <si>
    <t>POMPANO BEACH</t>
  </si>
  <si>
    <t>NDS</t>
  </si>
  <si>
    <t>PA</t>
  </si>
  <si>
    <t>PHI</t>
  </si>
  <si>
    <t>1001 WELCH STREET</t>
  </si>
  <si>
    <t>LA PALMA CORRECTION CENTER - APSO</t>
  </si>
  <si>
    <t>New Facility</t>
  </si>
  <si>
    <t>BUFFALO (BATAVIA) SERVICE PROCESSING CENTER</t>
  </si>
  <si>
    <t>4250 FEDERAL DRIVE</t>
  </si>
  <si>
    <t>BATAVIA</t>
  </si>
  <si>
    <t>NY</t>
  </si>
  <si>
    <t>BUF</t>
  </si>
  <si>
    <t>1297 EAST SR 78</t>
  </si>
  <si>
    <t>MOORE HAVEN</t>
  </si>
  <si>
    <t>Acceptable</t>
  </si>
  <si>
    <t>1001 SAN RIO BOULEVARD</t>
  </si>
  <si>
    <t>LAREDO</t>
  </si>
  <si>
    <t>RIVER CORRECTIONAL CENTER</t>
  </si>
  <si>
    <t>26362 HIGHWAY 15</t>
  </si>
  <si>
    <t>FERRIDAY</t>
  </si>
  <si>
    <t>IAH SECURE ADULT DETENTION FACILITY (POLK)</t>
  </si>
  <si>
    <t>3400 FM 350 SOUTH</t>
  </si>
  <si>
    <t>LIVINGSTON</t>
  </si>
  <si>
    <t>EDEN DETENTION CENTER</t>
  </si>
  <si>
    <t>702 E BROADWAY ST</t>
  </si>
  <si>
    <t>FLORENCE SERVICE PROCESSING CENTER</t>
  </si>
  <si>
    <t>3250 NORTH PINAL PARKWAY</t>
  </si>
  <si>
    <t>FLORENCE</t>
  </si>
  <si>
    <t>425 GOLDEN STATE AVE</t>
  </si>
  <si>
    <t>BAKERSFIELD</t>
  </si>
  <si>
    <t>SFR</t>
  </si>
  <si>
    <t>LIMESTONE COUNTY DETENTION CENTER</t>
  </si>
  <si>
    <t>910 NORTH TYUS STREET</t>
  </si>
  <si>
    <t>GROESBECK</t>
  </si>
  <si>
    <t>PLYMOUTH COUNTY CORRECTIONAL FACILITY</t>
  </si>
  <si>
    <t>26 LONG POND ROAD</t>
  </si>
  <si>
    <t>PLYMOUTH</t>
  </si>
  <si>
    <t>BOS</t>
  </si>
  <si>
    <t>13880 BUSINESS CENTER DRIVE</t>
  </si>
  <si>
    <t>ELK RIVER</t>
  </si>
  <si>
    <t>MN</t>
  </si>
  <si>
    <t>SPM</t>
  </si>
  <si>
    <t>NYC</t>
  </si>
  <si>
    <t>TORRANCE COUNTY DETENTION FACILITY</t>
  </si>
  <si>
    <t>209 COUNTY ROAD 49</t>
  </si>
  <si>
    <t>ESTANCIA</t>
  </si>
  <si>
    <t>96 GEORGE THOMPSON DRIVE</t>
  </si>
  <si>
    <t>STAGING</t>
  </si>
  <si>
    <t>CAROLINE DETENTION FACILITY</t>
  </si>
  <si>
    <t>11093 S.W. LEWIS MEMORIAL DRIVE</t>
  </si>
  <si>
    <t>BOWLING GREEN</t>
  </si>
  <si>
    <t>BAKER COUNTY SHERIFF'S OFFICE</t>
  </si>
  <si>
    <t>1 SHERIFF OFFICE DRIVE</t>
  </si>
  <si>
    <t>MACCLENNY</t>
  </si>
  <si>
    <t>MCHENRY COUNTY CORRECTIONAL FACILITY</t>
  </si>
  <si>
    <t>2200 NORTH SEMINARY AVENUE</t>
  </si>
  <si>
    <t>WOODSTOCK</t>
  </si>
  <si>
    <t>IL</t>
  </si>
  <si>
    <t>ANNEX - FOLKSTON IPC</t>
  </si>
  <si>
    <t>3424 HIGHWAY 252 EAST</t>
  </si>
  <si>
    <t>4702 EAST SAUNDERS STREET</t>
  </si>
  <si>
    <t>ETOWAH COUNTY JAIL (ALABAMA)</t>
  </si>
  <si>
    <t>827 FORREST AVENUE</t>
  </si>
  <si>
    <t>GADSDEN</t>
  </si>
  <si>
    <t>ELIZABETH CONTRACT DETENTION FACILITY</t>
  </si>
  <si>
    <t>625 EVANS STREET</t>
  </si>
  <si>
    <t>314 W. 7TH STREET</t>
  </si>
  <si>
    <t>OKMULGEE</t>
  </si>
  <si>
    <t>OK</t>
  </si>
  <si>
    <t>DENVER CONTRACT DETENTION FACILITY (CDF) II</t>
  </si>
  <si>
    <t>11901 E. 30th AVE</t>
  </si>
  <si>
    <t>HENDERSON DETENTION CENTER</t>
  </si>
  <si>
    <t>18 E BASIC ROAD</t>
  </si>
  <si>
    <t>NV</t>
  </si>
  <si>
    <t>SLC</t>
  </si>
  <si>
    <t>PIKE COUNTY CORRECTIONAL FACILITY</t>
  </si>
  <si>
    <t>175 PIKE COUNTY BOULEVARD</t>
  </si>
  <si>
    <t>LORDS VALLEY</t>
  </si>
  <si>
    <t>2190 EAST MESQUITE AVENUE</t>
  </si>
  <si>
    <t>PAHRUMP</t>
  </si>
  <si>
    <t>KARNES CITY</t>
  </si>
  <si>
    <t>OH</t>
  </si>
  <si>
    <t>DET</t>
  </si>
  <si>
    <t>WI</t>
  </si>
  <si>
    <t>CALHOUN COUNTY CORRECTIONAL CENTER</t>
  </si>
  <si>
    <t>185 EAST MICHIGAN AVENUE</t>
  </si>
  <si>
    <t>BATTLE CREEK</t>
  </si>
  <si>
    <t>MI</t>
  </si>
  <si>
    <t>WORCESTER COUNTY JAIL</t>
  </si>
  <si>
    <t>5022 JOYNER ROAD</t>
  </si>
  <si>
    <t>SNOW HILL</t>
  </si>
  <si>
    <t>BAL</t>
  </si>
  <si>
    <t>BLUEBONNET DETENTION FACILITY</t>
  </si>
  <si>
    <t>400 2ND STREET</t>
  </si>
  <si>
    <t>ANSON</t>
  </si>
  <si>
    <t>KANKAKEE COUNTY JAIL (JEROME COMBS DET CTR)</t>
  </si>
  <si>
    <t>3050 JUSTICE WAY</t>
  </si>
  <si>
    <t>KANKAKEE</t>
  </si>
  <si>
    <t>BOONE COUNTY JAIL</t>
  </si>
  <si>
    <t>3020 CONRAD LANE</t>
  </si>
  <si>
    <t>BURLINGTON</t>
  </si>
  <si>
    <t>KY</t>
  </si>
  <si>
    <t>DODGE COUNTY JAIL</t>
  </si>
  <si>
    <t>215 WEST CENTRAL STREET</t>
  </si>
  <si>
    <t>JUNEAU</t>
  </si>
  <si>
    <t>110 WELLS FARM ROAD</t>
  </si>
  <si>
    <t>GOSHEN</t>
  </si>
  <si>
    <t>7340 HIGHWAY 26 WEST</t>
  </si>
  <si>
    <t>OBERLIN</t>
  </si>
  <si>
    <t>2000 CIBOLA LOOP</t>
  </si>
  <si>
    <t>WYATT DETENTION CENTER</t>
  </si>
  <si>
    <t>950 HIGH STREET</t>
  </si>
  <si>
    <t>CENTRAL FALLS</t>
  </si>
  <si>
    <t>RI</t>
  </si>
  <si>
    <t>9998 SOUTH HIGHWAY 83</t>
  </si>
  <si>
    <t>KAY COUNTY JUSTICE FACILITY</t>
  </si>
  <si>
    <t>1101 WEST DRY ROAD</t>
  </si>
  <si>
    <t>NEWKIRK</t>
  </si>
  <si>
    <t>ROLLING PLAINS DETENTION CENTER</t>
  </si>
  <si>
    <t>118 COUNTY ROAD 206</t>
  </si>
  <si>
    <t>HASKELL</t>
  </si>
  <si>
    <t>STRAFFORD COUNTY CORRECTIONS</t>
  </si>
  <si>
    <t>266 COUNTY FARM ROAD</t>
  </si>
  <si>
    <t>DOVER</t>
  </si>
  <si>
    <t>NH</t>
  </si>
  <si>
    <t>NYE COUNTY DETENTION CENTER, SOUTHERN (PAHRUMP)</t>
  </si>
  <si>
    <t>1520 E. BASIN ROAD</t>
  </si>
  <si>
    <t>HALL COUNTY DEPARTMENT OF CORRECTIONS</t>
  </si>
  <si>
    <t>110 PUBLIC SAFETY DRIVE</t>
  </si>
  <si>
    <t>GRAND ISLAND</t>
  </si>
  <si>
    <t>NE</t>
  </si>
  <si>
    <t>7000 EAST DUNBAR ROAD</t>
  </si>
  <si>
    <t>MONROE</t>
  </si>
  <si>
    <t>CHASE COUNTY DETENTION FACILITY</t>
  </si>
  <si>
    <t>301 SOUTH WALNUT STREET</t>
  </si>
  <si>
    <t>COTTONWOOD FALLS</t>
  </si>
  <si>
    <t>KS</t>
  </si>
  <si>
    <t>CLINTON COUNTY CORRECTIONAL FACILITY</t>
  </si>
  <si>
    <t>419 SHOEMAKER ROAD</t>
  </si>
  <si>
    <t>LOCK HAVEN</t>
  </si>
  <si>
    <t>Does Not Meet Standards</t>
  </si>
  <si>
    <t>IA</t>
  </si>
  <si>
    <t>SAINT CLAIR COUNTY JAIL</t>
  </si>
  <si>
    <t>1170 MICHIGAN ROAD</t>
  </si>
  <si>
    <t>PORT HURON</t>
  </si>
  <si>
    <t>3040 SOUTH STATE HIGHWAY 100</t>
  </si>
  <si>
    <t>TIFFIN</t>
  </si>
  <si>
    <t>Deficient</t>
  </si>
  <si>
    <t>SAN LUIS REGIONAL DETENTION CENTER</t>
  </si>
  <si>
    <t>406 NORTH AVENUE D</t>
  </si>
  <si>
    <t>SAN LUIS</t>
  </si>
  <si>
    <t>KANDIYOHI COUNTY JAIL</t>
  </si>
  <si>
    <t>2201 23RD ST NE</t>
  </si>
  <si>
    <t>WILLMAR</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</si>
  <si>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</si>
  <si>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</si>
  <si>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</si>
  <si>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</si>
  <si>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</si>
  <si>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</si>
  <si>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</si>
  <si>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</si>
  <si>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</si>
  <si>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</si>
  <si>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</si>
  <si>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</si>
  <si>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HONOLULU FEDERAL DETENTION CENTER</t>
  </si>
  <si>
    <t>351 ELLIOTT ST.</t>
  </si>
  <si>
    <t>HONOLULU</t>
  </si>
  <si>
    <t>HI</t>
  </si>
  <si>
    <t>BOP</t>
  </si>
  <si>
    <t>POLK COUNTY JAIL</t>
  </si>
  <si>
    <t>1985 NE 51ST PLACE</t>
  </si>
  <si>
    <t>DES MOINES</t>
  </si>
  <si>
    <t>CHIPPEWA COUNTY SSM</t>
  </si>
  <si>
    <t>325 COURT STREET</t>
  </si>
  <si>
    <t>SAULT SAINTE MARIE</t>
  </si>
  <si>
    <t>COASTAL BEND DETENTION FACILITY</t>
  </si>
  <si>
    <t>4909 FM (FARM TO MARKET) 2826</t>
  </si>
  <si>
    <t>ROBSTOWN</t>
  </si>
  <si>
    <t>CBP SAN YSIDRO POE</t>
  </si>
  <si>
    <t>720 E SAN YSIDRO BLVD</t>
  </si>
  <si>
    <t>SAN YSIDRO</t>
  </si>
  <si>
    <t>TELLER COUNTY JAIL</t>
  </si>
  <si>
    <t>288 WEAVERVILLE ROAD</t>
  </si>
  <si>
    <t>DIVIDE</t>
  </si>
  <si>
    <t>ORSA</t>
  </si>
  <si>
    <t>UT</t>
  </si>
  <si>
    <t>WASHOE COUNTY JAIL</t>
  </si>
  <si>
    <t>911 PARR BOULEVARD</t>
  </si>
  <si>
    <t>RENO</t>
  </si>
  <si>
    <t>SC</t>
  </si>
  <si>
    <t>DOUGLAS COUNTY DEPARTMENT OF CORRECTIONS</t>
  </si>
  <si>
    <t>710 SOUTH 17TH ST</t>
  </si>
  <si>
    <t>OMAHA</t>
  </si>
  <si>
    <t>CBP CHULA VISTA BPS</t>
  </si>
  <si>
    <t>311 ATHEY AVE</t>
  </si>
  <si>
    <t>DALLAS COUNTY JAIL - LEW STERRETT JUSTICE CENTER</t>
  </si>
  <si>
    <t>111 WEST COMMERCE STREET</t>
  </si>
  <si>
    <t>DALLAS</t>
  </si>
  <si>
    <t>10/20/2017</t>
  </si>
  <si>
    <t>WASHINGTON COUNTY JAIL (PURGATORY CORRECTIONAL FAC</t>
  </si>
  <si>
    <t>HURRICANE</t>
  </si>
  <si>
    <t>9/15/2018</t>
  </si>
  <si>
    <t>PR</t>
  </si>
  <si>
    <t>SAIPAN DEPARTMENT OF CORRECTIONS (SUSUPE)</t>
  </si>
  <si>
    <t>TEKKEN ST., SUSUPE VILLAGE</t>
  </si>
  <si>
    <t>SAIPAN</t>
  </si>
  <si>
    <t>MP</t>
  </si>
  <si>
    <t>GRAND FORKS COUNTY CORRECTIONAL FACILITY</t>
  </si>
  <si>
    <t>1701 NORTH WASHINGTON ST</t>
  </si>
  <si>
    <t>GRAND FORKS</t>
  </si>
  <si>
    <t>ND</t>
  </si>
  <si>
    <t>5/17/2018</t>
  </si>
  <si>
    <t>TROY</t>
  </si>
  <si>
    <t xml:space="preserve">DEPARTMENT OF CORRECTIONS HAGATNA </t>
  </si>
  <si>
    <t>203 ASPINALL AVENUE</t>
  </si>
  <si>
    <t>HAGATNA</t>
  </si>
  <si>
    <t>GU</t>
  </si>
  <si>
    <t>PHELPS COUNTY JAIL</t>
  </si>
  <si>
    <t>715 5TH AVENUE</t>
  </si>
  <si>
    <t>HOLDREGE</t>
  </si>
  <si>
    <t>LINN COUNTY JAIL</t>
  </si>
  <si>
    <t>53 3RD AVENUE BRIDGE</t>
  </si>
  <si>
    <t>CEDAR RAPIDS</t>
  </si>
  <si>
    <t>6/20/2019</t>
  </si>
  <si>
    <t>SOUTH CENTRAL REGIONAL JAIL</t>
  </si>
  <si>
    <t>1001 CENTRE WAY</t>
  </si>
  <si>
    <t>CHARLESTON</t>
  </si>
  <si>
    <t>WV</t>
  </si>
  <si>
    <t>8/23/2018</t>
  </si>
  <si>
    <t>9/11/2018</t>
  </si>
  <si>
    <t>POTTAWATTAMIE COUNTY JAIL</t>
  </si>
  <si>
    <t>1400 BIG LAKE ROAD</t>
  </si>
  <si>
    <t>COUNCIL BLUFFS</t>
  </si>
  <si>
    <t>4/12/2018</t>
  </si>
  <si>
    <t>JUVENILE</t>
  </si>
  <si>
    <t>5001 Maloneyville Rd</t>
  </si>
  <si>
    <t>Knoxville</t>
  </si>
  <si>
    <t>TN</t>
  </si>
  <si>
    <t>RENSSELAER COUNTY CORRECTIONAL FACILITY</t>
  </si>
  <si>
    <t>4000 MAIN STREET</t>
  </si>
  <si>
    <t>EAST HIDALGO DETENTION CENTER</t>
  </si>
  <si>
    <t>1330 HIGHWAY 107</t>
  </si>
  <si>
    <t>LA VILLA</t>
  </si>
  <si>
    <t>LEXINGTON</t>
  </si>
  <si>
    <t>LEXINGTON COUNTY JAIL</t>
  </si>
  <si>
    <t>521 GIBSON ROAD</t>
  </si>
  <si>
    <t>9/15/2017</t>
  </si>
  <si>
    <t>BEAVER COUNTY JAIL</t>
  </si>
  <si>
    <t>6000 WOODLAWN BOULEVARD</t>
  </si>
  <si>
    <t>ALIQUIPPA</t>
  </si>
  <si>
    <t>9/18/2017</t>
  </si>
  <si>
    <t>NEW HANOVER COUNTY JAIL</t>
  </si>
  <si>
    <t>3950 JUVENILE RD</t>
  </si>
  <si>
    <t>CASTLE HAYNE</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</si>
  <si>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</si>
  <si>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</si>
  <si>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</si>
  <si>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</si>
  <si>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</si>
  <si>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</si>
  <si>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</si>
  <si>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</si>
  <si>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</si>
  <si>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</si>
  <si>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</si>
  <si>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</si>
  <si>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Detroit</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</si>
  <si>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</si>
  <si>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</si>
  <si>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</si>
  <si>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</si>
  <si>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</si>
  <si>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</si>
  <si>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</si>
  <si>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</si>
  <si>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</si>
  <si>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</si>
  <si>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</si>
  <si>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</si>
  <si>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</si>
  <si>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</si>
  <si>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</si>
  <si>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</si>
  <si>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</si>
  <si>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</si>
  <si>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</si>
  <si>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</si>
  <si>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ICE FOOTNOTES</t>
  </si>
  <si>
    <t>Bonded Out</t>
  </si>
  <si>
    <t>Bond Set by ICE</t>
  </si>
  <si>
    <t>Bond Set by IJ</t>
  </si>
  <si>
    <t>Paroled</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</si>
  <si>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</si>
  <si>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</si>
  <si>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</si>
  <si>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</si>
  <si>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</si>
  <si>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</si>
  <si>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</si>
  <si>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</si>
  <si>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</si>
  <si>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</si>
  <si>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</si>
  <si>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</si>
  <si>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</si>
  <si>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</si>
  <si>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FRCs are Family Residential Centers and include the following ICE facilities:  Berks County Family Shelter, Karnes County Residential Center, and South Texas Family Residential Center.</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</si>
  <si>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</si>
  <si>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</si>
  <si>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An alien may have multiple releases; only the most recent release is included in this report.</t>
  </si>
  <si>
    <t>ICE Removal Data Include Returns.  Returns include Voluntary Returns, Voluntary Departures and Withdrawals Under Docket Control.</t>
  </si>
  <si>
    <t>ICE Detention data excludes ORR transfers/facilities, as well as U.S. Marshals Service Prisoners.</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</si>
  <si>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</si>
  <si>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</si>
  <si>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</si>
  <si>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</si>
  <si>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Processing Disposition</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</si>
  <si>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</si>
  <si>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</si>
  <si>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FRCs are Family Residential Centers and include the following ICE facilities: Berks County Family Shelter, Karnes County Residential Center, and South Texas Family Residential Center.</t>
  </si>
  <si>
    <t>Average Time from USCIS Fear Decision Service Date to ICE Release (In Days)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</si>
  <si>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</si>
  <si>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</si>
  <si>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</si>
  <si>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An Alien’s Fear Screening Determination cannot be confirmed as directly related to an ICE Detention Stay, even if the USCIS Decision Service Date falls within the ICE Detention Stay.</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</si>
  <si>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</si>
  <si>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Order of Supervision-No SLRFF</t>
  </si>
  <si>
    <t>Washington DC</t>
  </si>
  <si>
    <t xml:space="preserve">ICE  </t>
  </si>
  <si>
    <t>USCIS Average Time from USCIS Fear Decision Service Date to ICE Release (In Days) &amp; Aliens with USCIS-Established Fear Decisions in an ICE Detention Facility</t>
  </si>
  <si>
    <t xml:space="preserve">ICE Currently Detained by Processing Disposition and Detention Facility Type: </t>
  </si>
  <si>
    <t>ICE Currently Detained by Criminality and Arresting Agency</t>
  </si>
  <si>
    <t>Aliens with USCIS-Established Fear Decisions in an ICE Detention Facility by Facility Type</t>
  </si>
  <si>
    <t xml:space="preserve">ICE provides the following Detention and Alternatives to Detention (ATD) statistics, which may be downloaded by clicking below. The data tables are searchable and sortable, and worksheets are protected to ensure their accuracy and reliability. </t>
  </si>
  <si>
    <t>ICE ALTERNATIVES TO DETENTION DATA, FY22</t>
  </si>
  <si>
    <t>ATD Active Population by Status, Extended Case Management Service, Count and ALIP, FY22</t>
  </si>
  <si>
    <t>Data from BI Inc. Participants Report, 12.4.2021</t>
  </si>
  <si>
    <t>Data from OBP Report, 11.30.2021</t>
  </si>
  <si>
    <t>Active ATD Participants and Average Length in Program, FY22, by AOR and Technology</t>
  </si>
  <si>
    <t xml:space="preserve">* Data are based on an individuals self-identification as transgender and are subject to change daily, depending on the number of individuals booked in and out of ICE custody. </t>
  </si>
  <si>
    <t>Phoenix Area of Responsibility</t>
  </si>
  <si>
    <t>Houston Area of Responsibility</t>
  </si>
  <si>
    <t>Miami Area of Responsibility</t>
  </si>
  <si>
    <t>Denver Area of Responsibility</t>
  </si>
  <si>
    <t>San Francisco Area of Responsibility</t>
  </si>
  <si>
    <t>Currently Detained Location/Area of Responsibility Total</t>
  </si>
  <si>
    <t>Currently Detained without Final Order</t>
  </si>
  <si>
    <t>Currently Detained with Final Order</t>
  </si>
  <si>
    <t>Currently Detained</t>
  </si>
  <si>
    <t>Total Book-Ins</t>
  </si>
  <si>
    <t>FY 2022 YTD</t>
  </si>
  <si>
    <t>ICE Transgender* Detainee Population FY 2022 YTD:  as of 12/6/2021</t>
  </si>
  <si>
    <t>ICE FACILITIES DATA, FY22 YTD</t>
  </si>
  <si>
    <t>Source: ICE Integrated Decision Support (IIDS), 11/30/2021</t>
  </si>
  <si>
    <t>FY22 ALOS</t>
  </si>
  <si>
    <t>ICE Enforcement and Removal Operations Data, FY2022</t>
  </si>
  <si>
    <t>FY22 ADP: Detainee Classification Level</t>
  </si>
  <si>
    <t>FY22 ADP: Criminality</t>
  </si>
  <si>
    <t>FY22 ADP: ICE Threat Level</t>
  </si>
  <si>
    <t>FY22 ADP: Mandatory</t>
  </si>
  <si>
    <t>FOLKSTON MAIN IPC</t>
  </si>
  <si>
    <t>T. DON HUTTO DETENTION CENTER</t>
  </si>
  <si>
    <t>CCA, FLORENCE CORRECTIONAL CENTER</t>
  </si>
  <si>
    <t>GOLDEN STATE ANNEX</t>
  </si>
  <si>
    <t>DESERT VIEW</t>
  </si>
  <si>
    <t>HOTEL AVA CASA DO TRANQUILIDADE</t>
  </si>
  <si>
    <t>SUITES ON SCOTTSDALE-CASA DE ALEGRÍA</t>
  </si>
  <si>
    <t>JOE CORLEY PROCESSING CTR</t>
  </si>
  <si>
    <t>Adelanto ICE Processing Center</t>
  </si>
  <si>
    <t>HOLIDAY INN EXPRESS-CASA DE LA LUZ</t>
  </si>
  <si>
    <t>WINGATE-WYNDHAM CASA ESPERANZA</t>
  </si>
  <si>
    <t>LA QUINTA WYNDHAM CASA DO SONHO</t>
  </si>
  <si>
    <t>LA QUINTA-WYNDHAM-CASA DE PAZ</t>
  </si>
  <si>
    <t>DORCHESTER COUNTY DETENTION CENTER</t>
  </si>
  <si>
    <t>COMFORT SUITES-CASA CONSUELO</t>
  </si>
  <si>
    <t>BEST WESTERN-CASA DE ESTRELLA</t>
  </si>
  <si>
    <t>SAN JUAN STAGING</t>
  </si>
  <si>
    <t>CLINTON COUNTY JAIL</t>
  </si>
  <si>
    <t>EULESS CITY JAIL</t>
  </si>
  <si>
    <t>RIVERSIDE COUNTY SHERIFF</t>
  </si>
  <si>
    <t>ALLEN COUNTY JAIL</t>
  </si>
  <si>
    <t>PECOS CRIMINAL JUSTICE CENTER</t>
  </si>
  <si>
    <t>BYRD'S FOSTER GROUP HOME, INC</t>
  </si>
  <si>
    <t>PEAR TREE INN SNA AIRPORT</t>
  </si>
  <si>
    <t>HANCOCK CO PUB SFTY CPLX</t>
  </si>
  <si>
    <t>HOLIDAY INN &amp; STE PHO AP</t>
  </si>
  <si>
    <t>3026 HWY 252 EAST</t>
  </si>
  <si>
    <t>300 EL RANCHO WAY</t>
  </si>
  <si>
    <t>409 FM 1144</t>
  </si>
  <si>
    <t>1100 BOWLING ROAD</t>
  </si>
  <si>
    <t>611 FRONTAGE RD</t>
  </si>
  <si>
    <t>MCFARLAND</t>
  </si>
  <si>
    <t>10450 RANCHO ROAD</t>
  </si>
  <si>
    <t>800 GARDEN STREET</t>
  </si>
  <si>
    <t xml:space="preserve">
LAREDO</t>
  </si>
  <si>
    <t>9880 N. SCOTTSDALE RD.</t>
  </si>
  <si>
    <t>SCOTTSDALE</t>
  </si>
  <si>
    <t>500 HILBIG RD</t>
  </si>
  <si>
    <t>15221 S  50TH ST</t>
  </si>
  <si>
    <t>PHOENIX</t>
  </si>
  <si>
    <t>1760 S SUNRIDGE DR</t>
  </si>
  <si>
    <t>YUMA</t>
  </si>
  <si>
    <t>677 N BAYLOR ST</t>
  </si>
  <si>
    <t>COTULLA</t>
  </si>
  <si>
    <t>170 MEDICAL DR.</t>
  </si>
  <si>
    <t>829 FIELDCREST ROAD</t>
  </si>
  <si>
    <t>CAMBRIDGE</t>
  </si>
  <si>
    <t>1940 AIRWAY BLVD</t>
  </si>
  <si>
    <t>6655 GATEWAY BLVD W.</t>
  </si>
  <si>
    <t>651 FEDERAL DRIVE, SUITE 104</t>
  </si>
  <si>
    <t>GUAYNABO</t>
  </si>
  <si>
    <t>25 MCCARTHY DRIVE</t>
  </si>
  <si>
    <t>PLATTSBURGH</t>
  </si>
  <si>
    <t>1102 W. EULESS BLVD.</t>
  </si>
  <si>
    <t>EULESS</t>
  </si>
  <si>
    <t>750 SOUTH 5300 WEST</t>
  </si>
  <si>
    <t>4095 LEMON STREET</t>
  </si>
  <si>
    <t>RIVERSIDE</t>
  </si>
  <si>
    <t>417 S. CALHOUN</t>
  </si>
  <si>
    <t>FT. WAYNE</t>
  </si>
  <si>
    <t>172 WEST RAUL FLOREZ BOULEVARD</t>
  </si>
  <si>
    <t>PECOS</t>
  </si>
  <si>
    <t>5708 HARDY ST</t>
  </si>
  <si>
    <t>143 NE I-410 LOOP</t>
  </si>
  <si>
    <t>SAN ANTONIO</t>
  </si>
  <si>
    <t>8450 HIGHWAY 90</t>
  </si>
  <si>
    <t>BAY ST. LOUIS</t>
  </si>
  <si>
    <t>3220 S 48TH ST</t>
  </si>
  <si>
    <t>HLG</t>
  </si>
  <si>
    <t>FAMILY STAGING</t>
  </si>
  <si>
    <t>PBNDS 2011 - 2016 Revisions</t>
  </si>
  <si>
    <t>NDS 2019</t>
  </si>
  <si>
    <t>2/26/2021</t>
  </si>
  <si>
    <t>5/6/2021</t>
  </si>
  <si>
    <t>9/30/2021</t>
  </si>
  <si>
    <t>12/3/2020</t>
  </si>
  <si>
    <t>6/24/2021</t>
  </si>
  <si>
    <t>2/3/2021</t>
  </si>
  <si>
    <t>2/5/2021</t>
  </si>
  <si>
    <t>11/17/2021</t>
  </si>
  <si>
    <t>1/29/2021</t>
  </si>
  <si>
    <t>1/13/2021</t>
  </si>
  <si>
    <t>1/27/2021</t>
  </si>
  <si>
    <t>10/28/2021</t>
  </si>
  <si>
    <t>9/23/2021</t>
  </si>
  <si>
    <t>11/19/2021</t>
  </si>
  <si>
    <t>5/13/2021</t>
  </si>
  <si>
    <t>1/6/2021</t>
  </si>
  <si>
    <t>10/7/2021</t>
  </si>
  <si>
    <t>2/10/2021</t>
  </si>
  <si>
    <t>4/21/2021</t>
  </si>
  <si>
    <t>3/31/2021</t>
  </si>
  <si>
    <t>12/16/2020</t>
  </si>
  <si>
    <t>8/19/2021</t>
  </si>
  <si>
    <t>10/21/2021</t>
  </si>
  <si>
    <t>8/26/2021</t>
  </si>
  <si>
    <t>8/11/2021</t>
  </si>
  <si>
    <t>3/10/2021</t>
  </si>
  <si>
    <t>11/4/2021</t>
  </si>
  <si>
    <t>9/16/2021</t>
  </si>
  <si>
    <t>7/30/2021</t>
  </si>
  <si>
    <t>4/28/2021</t>
  </si>
  <si>
    <t>5/27/2021</t>
  </si>
  <si>
    <t>10/26/2021</t>
  </si>
  <si>
    <t>6/10/2021</t>
  </si>
  <si>
    <t>2/24/2021</t>
  </si>
  <si>
    <t>4/14/2021</t>
  </si>
  <si>
    <t>5/20/2021</t>
  </si>
  <si>
    <t>4/8/2021</t>
  </si>
  <si>
    <t>7/15/2021</t>
  </si>
  <si>
    <t>3/24/2021</t>
  </si>
  <si>
    <t>7/28/2021</t>
  </si>
  <si>
    <t>3/3/2021</t>
  </si>
  <si>
    <t>11/3/2021</t>
  </si>
  <si>
    <t>8/25/2021</t>
  </si>
  <si>
    <t>7/22/2021</t>
  </si>
  <si>
    <t>9/2/2021</t>
  </si>
  <si>
    <t>11/10/2021</t>
  </si>
  <si>
    <t>8/5/2021</t>
  </si>
  <si>
    <t>7/14/2021</t>
  </si>
  <si>
    <t>7/1/2021</t>
  </si>
  <si>
    <t>4/16/2021</t>
  </si>
  <si>
    <t>4/7/2021</t>
  </si>
  <si>
    <t>12/10/2020</t>
  </si>
  <si>
    <t>8/12/2021</t>
  </si>
  <si>
    <t>10/14/2021</t>
  </si>
  <si>
    <t>9/29/2021</t>
  </si>
  <si>
    <t>10/1/2020</t>
  </si>
  <si>
    <t>11/18/2021</t>
  </si>
  <si>
    <t>7/29/2021</t>
  </si>
  <si>
    <t>6/17/2021</t>
  </si>
  <si>
    <t>10/25/2018</t>
  </si>
  <si>
    <t>10/15/2020</t>
  </si>
  <si>
    <t>10/11/2017</t>
  </si>
  <si>
    <t>10/9/2020</t>
  </si>
  <si>
    <t>10/31/2021</t>
  </si>
  <si>
    <t>Arresting Agency</t>
  </si>
  <si>
    <t>ICE Average Length of Stay Adult Facility Type by Month and Arresting Agency: FY2022</t>
  </si>
  <si>
    <t>FSC</t>
  </si>
  <si>
    <t>ICE Average Length of Stay by Facility Type and Month: FY2022</t>
  </si>
  <si>
    <t>ICE Average Daily Population by Facility Type and Month: FY2022</t>
  </si>
  <si>
    <t>ICE Average Length of Stay by Arresting Agency, Month and Criminality: FY2022</t>
  </si>
  <si>
    <t>ICE Average Daily Population by Arresting Agency, Month and Criminality: FY2022</t>
  </si>
  <si>
    <t>ICE Final Releases by Release Reason, Month and Criminality: FY2022</t>
  </si>
  <si>
    <t>Removals with a FSC Detention</t>
  </si>
  <si>
    <t>ICE Removals: FY2022</t>
  </si>
  <si>
    <t>ICE Final Releases by Facility Type: FY2022</t>
  </si>
  <si>
    <t>ICE Initial Book-Ins by Facility Type and Criminality: FY2022</t>
  </si>
  <si>
    <t>ICE Initial Book-Ins by Arresting Agency and Month: FY2022</t>
  </si>
  <si>
    <t>-</t>
  </si>
  <si>
    <t>FY2022</t>
  </si>
  <si>
    <t>ICE DETENTION DATA, FY2022</t>
  </si>
  <si>
    <t>Average In Custody Length of Stay (ICLOS)</t>
  </si>
  <si>
    <t xml:space="preserve">Population </t>
  </si>
  <si>
    <t>July</t>
  </si>
  <si>
    <t>August</t>
  </si>
  <si>
    <t>September</t>
  </si>
  <si>
    <t>October</t>
  </si>
  <si>
    <t>November</t>
  </si>
  <si>
    <t>December</t>
  </si>
  <si>
    <t>January</t>
  </si>
  <si>
    <t>February</t>
  </si>
  <si>
    <t>March</t>
  </si>
  <si>
    <t>April</t>
  </si>
  <si>
    <t>June</t>
  </si>
  <si>
    <t xml:space="preserve">mid </t>
  </si>
  <si>
    <t>end</t>
  </si>
  <si>
    <t>mid</t>
  </si>
  <si>
    <t>Adult Facility Individuals</t>
  </si>
  <si>
    <t>FSC Facility Individuals</t>
  </si>
  <si>
    <t>Post-Determination for Adult Facility Individuals with Postive Fear Claim</t>
  </si>
  <si>
    <t>Post-Determination for FSC Facility Individuals with Positive Fear Claim</t>
  </si>
  <si>
    <t>Detainees</t>
  </si>
  <si>
    <t>0-180 Days</t>
  </si>
  <si>
    <t>181-365 Days</t>
  </si>
  <si>
    <t>366-730 Days</t>
  </si>
  <si>
    <t>More than 730 Days</t>
  </si>
  <si>
    <t>Non-U.S. citizen child or children under the age of 18, accompanied by his/her/their parent(s) or legal guardian(s).
As of 02/26/2021, Berks County Family Shelter is no longer being used as a FRC, however, detentions on or before 02/26 are included in the FRC ALOS</t>
  </si>
  <si>
    <t>FY2022 ICE Average Daily Population and ICE Average Length of Stay</t>
  </si>
  <si>
    <t>FY2022 ICE Detention data are updated through 12/04/2021 (IIDS v.2.0 run date 12/06/2021; EID as of 12/04/2021).</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</si>
  <si>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</si>
  <si>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</si>
  <si>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FY2022 ICE Final Releases</t>
  </si>
  <si>
    <t>FY2022 ICE Final Releases data are updated through 12/04/2021 (IIDS v.2.0 run date 12/06/2021; EID as of 12/04/2021).</t>
  </si>
  <si>
    <t>FY2022 ICE Removals</t>
  </si>
  <si>
    <t>FY2022 ICE Removals data are updated through 12/04/2021 (IIDS v.2.0 run date 12/06/2021; EID as of 12/04/2021).</t>
  </si>
  <si>
    <t>ICE Removals include Non Citizens processed for Expedited Removal (ER) or Voluntary Return (VR) that are turned over to ERO for detention.  Non Citizens processed for ER and not detained by ERO or VR after June 1st, 2013 and not detained by ERO are primarily processed by Border Patrol.  CBP should be contacted for those statistics.</t>
  </si>
  <si>
    <t xml:space="preserve">Starting in FY2009, ICE began to "lock" removal statistics on October 5th at the end of each fiscal year and counted only the Non Citizens whose removal or return was already confirmed.  Non Citizens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</si>
  <si>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12/05/2021 (IIDS v.2.0 run date 12/06/2021; EID as of 12/05/2021).</t>
  </si>
  <si>
    <t>Processing dispositions of Other may include, but are not limited to, Non Citizens processed under Administrative Removal, Visa Waiver Program Removal, Stowaway or Crewmember.</t>
  </si>
  <si>
    <t>FY2022 ICE Initial Book-Ins</t>
  </si>
  <si>
    <t>FRCs are Family Residential Centers and include the following ICE facilities: Karnes County Residential Center and South Texas Family Residential Center.</t>
  </si>
  <si>
    <t>Non Citizens Currently in ICE Detention Facilities data are a snapshot as of 12/05/2021 (IIDS v.2.0 run date 12/06/2021; EID as of 12/05/2021).</t>
  </si>
  <si>
    <t>FY2022 ICE Releases data are updated through 12/04/2021 (IIDS v.2.0 run date 12/06/2021; EID as of 12/04/2021).</t>
  </si>
  <si>
    <t>USCIS provided data containing APSO (Asylum Pre Screening Officer) cases clocked during FY2019 - FY2022 YTD.  Data were received on 12/06/2021.</t>
  </si>
  <si>
    <t>Non Citizens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</si>
  <si>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Of the 222,671 records in the USCIS provided data the breakdown of the fear screening determinations is as follows; 124,978 positive fear screening determinations, 55,723 negative fear screening determinations and 41,970 without an identified determination. Of the 124,978 with positive fear screening determinations; 86,709 have Persecution Claim Established and 38,269 have Torture Claim Established.</t>
  </si>
  <si>
    <t>Non Citizens Currently in ICE Detention Facilities and the Average Time from USCIS Fear Decision Service Date to ICE Release include detentions not associated with a removal case.</t>
  </si>
  <si>
    <t>The data provided by USCIS contains multiple records for some Alien File Numbers. There are 222,671 unique fear determinations and 3,012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</si>
  <si>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</si>
  <si>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</si>
  <si>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r>
      <t xml:space="preserve">The four categories the ICLOS and Detainees tab is broken out by are 
•	</t>
    </r>
    <r>
      <rPr>
        <b/>
        <sz val="12"/>
        <rFont val="Times New Roman"/>
        <family val="1"/>
      </rPr>
      <t>Adult Facility Individuals</t>
    </r>
    <r>
      <rPr>
        <sz val="12"/>
        <rFont val="Times New Roman"/>
        <family val="1"/>
      </rPr>
      <t xml:space="preserve">
o	Anyone who is in an adult facility and does not have a post determined positive fear claim at the date of the snapshot 
•	</t>
    </r>
    <r>
      <rPr>
        <b/>
        <sz val="12"/>
        <rFont val="Times New Roman"/>
        <family val="1"/>
      </rPr>
      <t>FRC Facility Individuals</t>
    </r>
    <r>
      <rPr>
        <sz val="12"/>
        <rFont val="Times New Roman"/>
        <family val="1"/>
      </rPr>
      <t xml:space="preserve">
o	Anyone who is in a family facility and does not have a post determined positive fear claim at the date of the snapshot 
•	</t>
    </r>
    <r>
      <rPr>
        <b/>
        <sz val="12"/>
        <rFont val="Times New Roman"/>
        <family val="1"/>
      </rPr>
      <t>Post-Determination for Adult Facility Individuals with Postive Fear Claim</t>
    </r>
    <r>
      <rPr>
        <sz val="12"/>
        <rFont val="Times New Roman"/>
        <family val="1"/>
      </rPr>
      <t xml:space="preserve">
o	Anyone who is in an adult facility and has a post determined positive fear claim at the date of the snapshot 
•	</t>
    </r>
    <r>
      <rPr>
        <b/>
        <sz val="12"/>
        <rFont val="Times New Roman"/>
        <family val="1"/>
      </rPr>
      <t>Post-Determination for FRC Facility Individuals with Positive Fear Claim</t>
    </r>
    <r>
      <rPr>
        <sz val="12"/>
        <rFont val="Times New Roman"/>
        <family val="1"/>
      </rPr>
      <t xml:space="preserve">
o	Anyone who is in a family facility and has a post determined positive fear claim at the date of the snapshot</t>
    </r>
  </si>
  <si>
    <t xml:space="preserve">The mid for each month corresponds to the 15th of the month and end corresponds to the last day of the month. </t>
  </si>
  <si>
    <t>FRC facilities refers to Family facilities</t>
  </si>
  <si>
    <r>
      <t>It was assumed that if a</t>
    </r>
    <r>
      <rPr>
        <b/>
        <sz val="12"/>
        <color theme="1"/>
        <rFont val="Times New Roman"/>
        <family val="1"/>
      </rPr>
      <t xml:space="preserve"> positive</t>
    </r>
    <r>
      <rPr>
        <sz val="12"/>
        <color theme="1"/>
        <rFont val="Times New Roman"/>
        <family val="1"/>
      </rPr>
      <t xml:space="preserve"> fear </t>
    </r>
    <r>
      <rPr>
        <b/>
        <sz val="12"/>
        <color theme="1"/>
        <rFont val="Times New Roman"/>
        <family val="1"/>
      </rPr>
      <t xml:space="preserve">claim </t>
    </r>
    <r>
      <rPr>
        <sz val="12"/>
        <color theme="1"/>
        <rFont val="Times New Roman"/>
        <family val="1"/>
      </rPr>
      <t>happened within five days of the initial book in that it was related to the detention stay. This was to account for the 72-hour transfer period from CBP to a detention facility and to account for additional time due to coronavirus.</t>
    </r>
  </si>
  <si>
    <t>ICE ICLOS and Detainees Data are updated through 12/05/2021 (IIDS v.2.0 run date 12/06/2021; EID as of 12/05/2021).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</si>
</sst>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3" formatCode="_(* #,##0.00_);_(* \(#,##0.00\);_(* &quot;-&quot;??_);_(@_)"/>
    <numFmt numFmtId="164" formatCode="_(* #,##0_);_(* \(#,##0\);_(* &quot;-&quot;??_);_(@_)"/>
    <numFmt numFmtId="165" formatCode="0.0"/>
    <numFmt numFmtId="166" formatCode="00000"/>
    <numFmt numFmtId="167" formatCode="_(* #,##0.0_);_(* \(#,##0.0\);_(* &quot;-&quot;_);_(@_)"/>
    <numFmt numFmtId="168" formatCode="#,##0.0"/>
    <numFmt numFmtId="169" formatCode="0.0;[Red]0.0"/>
    <numFmt numFmtId="170" formatCode="_(* #,##0.0_);_(* \(#,##0.0\);_(* &quot;-&quot;?_);_(@_)"/>
    <numFmt numFmtId="171" formatCode="#,##0.0_);\(#,##0.0\)"/>
  </numFmts>
  <fonts count="43" x14ac:knownFonts="1">
    <font>
      <sz val="11"/>
      <color theme="1"/>
      <name val="Calibri"/>
      <family val="2"/>
      <scheme val="minor"/>
    </font>
    <font>
      <sz val="11"/>
      <color theme="1"/>
      <name val="Calibri"/>
      <family val="2"/>
      <scheme val="minor"/>
    </font>
    <font>
      <sz val="9"/>
      <color theme="1"/>
      <name val="Calibri"/>
      <family val="2"/>
      <scheme val="minor"/>
    </font>
    <font>
      <b/>
      <sz val="9"/>
      <color theme="1"/>
      <name val="Times New Roman"/>
      <family val="1"/>
    </font>
    <font>
      <b/>
      <sz val="9"/>
      <color theme="0"/>
      <name val="Times New Roman"/>
      <family val="1"/>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sz val="10"/>
      <color indexed="72"/>
      <name val="Arial"/>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8"/>
      <color theme="3" tint="-0.499984740745262"/>
      <name val="Calibri"/>
      <family val="2"/>
      <scheme val="minor"/>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
      <i/>
      <sz val="11"/>
      <color theme="1"/>
      <name val="Calibri"/>
      <family val="2"/>
      <scheme val="minor"/>
    </font>
    <font>
      <b/>
      <sz val="11"/>
      <color theme="1"/>
      <name val="Calibri"/>
      <family val="2"/>
      <scheme val="minor"/>
    </font>
    <font>
      <b/>
      <i/>
      <sz val="9"/>
      <color theme="1"/>
      <name val="Calibri"/>
      <family val="2"/>
      <scheme val="minor"/>
    </font>
    <font>
      <b/>
      <sz val="11"/>
      <color theme="1"/>
      <name val="Times New Roman"/>
      <family val="1"/>
    </font>
    <font>
      <sz val="11"/>
      <color theme="1"/>
      <name val="Times New Roman"/>
      <family val="1"/>
    </font>
    <font>
      <sz val="9"/>
      <color theme="1"/>
      <name val="Times New Roman"/>
      <family val="1"/>
    </font>
    <font>
      <sz val="12"/>
      <color theme="1"/>
      <name val="Symbol"/>
      <family val="1"/>
      <charset val="2"/>
    </font>
    <font>
      <sz val="12"/>
      <color theme="1"/>
      <name val="Courier New"/>
      <family val="3"/>
    </font>
  </fonts>
  <fills count="13">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2"/>
        <bgColor indexed="64"/>
      </patternFill>
    </fill>
    <fill>
      <patternFill patternType="solid">
        <fgColor theme="4" tint="0.79998168889431442"/>
        <bgColor indexed="64"/>
      </patternFill>
    </fill>
    <fill>
      <patternFill patternType="solid">
        <fgColor theme="9" tint="0.7999816888943144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style="thin">
        <color indexed="64"/>
      </top>
      <bottom/>
      <diagonal/>
    </border>
    <border>
      <left style="thin">
        <color auto="1"/>
      </left>
      <right style="thin">
        <color auto="1"/>
      </right>
      <top style="thin">
        <color auto="1"/>
      </top>
      <bottom style="medium">
        <color auto="1"/>
      </bottom>
      <diagonal/>
    </border>
    <border>
      <left/>
      <right style="thin">
        <color indexed="64"/>
      </right>
      <top style="thin">
        <color indexed="64"/>
      </top>
      <bottom style="medium">
        <color auto="1"/>
      </bottom>
      <diagonal/>
    </border>
  </borders>
  <cellStyleXfs count="6">
    <xf numFmtId="0" fontId="0" fillId="0" borderId="0"/>
    <xf numFmtId="43" fontId="1" fillId="0" borderId="0" applyFont="0" applyFill="0" applyBorder="0" applyAlignment="0" applyProtection="0"/>
    <xf numFmtId="0" fontId="5" fillId="0" borderId="0"/>
    <xf numFmtId="0" fontId="6" fillId="0" borderId="0"/>
    <xf numFmtId="0" fontId="12" fillId="0" borderId="0"/>
    <xf numFmtId="9" fontId="1" fillId="0" borderId="0" applyFont="0" applyFill="0" applyBorder="0" applyAlignment="0" applyProtection="0"/>
  </cellStyleXfs>
  <cellXfs count="330">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wrapText="1"/>
    </xf>
    <xf numFmtId="0" fontId="0" fillId="0" borderId="0" xfId="0" applyBorder="1"/>
    <xf numFmtId="0" fontId="0" fillId="0" borderId="0" xfId="0" applyAlignment="1"/>
    <xf numFmtId="0" fontId="0" fillId="0" borderId="0" xfId="0" applyAlignment="1">
      <alignment horizontal="left" vertical="top"/>
    </xf>
    <xf numFmtId="0" fontId="2" fillId="2" borderId="0" xfId="0" applyFont="1" applyFill="1"/>
    <xf numFmtId="0" fontId="2" fillId="2" borderId="0" xfId="0" applyFont="1" applyFill="1" applyAlignment="1">
      <alignment wrapText="1"/>
    </xf>
    <xf numFmtId="0" fontId="4" fillId="2" borderId="0" xfId="0" applyFont="1" applyFill="1" applyAlignment="1"/>
    <xf numFmtId="0" fontId="6" fillId="0" borderId="0" xfId="4" applyFont="1" applyAlignment="1">
      <alignment horizontal="left" vertical="center"/>
    </xf>
    <xf numFmtId="0" fontId="9" fillId="3" borderId="9" xfId="4" applyFont="1" applyFill="1" applyBorder="1" applyAlignment="1">
      <alignment vertical="top" wrapText="1"/>
    </xf>
    <xf numFmtId="0" fontId="14" fillId="4" borderId="18" xfId="0" applyFont="1" applyFill="1" applyBorder="1" applyAlignment="1">
      <alignment horizontal="left" wrapText="1"/>
    </xf>
    <xf numFmtId="0" fontId="14" fillId="4" borderId="19" xfId="0" applyFont="1" applyFill="1" applyBorder="1" applyAlignment="1">
      <alignment horizontal="left" wrapText="1"/>
    </xf>
    <xf numFmtId="166" fontId="14" fillId="4" borderId="19" xfId="0" applyNumberFormat="1" applyFont="1" applyFill="1" applyBorder="1" applyAlignment="1">
      <alignment horizontal="left" wrapText="1"/>
    </xf>
    <xf numFmtId="0" fontId="14" fillId="4" borderId="20" xfId="0" applyFont="1" applyFill="1" applyBorder="1" applyAlignment="1">
      <alignment horizontal="left" wrapText="1"/>
    </xf>
    <xf numFmtId="0" fontId="14" fillId="4" borderId="1" xfId="0" applyFont="1" applyFill="1" applyBorder="1" applyAlignment="1">
      <alignment horizontal="left" wrapText="1"/>
    </xf>
    <xf numFmtId="0" fontId="14" fillId="4" borderId="1" xfId="4" applyFont="1" applyFill="1" applyBorder="1" applyAlignment="1">
      <alignment horizontal="left" wrapText="1"/>
    </xf>
    <xf numFmtId="3" fontId="14" fillId="4" borderId="21" xfId="0" applyNumberFormat="1" applyFont="1" applyFill="1" applyBorder="1" applyAlignment="1">
      <alignment horizontal="left" wrapText="1"/>
    </xf>
    <xf numFmtId="3" fontId="14" fillId="4" borderId="19" xfId="0" applyNumberFormat="1" applyFont="1" applyFill="1" applyBorder="1" applyAlignment="1">
      <alignment horizontal="left" wrapText="1"/>
    </xf>
    <xf numFmtId="3" fontId="14" fillId="4" borderId="20" xfId="0" applyNumberFormat="1" applyFont="1" applyFill="1" applyBorder="1" applyAlignment="1">
      <alignment horizontal="left" wrapText="1"/>
    </xf>
    <xf numFmtId="3" fontId="14" fillId="4" borderId="1" xfId="0" applyNumberFormat="1" applyFont="1" applyFill="1" applyBorder="1" applyAlignment="1">
      <alignment horizontal="left" wrapText="1"/>
    </xf>
    <xf numFmtId="0" fontId="15" fillId="0" borderId="5" xfId="0" applyFont="1" applyBorder="1" applyAlignment="1">
      <alignment vertical="center"/>
    </xf>
    <xf numFmtId="0" fontId="15" fillId="0" borderId="1" xfId="0" applyFont="1" applyBorder="1" applyAlignment="1">
      <alignment vertical="center"/>
    </xf>
    <xf numFmtId="3" fontId="15" fillId="0" borderId="1" xfId="1" applyNumberFormat="1" applyFont="1" applyBorder="1" applyAlignment="1">
      <alignment vertical="center"/>
    </xf>
    <xf numFmtId="3" fontId="15" fillId="0" borderId="1" xfId="0" applyNumberFormat="1" applyFont="1" applyBorder="1" applyAlignment="1">
      <alignment horizontal="right" vertical="center"/>
    </xf>
    <xf numFmtId="3" fontId="8" fillId="0" borderId="1" xfId="0" applyNumberFormat="1" applyFont="1" applyBorder="1" applyAlignment="1">
      <alignment horizontal="right" vertical="center"/>
    </xf>
    <xf numFmtId="0" fontId="8" fillId="0" borderId="1" xfId="0" applyFont="1" applyBorder="1" applyAlignment="1">
      <alignment horizontal="right" vertical="center"/>
    </xf>
    <xf numFmtId="166" fontId="15" fillId="0" borderId="1" xfId="0" applyNumberFormat="1" applyFont="1" applyBorder="1" applyAlignment="1">
      <alignment vertical="center"/>
    </xf>
    <xf numFmtId="0" fontId="8" fillId="0" borderId="1" xfId="0" applyFont="1" applyBorder="1" applyAlignment="1">
      <alignment horizontal="left" vertical="center"/>
    </xf>
    <xf numFmtId="0" fontId="7" fillId="6" borderId="0" xfId="3" applyFont="1" applyFill="1" applyAlignment="1">
      <alignment vertical="center" wrapText="1"/>
    </xf>
    <xf numFmtId="0" fontId="9" fillId="3" borderId="0" xfId="4" applyFont="1" applyFill="1" applyBorder="1" applyAlignment="1">
      <alignment horizontal="left" vertical="top" wrapText="1"/>
    </xf>
    <xf numFmtId="0" fontId="9" fillId="3" borderId="0" xfId="4" applyFont="1" applyFill="1" applyBorder="1" applyAlignment="1">
      <alignment vertical="top" wrapText="1"/>
    </xf>
    <xf numFmtId="3" fontId="9" fillId="3" borderId="0" xfId="1" applyNumberFormat="1" applyFont="1" applyFill="1" applyBorder="1" applyAlignment="1">
      <alignment horizontal="left" vertical="top" wrapText="1"/>
    </xf>
    <xf numFmtId="3" fontId="14" fillId="4" borderId="3" xfId="0" applyNumberFormat="1" applyFont="1" applyFill="1" applyBorder="1" applyAlignment="1">
      <alignment horizontal="left" wrapText="1"/>
    </xf>
    <xf numFmtId="3" fontId="9" fillId="3" borderId="0" xfId="1" applyNumberFormat="1" applyFont="1" applyFill="1" applyBorder="1" applyAlignment="1">
      <alignment vertical="top" wrapText="1"/>
    </xf>
    <xf numFmtId="0" fontId="7" fillId="6" borderId="0" xfId="3" applyFont="1" applyFill="1" applyBorder="1" applyAlignment="1">
      <alignment vertical="center" wrapText="1"/>
    </xf>
    <xf numFmtId="0" fontId="14" fillId="4" borderId="20" xfId="4" applyFont="1" applyFill="1" applyBorder="1" applyAlignment="1">
      <alignment horizontal="left" wrapText="1"/>
    </xf>
    <xf numFmtId="14" fontId="15" fillId="0" borderId="12" xfId="0" applyNumberFormat="1" applyFont="1" applyBorder="1" applyAlignment="1">
      <alignment vertical="center"/>
    </xf>
    <xf numFmtId="14" fontId="8" fillId="0" borderId="12" xfId="0" applyNumberFormat="1" applyFont="1" applyBorder="1" applyAlignment="1">
      <alignment horizontal="right" vertical="center"/>
    </xf>
    <xf numFmtId="0" fontId="13" fillId="0" borderId="0" xfId="4" applyFont="1" applyBorder="1" applyAlignment="1">
      <alignment horizontal="left"/>
    </xf>
    <xf numFmtId="0" fontId="7" fillId="6" borderId="0" xfId="3" applyFont="1" applyFill="1" applyAlignment="1">
      <alignment horizontal="left" vertical="center" wrapText="1"/>
    </xf>
    <xf numFmtId="0" fontId="19" fillId="3" borderId="10" xfId="0" applyFont="1" applyFill="1" applyBorder="1" applyAlignment="1">
      <alignment horizontal="center" vertical="center" wrapText="1"/>
    </xf>
    <xf numFmtId="0" fontId="2" fillId="5" borderId="4" xfId="0" applyFont="1" applyFill="1" applyBorder="1"/>
    <xf numFmtId="0" fontId="11" fillId="2" borderId="8" xfId="0" applyFont="1" applyFill="1" applyBorder="1" applyAlignment="1">
      <alignment horizontal="center" vertical="center"/>
    </xf>
    <xf numFmtId="0" fontId="11" fillId="2" borderId="0" xfId="0" applyFont="1" applyFill="1" applyAlignment="1">
      <alignment horizontal="center"/>
    </xf>
    <xf numFmtId="165" fontId="2" fillId="2" borderId="1" xfId="1" applyNumberFormat="1" applyFont="1" applyFill="1" applyBorder="1"/>
    <xf numFmtId="164" fontId="2" fillId="2" borderId="0" xfId="1" applyNumberFormat="1" applyFont="1" applyFill="1" applyBorder="1" applyAlignment="1">
      <alignment horizontal="left"/>
    </xf>
    <xf numFmtId="0" fontId="11" fillId="2" borderId="0" xfId="0" applyFont="1" applyFill="1" applyAlignment="1">
      <alignment horizontal="center" wrapText="1"/>
    </xf>
    <xf numFmtId="0" fontId="11" fillId="2" borderId="8" xfId="0" applyFont="1" applyFill="1" applyBorder="1" applyAlignment="1">
      <alignment horizontal="center"/>
    </xf>
    <xf numFmtId="0" fontId="11" fillId="0" borderId="0" xfId="0" applyFont="1" applyAlignment="1">
      <alignment horizontal="center"/>
    </xf>
    <xf numFmtId="0" fontId="11" fillId="0" borderId="0" xfId="0" applyFont="1"/>
    <xf numFmtId="0" fontId="21" fillId="3" borderId="9" xfId="4" applyFont="1" applyFill="1" applyBorder="1" applyAlignment="1">
      <alignment vertical="top" wrapText="1"/>
    </xf>
    <xf numFmtId="0" fontId="22" fillId="3" borderId="7" xfId="4" applyFont="1" applyFill="1" applyBorder="1" applyAlignment="1">
      <alignment horizontal="left" vertical="top" wrapText="1"/>
    </xf>
    <xf numFmtId="0" fontId="24" fillId="6" borderId="0" xfId="3" applyFont="1" applyFill="1" applyAlignment="1">
      <alignment vertical="center" wrapText="1"/>
    </xf>
    <xf numFmtId="0" fontId="17" fillId="0" borderId="1" xfId="0" applyFont="1" applyBorder="1" applyAlignment="1">
      <alignment vertical="center"/>
    </xf>
    <xf numFmtId="0" fontId="16" fillId="7" borderId="1" xfId="0" applyFont="1" applyFill="1" applyBorder="1" applyAlignment="1">
      <alignment vertical="center"/>
    </xf>
    <xf numFmtId="3" fontId="17" fillId="0" borderId="1" xfId="0" applyNumberFormat="1" applyFont="1" applyBorder="1" applyAlignment="1">
      <alignment vertical="center"/>
    </xf>
    <xf numFmtId="3" fontId="16" fillId="7" borderId="1" xfId="0" applyNumberFormat="1" applyFont="1" applyFill="1" applyBorder="1" applyAlignment="1">
      <alignment vertical="center"/>
    </xf>
    <xf numFmtId="0" fontId="18" fillId="8" borderId="1" xfId="0" applyFont="1" applyFill="1" applyBorder="1" applyAlignment="1">
      <alignment vertical="center"/>
    </xf>
    <xf numFmtId="0" fontId="23" fillId="6" borderId="11" xfId="3" applyFont="1" applyFill="1" applyBorder="1" applyAlignment="1">
      <alignment vertical="center" wrapText="1"/>
    </xf>
    <xf numFmtId="0" fontId="29" fillId="6" borderId="6" xfId="3" applyFont="1" applyFill="1" applyBorder="1" applyAlignment="1">
      <alignment vertical="center" wrapText="1"/>
    </xf>
    <xf numFmtId="0" fontId="7" fillId="5" borderId="0" xfId="3" applyFont="1" applyFill="1" applyAlignment="1">
      <alignment vertical="center" wrapText="1"/>
    </xf>
    <xf numFmtId="0" fontId="28" fillId="5" borderId="0" xfId="2" applyFont="1" applyFill="1" applyAlignment="1">
      <alignment vertical="top"/>
    </xf>
    <xf numFmtId="0" fontId="23" fillId="6" borderId="0" xfId="3" applyFont="1" applyFill="1" applyAlignment="1">
      <alignment vertical="center" wrapText="1"/>
    </xf>
    <xf numFmtId="0" fontId="0" fillId="2" borderId="0" xfId="0" applyFill="1"/>
    <xf numFmtId="0" fontId="28" fillId="2" borderId="0" xfId="2" applyFont="1" applyFill="1" applyAlignment="1">
      <alignment vertical="top"/>
    </xf>
    <xf numFmtId="0" fontId="31" fillId="3" borderId="23" xfId="0" applyFont="1" applyFill="1" applyBorder="1" applyAlignment="1">
      <alignment horizontal="center" vertical="center" wrapText="1"/>
    </xf>
    <xf numFmtId="0" fontId="31" fillId="3" borderId="24" xfId="0" applyFont="1" applyFill="1" applyBorder="1" applyAlignment="1">
      <alignment horizontal="center" vertical="center" wrapText="1"/>
    </xf>
    <xf numFmtId="0" fontId="32" fillId="4" borderId="25" xfId="0" applyFont="1" applyFill="1" applyBorder="1"/>
    <xf numFmtId="41" fontId="33" fillId="4" borderId="4" xfId="0" applyNumberFormat="1" applyFont="1" applyFill="1" applyBorder="1" applyAlignment="1">
      <alignment horizontal="center"/>
    </xf>
    <xf numFmtId="167" fontId="33" fillId="4" borderId="4" xfId="0" applyNumberFormat="1" applyFont="1" applyFill="1" applyBorder="1" applyAlignment="1">
      <alignment horizontal="center"/>
    </xf>
    <xf numFmtId="0" fontId="32" fillId="9" borderId="1" xfId="0" applyFont="1" applyFill="1" applyBorder="1" applyAlignment="1">
      <alignment vertical="center"/>
    </xf>
    <xf numFmtId="3" fontId="32" fillId="9" borderId="1" xfId="0" applyNumberFormat="1" applyFont="1" applyFill="1" applyBorder="1" applyAlignment="1">
      <alignment vertical="center"/>
    </xf>
    <xf numFmtId="168" fontId="32" fillId="9" borderId="1" xfId="0" applyNumberFormat="1" applyFont="1" applyFill="1" applyBorder="1" applyAlignment="1">
      <alignment vertical="center"/>
    </xf>
    <xf numFmtId="0" fontId="8" fillId="0" borderId="1" xfId="0" applyFont="1" applyBorder="1" applyAlignment="1">
      <alignment horizontal="left" indent="1"/>
    </xf>
    <xf numFmtId="3" fontId="8" fillId="0" borderId="1" xfId="0" applyNumberFormat="1" applyFont="1" applyBorder="1"/>
    <xf numFmtId="168" fontId="8" fillId="0" borderId="1" xfId="0" applyNumberFormat="1" applyFont="1" applyBorder="1"/>
    <xf numFmtId="0" fontId="7" fillId="2" borderId="0" xfId="3" applyFont="1" applyFill="1" applyAlignment="1">
      <alignment vertical="center" wrapText="1"/>
    </xf>
    <xf numFmtId="0" fontId="7" fillId="2" borderId="0" xfId="3" applyFont="1" applyFill="1" applyBorder="1" applyAlignment="1">
      <alignment vertical="center" wrapText="1"/>
    </xf>
    <xf numFmtId="0" fontId="2" fillId="2" borderId="0" xfId="0" applyFont="1" applyFill="1" applyAlignment="1">
      <alignment horizontal="left"/>
    </xf>
    <xf numFmtId="0" fontId="11" fillId="2" borderId="0" xfId="0" applyFont="1" applyFill="1" applyAlignment="1">
      <alignment horizontal="left"/>
    </xf>
    <xf numFmtId="165" fontId="2" fillId="2" borderId="0" xfId="1" applyNumberFormat="1" applyFont="1" applyFill="1" applyBorder="1"/>
    <xf numFmtId="165" fontId="19" fillId="3" borderId="1" xfId="0" applyNumberFormat="1" applyFont="1" applyFill="1" applyBorder="1" applyAlignment="1">
      <alignment horizontal="center" vertical="center" wrapText="1"/>
    </xf>
    <xf numFmtId="164" fontId="2" fillId="2" borderId="1" xfId="1" applyNumberFormat="1" applyFont="1" applyFill="1" applyBorder="1" applyAlignment="1"/>
    <xf numFmtId="164" fontId="2" fillId="2" borderId="1" xfId="1" applyNumberFormat="1" applyFont="1" applyFill="1" applyBorder="1" applyAlignment="1">
      <alignment horizontal="center"/>
    </xf>
    <xf numFmtId="0" fontId="11" fillId="2" borderId="7" xfId="0" applyFont="1" applyFill="1" applyBorder="1" applyAlignment="1">
      <alignment horizontal="center" vertical="center"/>
    </xf>
    <xf numFmtId="0" fontId="2" fillId="5" borderId="25" xfId="0" applyFont="1" applyFill="1" applyBorder="1"/>
    <xf numFmtId="164" fontId="2" fillId="2" borderId="2" xfId="1" applyNumberFormat="1" applyFont="1" applyFill="1" applyBorder="1" applyAlignment="1">
      <alignment horizontal="left"/>
    </xf>
    <xf numFmtId="164" fontId="2" fillId="2" borderId="5" xfId="1" applyNumberFormat="1" applyFont="1" applyFill="1" applyBorder="1" applyAlignment="1">
      <alignment horizontal="left"/>
    </xf>
    <xf numFmtId="164" fontId="2" fillId="2" borderId="7" xfId="1" applyNumberFormat="1" applyFont="1" applyFill="1" applyBorder="1" applyAlignment="1">
      <alignment horizontal="left"/>
    </xf>
    <xf numFmtId="0" fontId="2" fillId="0" borderId="7" xfId="0" applyFont="1" applyBorder="1"/>
    <xf numFmtId="0" fontId="11" fillId="0" borderId="8" xfId="0" applyFont="1" applyBorder="1" applyAlignment="1">
      <alignment horizontal="center"/>
    </xf>
    <xf numFmtId="0" fontId="19" fillId="3" borderId="5" xfId="0" applyFont="1" applyFill="1" applyBorder="1" applyAlignment="1">
      <alignment horizontal="center" vertical="center" wrapText="1"/>
    </xf>
    <xf numFmtId="0" fontId="2" fillId="5" borderId="5" xfId="0" applyFont="1" applyFill="1" applyBorder="1"/>
    <xf numFmtId="164" fontId="2" fillId="2" borderId="2" xfId="1" applyNumberFormat="1" applyFont="1" applyFill="1" applyBorder="1" applyAlignment="1">
      <alignment horizontal="right"/>
    </xf>
    <xf numFmtId="164" fontId="2" fillId="2" borderId="5" xfId="1" applyNumberFormat="1" applyFont="1" applyFill="1" applyBorder="1" applyAlignment="1">
      <alignment horizontal="right"/>
    </xf>
    <xf numFmtId="9" fontId="2" fillId="2" borderId="3" xfId="5" applyFont="1" applyFill="1" applyBorder="1" applyAlignment="1">
      <alignment horizontal="right"/>
    </xf>
    <xf numFmtId="9" fontId="2" fillId="2" borderId="1" xfId="5" applyFont="1" applyFill="1" applyBorder="1" applyAlignment="1">
      <alignment horizontal="right"/>
    </xf>
    <xf numFmtId="9" fontId="2" fillId="5" borderId="4" xfId="5" applyFont="1" applyFill="1" applyBorder="1"/>
    <xf numFmtId="41" fontId="2" fillId="2" borderId="30" xfId="1" applyNumberFormat="1" applyFont="1" applyFill="1" applyBorder="1" applyAlignment="1">
      <alignment horizontal="left"/>
    </xf>
    <xf numFmtId="41" fontId="2" fillId="5" borderId="33" xfId="1" applyNumberFormat="1" applyFont="1" applyFill="1" applyBorder="1"/>
    <xf numFmtId="164" fontId="2" fillId="5" borderId="4" xfId="1" applyNumberFormat="1" applyFont="1" applyFill="1" applyBorder="1"/>
    <xf numFmtId="41" fontId="2" fillId="5" borderId="1" xfId="1" applyNumberFormat="1" applyFont="1" applyFill="1" applyBorder="1"/>
    <xf numFmtId="41" fontId="2" fillId="5" borderId="1" xfId="0" applyNumberFormat="1" applyFont="1" applyFill="1" applyBorder="1"/>
    <xf numFmtId="167" fontId="2" fillId="5" borderId="1" xfId="1" applyNumberFormat="1" applyFont="1" applyFill="1" applyBorder="1"/>
    <xf numFmtId="167" fontId="2" fillId="5" borderId="1" xfId="0" applyNumberFormat="1" applyFont="1" applyFill="1" applyBorder="1"/>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167" fontId="2" fillId="2" borderId="1" xfId="1" applyNumberFormat="1" applyFont="1" applyFill="1" applyBorder="1" applyAlignment="1">
      <alignment horizontal="left"/>
    </xf>
    <xf numFmtId="167" fontId="2" fillId="5" borderId="4" xfId="1" applyNumberFormat="1" applyFont="1" applyFill="1" applyBorder="1"/>
    <xf numFmtId="167" fontId="2" fillId="5" borderId="4" xfId="0" applyNumberFormat="1" applyFont="1" applyFill="1" applyBorder="1"/>
    <xf numFmtId="167" fontId="2" fillId="2" borderId="3" xfId="1" applyNumberFormat="1" applyFont="1" applyFill="1" applyBorder="1" applyAlignment="1">
      <alignment horizontal="left"/>
    </xf>
    <xf numFmtId="16" fontId="0" fillId="0" borderId="0" xfId="0" applyNumberFormat="1"/>
    <xf numFmtId="4" fontId="0" fillId="0" borderId="0" xfId="0" applyNumberFormat="1"/>
    <xf numFmtId="3" fontId="2" fillId="2" borderId="0" xfId="0" applyNumberFormat="1" applyFont="1" applyFill="1"/>
    <xf numFmtId="16" fontId="11" fillId="2" borderId="8" xfId="0" applyNumberFormat="1" applyFont="1" applyFill="1" applyBorder="1" applyAlignment="1">
      <alignment horizontal="center"/>
    </xf>
    <xf numFmtId="16" fontId="2" fillId="0" borderId="0" xfId="0" applyNumberFormat="1" applyFont="1"/>
    <xf numFmtId="4" fontId="11" fillId="2" borderId="8" xfId="0" applyNumberFormat="1" applyFont="1" applyFill="1" applyBorder="1" applyAlignment="1">
      <alignment horizontal="center"/>
    </xf>
    <xf numFmtId="4" fontId="2" fillId="0" borderId="0" xfId="0" applyNumberFormat="1" applyFont="1"/>
    <xf numFmtId="4" fontId="2" fillId="0" borderId="0" xfId="0" applyNumberFormat="1" applyFont="1" applyAlignment="1">
      <alignment horizontal="center" wrapText="1"/>
    </xf>
    <xf numFmtId="16" fontId="2" fillId="2" borderId="0" xfId="0" applyNumberFormat="1" applyFont="1" applyFill="1"/>
    <xf numFmtId="16" fontId="11" fillId="0" borderId="0" xfId="0" applyNumberFormat="1" applyFont="1" applyAlignment="1">
      <alignment horizontal="center"/>
    </xf>
    <xf numFmtId="4" fontId="11" fillId="0" borderId="0" xfId="0" applyNumberFormat="1" applyFont="1" applyAlignment="1">
      <alignment horizontal="center"/>
    </xf>
    <xf numFmtId="4" fontId="11" fillId="0" borderId="0" xfId="0" applyNumberFormat="1" applyFont="1"/>
    <xf numFmtId="3" fontId="2" fillId="0" borderId="0" xfId="0" applyNumberFormat="1" applyFont="1"/>
    <xf numFmtId="3" fontId="11" fillId="2" borderId="8" xfId="0" applyNumberFormat="1" applyFont="1" applyFill="1" applyBorder="1" applyAlignment="1">
      <alignment horizontal="center"/>
    </xf>
    <xf numFmtId="0" fontId="10" fillId="3" borderId="23" xfId="0" applyFont="1" applyFill="1" applyBorder="1" applyAlignment="1">
      <alignment horizontal="left" vertical="top" wrapText="1"/>
    </xf>
    <xf numFmtId="0" fontId="10" fillId="3" borderId="27" xfId="0" applyFont="1" applyFill="1" applyBorder="1" applyAlignment="1">
      <alignment horizontal="left" vertical="top" wrapText="1"/>
    </xf>
    <xf numFmtId="0" fontId="8" fillId="0" borderId="38" xfId="0" applyFont="1" applyBorder="1" applyAlignment="1">
      <alignment horizontal="left" vertical="top" wrapText="1"/>
    </xf>
    <xf numFmtId="0" fontId="8" fillId="2" borderId="38" xfId="0" applyFont="1" applyFill="1" applyBorder="1" applyAlignment="1">
      <alignment horizontal="left" vertical="top" wrapText="1"/>
    </xf>
    <xf numFmtId="0" fontId="0" fillId="0" borderId="7" xfId="0" applyBorder="1" applyAlignment="1">
      <alignment horizontal="left" vertical="top"/>
    </xf>
    <xf numFmtId="0" fontId="8" fillId="0" borderId="10" xfId="0" applyFont="1" applyBorder="1" applyAlignment="1">
      <alignment horizontal="left" vertical="top"/>
    </xf>
    <xf numFmtId="0" fontId="8" fillId="0" borderId="2" xfId="0" applyFont="1" applyBorder="1" applyAlignment="1">
      <alignment horizontal="left" vertical="top"/>
    </xf>
    <xf numFmtId="0" fontId="0" fillId="0" borderId="2" xfId="0" applyBorder="1" applyAlignment="1">
      <alignment horizontal="left" vertical="top"/>
    </xf>
    <xf numFmtId="49" fontId="34" fillId="2" borderId="38" xfId="0" applyNumberFormat="1" applyFont="1" applyFill="1" applyBorder="1" applyAlignment="1">
      <alignment vertical="top" wrapText="1"/>
    </xf>
    <xf numFmtId="49" fontId="34" fillId="0" borderId="38" xfId="0" applyNumberFormat="1" applyFont="1" applyBorder="1" applyAlignment="1">
      <alignment vertical="top" wrapText="1"/>
    </xf>
    <xf numFmtId="41" fontId="2" fillId="2" borderId="38" xfId="1" applyNumberFormat="1" applyFont="1" applyFill="1" applyBorder="1" applyAlignment="1">
      <alignment horizontal="left"/>
    </xf>
    <xf numFmtId="3" fontId="11" fillId="0" borderId="8" xfId="0" applyNumberFormat="1" applyFont="1" applyBorder="1" applyAlignment="1">
      <alignment horizontal="center"/>
    </xf>
    <xf numFmtId="3" fontId="11" fillId="0" borderId="0" xfId="0" applyNumberFormat="1" applyFont="1" applyAlignment="1">
      <alignment horizontal="center"/>
    </xf>
    <xf numFmtId="169" fontId="17" fillId="0" borderId="1" xfId="0" applyNumberFormat="1" applyFont="1" applyBorder="1" applyAlignment="1">
      <alignment vertical="center"/>
    </xf>
    <xf numFmtId="169" fontId="16" fillId="7" borderId="1" xfId="0" applyNumberFormat="1" applyFont="1" applyFill="1" applyBorder="1" applyAlignment="1">
      <alignment vertical="center"/>
    </xf>
    <xf numFmtId="0" fontId="19" fillId="3" borderId="1" xfId="0" applyFont="1" applyFill="1" applyBorder="1" applyAlignment="1">
      <alignment horizontal="center" vertical="center" wrapText="1"/>
    </xf>
    <xf numFmtId="164" fontId="2" fillId="2" borderId="1" xfId="1" applyNumberFormat="1" applyFont="1" applyFill="1" applyBorder="1" applyAlignment="1">
      <alignment horizontal="left"/>
    </xf>
    <xf numFmtId="0" fontId="0" fillId="0" borderId="1" xfId="0" applyBorder="1"/>
    <xf numFmtId="0" fontId="35" fillId="0" borderId="1" xfId="0" applyFont="1" applyBorder="1" applyAlignment="1">
      <alignment horizontal="right"/>
    </xf>
    <xf numFmtId="164" fontId="2" fillId="5" borderId="1" xfId="1" applyNumberFormat="1" applyFont="1" applyFill="1" applyBorder="1" applyAlignment="1">
      <alignment horizontal="left"/>
    </xf>
    <xf numFmtId="164" fontId="30" fillId="2" borderId="1" xfId="1" applyNumberFormat="1" applyFont="1" applyFill="1" applyBorder="1" applyAlignment="1">
      <alignment horizontal="right"/>
    </xf>
    <xf numFmtId="164" fontId="2" fillId="5" borderId="3" xfId="1" applyNumberFormat="1" applyFont="1" applyFill="1" applyBorder="1" applyAlignment="1">
      <alignment horizontal="left"/>
    </xf>
    <xf numFmtId="164" fontId="2" fillId="0" borderId="4" xfId="1" applyNumberFormat="1" applyFont="1" applyFill="1" applyBorder="1"/>
    <xf numFmtId="0" fontId="2" fillId="0" borderId="1" xfId="0" applyFont="1" applyBorder="1"/>
    <xf numFmtId="0" fontId="19" fillId="3" borderId="1" xfId="0" applyFont="1" applyFill="1" applyBorder="1" applyAlignment="1">
      <alignment horizontal="center" vertical="center" wrapText="1"/>
    </xf>
    <xf numFmtId="0" fontId="11" fillId="2" borderId="8" xfId="0" applyFont="1" applyFill="1" applyBorder="1" applyAlignment="1">
      <alignment horizontal="left" vertical="center"/>
    </xf>
    <xf numFmtId="0" fontId="2" fillId="4" borderId="31" xfId="0" applyFont="1" applyFill="1" applyBorder="1" applyAlignment="1">
      <alignment horizontal="center" vertical="center"/>
    </xf>
    <xf numFmtId="0" fontId="2" fillId="4" borderId="32" xfId="0" applyFont="1" applyFill="1" applyBorder="1" applyAlignment="1">
      <alignment horizontal="center" vertical="center"/>
    </xf>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41" fontId="2" fillId="5" borderId="4" xfId="0" applyNumberFormat="1" applyFont="1" applyFill="1" applyBorder="1" applyAlignment="1">
      <alignment horizontal="right"/>
    </xf>
    <xf numFmtId="0" fontId="11" fillId="2" borderId="0" xfId="0" applyFont="1" applyFill="1" applyAlignment="1">
      <alignment horizontal="left" vertical="center" wrapText="1"/>
    </xf>
    <xf numFmtId="0" fontId="8" fillId="0" borderId="7" xfId="0" applyFont="1" applyBorder="1" applyAlignment="1">
      <alignment horizontal="left" vertical="top" wrapText="1"/>
    </xf>
    <xf numFmtId="0" fontId="8" fillId="0" borderId="5" xfId="0" applyFont="1" applyBorder="1" applyAlignment="1">
      <alignment horizontal="left" vertical="top" wrapText="1"/>
    </xf>
    <xf numFmtId="0" fontId="26" fillId="2" borderId="0" xfId="0" applyFont="1" applyFill="1" applyBorder="1" applyAlignment="1">
      <alignment horizontal="left" vertical="center" wrapText="1"/>
    </xf>
    <xf numFmtId="0" fontId="28" fillId="5" borderId="0" xfId="2" applyFont="1" applyFill="1" applyAlignment="1">
      <alignment horizontal="left" vertical="top"/>
    </xf>
    <xf numFmtId="0" fontId="28" fillId="0" borderId="0" xfId="2" applyFont="1" applyAlignment="1">
      <alignment horizontal="left" vertical="top"/>
    </xf>
    <xf numFmtId="0" fontId="23" fillId="6" borderId="0" xfId="3" applyFont="1" applyFill="1" applyAlignment="1">
      <alignment horizontal="left" vertical="center" wrapText="1"/>
    </xf>
    <xf numFmtId="0" fontId="26" fillId="2" borderId="0" xfId="0" applyFont="1" applyFill="1" applyBorder="1" applyAlignment="1">
      <alignment horizontal="left" wrapText="1"/>
    </xf>
    <xf numFmtId="0" fontId="27" fillId="2" borderId="0" xfId="0" applyFont="1" applyFill="1" applyBorder="1" applyAlignment="1">
      <alignment horizontal="left" vertical="center" wrapText="1"/>
    </xf>
    <xf numFmtId="0" fontId="2" fillId="4" borderId="28"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29" xfId="0" applyFont="1" applyFill="1" applyBorder="1" applyAlignment="1">
      <alignment horizontal="center" vertical="center"/>
    </xf>
    <xf numFmtId="0" fontId="19" fillId="3" borderId="1" xfId="0" applyFont="1" applyFill="1" applyBorder="1" applyAlignment="1">
      <alignment horizontal="center" vertical="center" wrapText="1"/>
    </xf>
    <xf numFmtId="0" fontId="3" fillId="4" borderId="23" xfId="0" applyFont="1" applyFill="1" applyBorder="1" applyAlignment="1">
      <alignment horizontal="center" vertical="center"/>
    </xf>
    <xf numFmtId="0" fontId="3" fillId="4" borderId="24" xfId="0" applyFont="1" applyFill="1" applyBorder="1" applyAlignment="1">
      <alignment horizontal="center" vertical="center"/>
    </xf>
    <xf numFmtId="0" fontId="3" fillId="4" borderId="27" xfId="0" applyFont="1" applyFill="1" applyBorder="1" applyAlignment="1">
      <alignment horizontal="center" vertical="center"/>
    </xf>
    <xf numFmtId="0" fontId="11" fillId="2" borderId="7" xfId="0" applyFont="1" applyFill="1" applyBorder="1" applyAlignment="1">
      <alignment horizontal="left" vertical="center" wrapText="1"/>
    </xf>
    <xf numFmtId="0" fontId="11" fillId="4" borderId="28"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29" xfId="0" applyFont="1" applyFill="1" applyBorder="1" applyAlignment="1">
      <alignment horizontal="center" vertical="center"/>
    </xf>
    <xf numFmtId="0" fontId="2" fillId="5" borderId="4" xfId="0" applyFont="1" applyFill="1" applyBorder="1" applyAlignment="1">
      <alignment horizontal="left"/>
    </xf>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0" fontId="2" fillId="4" borderId="12" xfId="0" applyFont="1" applyFill="1" applyBorder="1" applyAlignment="1">
      <alignment horizontal="center" vertical="center"/>
    </xf>
    <xf numFmtId="0" fontId="2" fillId="4" borderId="37" xfId="0" applyFont="1" applyFill="1" applyBorder="1" applyAlignment="1">
      <alignment horizontal="center" vertical="center"/>
    </xf>
    <xf numFmtId="0" fontId="19" fillId="3" borderId="16"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19" fillId="3" borderId="22" xfId="0" applyFont="1" applyFill="1" applyBorder="1" applyAlignment="1">
      <alignment horizontal="center" vertical="center" wrapText="1"/>
    </xf>
    <xf numFmtId="0" fontId="2" fillId="5" borderId="14" xfId="0" applyFont="1" applyFill="1" applyBorder="1" applyAlignment="1">
      <alignment horizontal="center"/>
    </xf>
    <xf numFmtId="0" fontId="2" fillId="5" borderId="15" xfId="0" applyFont="1" applyFill="1" applyBorder="1" applyAlignment="1">
      <alignment horizontal="center"/>
    </xf>
    <xf numFmtId="164" fontId="2" fillId="2" borderId="16" xfId="1" applyNumberFormat="1" applyFont="1" applyFill="1" applyBorder="1" applyAlignment="1">
      <alignment horizontal="left" wrapText="1"/>
    </xf>
    <xf numFmtId="164" fontId="2" fillId="2" borderId="17" xfId="1" applyNumberFormat="1" applyFont="1" applyFill="1" applyBorder="1" applyAlignment="1">
      <alignment horizontal="left" wrapText="1"/>
    </xf>
    <xf numFmtId="164" fontId="2" fillId="5" borderId="14" xfId="1" applyNumberFormat="1" applyFont="1" applyFill="1" applyBorder="1" applyAlignment="1">
      <alignment horizontal="center"/>
    </xf>
    <xf numFmtId="164" fontId="2" fillId="5" borderId="26" xfId="1" applyNumberFormat="1" applyFont="1" applyFill="1" applyBorder="1" applyAlignment="1">
      <alignment horizontal="center"/>
    </xf>
    <xf numFmtId="164" fontId="2" fillId="5" borderId="15" xfId="1" applyNumberFormat="1" applyFont="1" applyFill="1" applyBorder="1" applyAlignment="1">
      <alignment horizontal="center"/>
    </xf>
    <xf numFmtId="0" fontId="11" fillId="0" borderId="7" xfId="0" applyFont="1" applyBorder="1" applyAlignment="1">
      <alignment horizontal="left" vertical="center"/>
    </xf>
    <xf numFmtId="0" fontId="11" fillId="2" borderId="7" xfId="0" applyFont="1" applyFill="1" applyBorder="1" applyAlignment="1">
      <alignment horizontal="left" vertical="center"/>
    </xf>
    <xf numFmtId="0" fontId="11" fillId="2" borderId="8" xfId="0" applyFont="1" applyFill="1" applyBorder="1" applyAlignment="1">
      <alignment horizontal="left" vertical="center"/>
    </xf>
    <xf numFmtId="0" fontId="11" fillId="2" borderId="7" xfId="0" applyFont="1" applyFill="1" applyBorder="1" applyAlignment="1">
      <alignment vertical="center" wrapText="1"/>
    </xf>
    <xf numFmtId="164" fontId="2" fillId="2" borderId="34" xfId="1" applyNumberFormat="1" applyFont="1" applyFill="1" applyBorder="1" applyAlignment="1">
      <alignment horizontal="center"/>
    </xf>
    <xf numFmtId="164" fontId="2" fillId="2" borderId="35" xfId="1" applyNumberFormat="1" applyFont="1" applyFill="1" applyBorder="1" applyAlignment="1">
      <alignment horizontal="center"/>
    </xf>
    <xf numFmtId="164" fontId="2" fillId="2" borderId="36" xfId="1" applyNumberFormat="1" applyFont="1" applyFill="1" applyBorder="1" applyAlignment="1">
      <alignment horizontal="center"/>
    </xf>
    <xf numFmtId="164" fontId="2" fillId="2" borderId="12" xfId="1" applyNumberFormat="1" applyFont="1" applyFill="1" applyBorder="1" applyAlignment="1">
      <alignment horizontal="center"/>
    </xf>
    <xf numFmtId="164" fontId="2" fillId="2" borderId="13" xfId="1" applyNumberFormat="1" applyFont="1" applyFill="1" applyBorder="1" applyAlignment="1">
      <alignment horizontal="center"/>
    </xf>
    <xf numFmtId="164" fontId="2" fillId="2" borderId="37" xfId="1" applyNumberFormat="1" applyFont="1" applyFill="1" applyBorder="1" applyAlignment="1">
      <alignment horizontal="center"/>
    </xf>
    <xf numFmtId="164" fontId="2" fillId="4" borderId="14" xfId="1" applyNumberFormat="1" applyFont="1" applyFill="1" applyBorder="1" applyAlignment="1">
      <alignment horizontal="center"/>
    </xf>
    <xf numFmtId="164" fontId="2" fillId="4" borderId="26" xfId="1" applyNumberFormat="1" applyFont="1" applyFill="1" applyBorder="1" applyAlignment="1">
      <alignment horizontal="center"/>
    </xf>
    <xf numFmtId="164" fontId="2" fillId="4" borderId="15" xfId="1" applyNumberFormat="1" applyFont="1" applyFill="1" applyBorder="1" applyAlignment="1">
      <alignment horizontal="center"/>
    </xf>
    <xf numFmtId="3" fontId="9" fillId="3" borderId="0" xfId="1" applyNumberFormat="1" applyFont="1" applyFill="1" applyBorder="1" applyAlignment="1">
      <alignment horizontal="left" vertical="top" wrapText="1"/>
    </xf>
    <xf numFmtId="0" fontId="20" fillId="2" borderId="1" xfId="0" applyFont="1" applyFill="1" applyBorder="1" applyAlignment="1">
      <alignment horizontal="center" vertical="center"/>
    </xf>
    <xf numFmtId="0" fontId="9" fillId="3" borderId="0" xfId="4" applyFont="1" applyFill="1" applyBorder="1" applyAlignment="1">
      <alignment horizontal="left" vertical="top" wrapText="1"/>
    </xf>
    <xf numFmtId="0" fontId="9" fillId="3" borderId="9" xfId="4" applyFont="1" applyFill="1" applyBorder="1" applyAlignment="1">
      <alignment horizontal="left" vertical="top" wrapText="1"/>
    </xf>
    <xf numFmtId="0" fontId="11" fillId="2" borderId="0" xfId="0" applyFont="1" applyFill="1" applyAlignment="1">
      <alignment horizontal="left" vertical="center" wrapText="1"/>
    </xf>
    <xf numFmtId="0" fontId="2" fillId="0" borderId="0" xfId="0" applyFont="1" applyAlignment="1">
      <alignment vertical="top" wrapText="1"/>
    </xf>
    <xf numFmtId="0" fontId="28" fillId="2" borderId="0" xfId="2" applyFont="1" applyFill="1" applyAlignment="1">
      <alignment horizontal="left" vertical="top"/>
    </xf>
    <xf numFmtId="0" fontId="8" fillId="0" borderId="39" xfId="0" applyFont="1" applyBorder="1" applyAlignment="1">
      <alignment horizontal="left" vertical="top" wrapText="1"/>
    </xf>
    <xf numFmtId="0" fontId="8" fillId="0" borderId="2" xfId="0" applyFont="1" applyBorder="1" applyAlignment="1">
      <alignment horizontal="left" vertical="top" wrapText="1"/>
    </xf>
    <xf numFmtId="0" fontId="8" fillId="0" borderId="5" xfId="0" applyFont="1" applyBorder="1" applyAlignment="1">
      <alignment horizontal="left" vertical="top" wrapText="1"/>
    </xf>
    <xf numFmtId="0" fontId="8" fillId="0" borderId="40" xfId="0" applyFont="1" applyBorder="1" applyAlignment="1">
      <alignment horizontal="left" vertical="top" wrapText="1"/>
    </xf>
    <xf numFmtId="0" fontId="8" fillId="0" borderId="7" xfId="0" applyFont="1" applyBorder="1" applyAlignment="1">
      <alignment horizontal="left" vertical="top" wrapText="1"/>
    </xf>
    <xf numFmtId="0" fontId="8" fillId="0" borderId="41" xfId="0" applyFont="1" applyBorder="1" applyAlignment="1">
      <alignment horizontal="left" vertical="top" wrapText="1"/>
    </xf>
    <xf numFmtId="0" fontId="8" fillId="0" borderId="10" xfId="0" applyFont="1" applyBorder="1" applyAlignment="1">
      <alignment horizontal="left" vertical="top" wrapText="1"/>
    </xf>
    <xf numFmtId="164" fontId="2" fillId="0" borderId="0" xfId="1" applyNumberFormat="1" applyFont="1" applyFill="1" applyBorder="1" applyAlignment="1">
      <alignment horizontal="left"/>
    </xf>
    <xf numFmtId="16" fontId="19" fillId="0" borderId="0" xfId="0" applyNumberFormat="1" applyFont="1" applyAlignment="1">
      <alignment horizontal="center" vertical="center" wrapText="1"/>
    </xf>
    <xf numFmtId="0" fontId="19" fillId="0" borderId="0" xfId="0" applyFont="1" applyAlignment="1">
      <alignment horizontal="center" vertical="center" wrapText="1"/>
    </xf>
    <xf numFmtId="0" fontId="11" fillId="0" borderId="0" xfId="0" applyFont="1" applyAlignment="1">
      <alignment horizontal="left" vertical="center"/>
    </xf>
    <xf numFmtId="0" fontId="2" fillId="0" borderId="8" xfId="0" applyFont="1" applyBorder="1"/>
    <xf numFmtId="170" fontId="2" fillId="2" borderId="1" xfId="1" applyNumberFormat="1" applyFont="1" applyFill="1" applyBorder="1" applyAlignment="1">
      <alignment horizontal="left"/>
    </xf>
    <xf numFmtId="41" fontId="2" fillId="2" borderId="1" xfId="1" applyNumberFormat="1" applyFont="1" applyFill="1" applyBorder="1" applyAlignment="1">
      <alignment horizontal="right"/>
    </xf>
    <xf numFmtId="170" fontId="2" fillId="2" borderId="3" xfId="1" applyNumberFormat="1" applyFont="1" applyFill="1" applyBorder="1" applyAlignment="1">
      <alignment horizontal="left"/>
    </xf>
    <xf numFmtId="41" fontId="2" fillId="2" borderId="3" xfId="1" applyNumberFormat="1" applyFont="1" applyFill="1" applyBorder="1" applyAlignment="1">
      <alignment horizontal="right"/>
    </xf>
    <xf numFmtId="170" fontId="2" fillId="5" borderId="4" xfId="0" applyNumberFormat="1" applyFont="1" applyFill="1" applyBorder="1"/>
    <xf numFmtId="16" fontId="2" fillId="0" borderId="8" xfId="0" applyNumberFormat="1" applyFont="1" applyBorder="1"/>
    <xf numFmtId="16" fontId="11" fillId="2" borderId="0" xfId="0" applyNumberFormat="1" applyFont="1" applyFill="1" applyAlignment="1">
      <alignment horizontal="center"/>
    </xf>
    <xf numFmtId="0" fontId="11" fillId="2" borderId="0" xfId="0" applyFont="1" applyFill="1" applyAlignment="1">
      <alignment horizontal="left" vertical="center"/>
    </xf>
    <xf numFmtId="167" fontId="2" fillId="2" borderId="0" xfId="1" applyNumberFormat="1" applyFont="1" applyFill="1" applyBorder="1" applyAlignment="1">
      <alignment horizontal="left"/>
    </xf>
    <xf numFmtId="4" fontId="2" fillId="2" borderId="0" xfId="0" applyNumberFormat="1" applyFont="1" applyFill="1"/>
    <xf numFmtId="4" fontId="2" fillId="2" borderId="8" xfId="0" applyNumberFormat="1" applyFont="1" applyFill="1" applyBorder="1"/>
    <xf numFmtId="4" fontId="11" fillId="2" borderId="0" xfId="0" applyNumberFormat="1" applyFont="1" applyFill="1" applyAlignment="1">
      <alignment horizontal="center"/>
    </xf>
    <xf numFmtId="3" fontId="11" fillId="2" borderId="0" xfId="0" applyNumberFormat="1" applyFont="1" applyFill="1" applyAlignment="1">
      <alignment horizontal="center"/>
    </xf>
    <xf numFmtId="41" fontId="11" fillId="2" borderId="0" xfId="0" applyNumberFormat="1" applyFont="1" applyFill="1" applyAlignment="1">
      <alignment horizontal="center"/>
    </xf>
    <xf numFmtId="0" fontId="11" fillId="2" borderId="42" xfId="0" applyFont="1" applyFill="1" applyBorder="1" applyAlignment="1">
      <alignment horizontal="center"/>
    </xf>
    <xf numFmtId="0" fontId="2" fillId="2" borderId="8" xfId="0" applyFont="1" applyFill="1" applyBorder="1"/>
    <xf numFmtId="164" fontId="2" fillId="10" borderId="1" xfId="1" applyNumberFormat="1" applyFont="1" applyFill="1" applyBorder="1" applyAlignment="1">
      <alignment horizontal="center"/>
    </xf>
    <xf numFmtId="164" fontId="2" fillId="10" borderId="1" xfId="1" applyNumberFormat="1" applyFont="1" applyFill="1" applyBorder="1" applyAlignment="1">
      <alignment horizontal="left"/>
    </xf>
    <xf numFmtId="164" fontId="11" fillId="10" borderId="1" xfId="1" applyNumberFormat="1" applyFont="1" applyFill="1" applyBorder="1" applyAlignment="1">
      <alignment horizontal="left"/>
    </xf>
    <xf numFmtId="3" fontId="2" fillId="2" borderId="8" xfId="0" applyNumberFormat="1" applyFont="1" applyFill="1" applyBorder="1"/>
    <xf numFmtId="164" fontId="37" fillId="10" borderId="1" xfId="1" applyNumberFormat="1" applyFont="1" applyFill="1" applyBorder="1" applyAlignment="1">
      <alignment horizontal="right"/>
    </xf>
    <xf numFmtId="164" fontId="2" fillId="2" borderId="0" xfId="0" applyNumberFormat="1" applyFont="1" applyFill="1"/>
    <xf numFmtId="164" fontId="2" fillId="10" borderId="1" xfId="1" applyNumberFormat="1" applyFont="1" applyFill="1" applyBorder="1" applyAlignment="1"/>
    <xf numFmtId="164" fontId="2" fillId="10" borderId="3" xfId="1" applyNumberFormat="1" applyFont="1" applyFill="1" applyBorder="1" applyAlignment="1">
      <alignment horizontal="left"/>
    </xf>
    <xf numFmtId="164" fontId="11" fillId="10" borderId="3" xfId="1" applyNumberFormat="1" applyFont="1" applyFill="1" applyBorder="1" applyAlignment="1">
      <alignment horizontal="left"/>
    </xf>
    <xf numFmtId="0" fontId="11" fillId="5" borderId="25" xfId="0" applyFont="1" applyFill="1" applyBorder="1"/>
    <xf numFmtId="0" fontId="11" fillId="2" borderId="0" xfId="0" applyFont="1" applyFill="1" applyAlignment="1">
      <alignment vertical="center" wrapText="1"/>
    </xf>
    <xf numFmtId="0" fontId="11" fillId="2" borderId="43" xfId="0" applyFont="1" applyFill="1" applyBorder="1" applyAlignment="1">
      <alignment horizontal="center"/>
    </xf>
    <xf numFmtId="16" fontId="11" fillId="2" borderId="0" xfId="0" applyNumberFormat="1" applyFont="1" applyFill="1"/>
    <xf numFmtId="0" fontId="11" fillId="2" borderId="0" xfId="0" applyFont="1" applyFill="1"/>
    <xf numFmtId="0" fontId="11" fillId="2" borderId="8" xfId="0" applyFont="1" applyFill="1" applyBorder="1"/>
    <xf numFmtId="0" fontId="11" fillId="2" borderId="0" xfId="0" applyFont="1" applyFill="1" applyAlignment="1">
      <alignment vertical="center" wrapText="1"/>
    </xf>
    <xf numFmtId="16" fontId="2" fillId="2" borderId="0" xfId="0" applyNumberFormat="1" applyFont="1" applyFill="1" applyAlignment="1">
      <alignment wrapText="1"/>
    </xf>
    <xf numFmtId="16" fontId="11" fillId="2" borderId="0" xfId="0" applyNumberFormat="1" applyFont="1" applyFill="1" applyAlignment="1">
      <alignment horizontal="center" wrapText="1"/>
    </xf>
    <xf numFmtId="0" fontId="11" fillId="2" borderId="0" xfId="0" applyFont="1" applyFill="1" applyAlignment="1">
      <alignment horizontal="center" vertical="center"/>
    </xf>
    <xf numFmtId="164" fontId="2" fillId="2" borderId="37" xfId="1" applyNumberFormat="1" applyFont="1" applyFill="1" applyBorder="1" applyAlignment="1">
      <alignment horizontal="right"/>
    </xf>
    <xf numFmtId="164" fontId="2" fillId="2" borderId="13" xfId="1" applyNumberFormat="1" applyFont="1" applyFill="1" applyBorder="1" applyAlignment="1">
      <alignment horizontal="right"/>
    </xf>
    <xf numFmtId="164" fontId="2" fillId="2" borderId="12" xfId="1" applyNumberFormat="1" applyFont="1" applyFill="1" applyBorder="1" applyAlignment="1">
      <alignment horizontal="right"/>
    </xf>
    <xf numFmtId="164" fontId="2" fillId="2" borderId="36" xfId="1" applyNumberFormat="1" applyFont="1" applyFill="1" applyBorder="1" applyAlignment="1">
      <alignment horizontal="right"/>
    </xf>
    <xf numFmtId="164" fontId="2" fillId="2" borderId="35" xfId="1" applyNumberFormat="1" applyFont="1" applyFill="1" applyBorder="1" applyAlignment="1">
      <alignment horizontal="right"/>
    </xf>
    <xf numFmtId="164" fontId="2" fillId="2" borderId="34" xfId="1" applyNumberFormat="1" applyFont="1" applyFill="1" applyBorder="1" applyAlignment="1">
      <alignment horizontal="right"/>
    </xf>
    <xf numFmtId="0" fontId="2" fillId="2" borderId="44" xfId="0" applyFont="1" applyFill="1" applyBorder="1"/>
    <xf numFmtId="41" fontId="2" fillId="5" borderId="15" xfId="0" applyNumberFormat="1" applyFont="1" applyFill="1" applyBorder="1" applyAlignment="1">
      <alignment horizontal="right"/>
    </xf>
    <xf numFmtId="41" fontId="2" fillId="5" borderId="26" xfId="0" applyNumberFormat="1" applyFont="1" applyFill="1" applyBorder="1" applyAlignment="1">
      <alignment horizontal="right"/>
    </xf>
    <xf numFmtId="41" fontId="2" fillId="5" borderId="14" xfId="0" applyNumberFormat="1" applyFont="1" applyFill="1" applyBorder="1" applyAlignment="1">
      <alignment horizontal="right"/>
    </xf>
    <xf numFmtId="0" fontId="2" fillId="2" borderId="1" xfId="0" applyFont="1" applyFill="1" applyBorder="1"/>
    <xf numFmtId="0" fontId="19" fillId="3" borderId="37" xfId="0" applyFont="1" applyFill="1" applyBorder="1" applyAlignment="1">
      <alignment horizontal="center" vertical="center" wrapText="1"/>
    </xf>
    <xf numFmtId="0" fontId="19" fillId="3" borderId="12" xfId="0" applyFont="1" applyFill="1" applyBorder="1" applyAlignment="1">
      <alignment horizontal="center" vertical="center" wrapText="1"/>
    </xf>
    <xf numFmtId="3" fontId="2" fillId="2" borderId="0" xfId="0" applyNumberFormat="1" applyFont="1" applyFill="1" applyAlignment="1">
      <alignment horizontal="left"/>
    </xf>
    <xf numFmtId="0" fontId="11" fillId="2" borderId="0" xfId="0" applyFont="1" applyFill="1" applyAlignment="1">
      <alignment horizontal="left" vertical="center"/>
    </xf>
    <xf numFmtId="0" fontId="11" fillId="2" borderId="0" xfId="0" applyFont="1" applyFill="1" applyAlignment="1">
      <alignment horizontal="center" vertical="center" wrapText="1"/>
    </xf>
    <xf numFmtId="0" fontId="3" fillId="2" borderId="0" xfId="0" applyFont="1" applyFill="1" applyAlignment="1">
      <alignment horizontal="center"/>
    </xf>
    <xf numFmtId="0" fontId="4" fillId="2" borderId="0" xfId="0" applyFont="1" applyFill="1"/>
    <xf numFmtId="0" fontId="25" fillId="2" borderId="0" xfId="0" applyFont="1" applyFill="1" applyAlignment="1">
      <alignment horizontal="left" vertical="center"/>
    </xf>
    <xf numFmtId="0" fontId="32" fillId="0" borderId="0" xfId="0" applyFont="1"/>
    <xf numFmtId="0" fontId="8" fillId="0" borderId="0" xfId="0" applyFont="1"/>
    <xf numFmtId="0" fontId="38" fillId="4" borderId="1" xfId="0" applyFont="1" applyFill="1" applyBorder="1" applyAlignment="1">
      <alignment horizontal="center" vertical="center"/>
    </xf>
    <xf numFmtId="0" fontId="39" fillId="11" borderId="12" xfId="0" applyFont="1" applyFill="1" applyBorder="1"/>
    <xf numFmtId="0" fontId="39" fillId="11" borderId="13" xfId="0" applyFont="1" applyFill="1" applyBorder="1"/>
    <xf numFmtId="0" fontId="39" fillId="11" borderId="37" xfId="0" applyFont="1" applyFill="1" applyBorder="1"/>
    <xf numFmtId="0" fontId="39" fillId="12" borderId="12" xfId="0" applyFont="1" applyFill="1" applyBorder="1"/>
    <xf numFmtId="0" fontId="39" fillId="12" borderId="13" xfId="0" applyFont="1" applyFill="1" applyBorder="1"/>
    <xf numFmtId="0" fontId="39" fillId="12" borderId="37" xfId="0" applyFont="1" applyFill="1" applyBorder="1"/>
    <xf numFmtId="14" fontId="8" fillId="0" borderId="0" xfId="0" applyNumberFormat="1" applyFont="1"/>
    <xf numFmtId="0" fontId="39" fillId="11" borderId="12" xfId="0" applyFont="1" applyFill="1" applyBorder="1" applyAlignment="1">
      <alignment horizontal="center"/>
    </xf>
    <xf numFmtId="0" fontId="39" fillId="11" borderId="37" xfId="0" applyFont="1" applyFill="1" applyBorder="1" applyAlignment="1">
      <alignment horizontal="center"/>
    </xf>
    <xf numFmtId="0" fontId="39" fillId="12" borderId="12" xfId="0" applyFont="1" applyFill="1" applyBorder="1" applyAlignment="1">
      <alignment horizontal="center"/>
    </xf>
    <xf numFmtId="0" fontId="39" fillId="12" borderId="37" xfId="0" applyFont="1" applyFill="1" applyBorder="1" applyAlignment="1">
      <alignment horizontal="center"/>
    </xf>
    <xf numFmtId="0" fontId="39" fillId="11" borderId="1" xfId="0" applyFont="1" applyFill="1" applyBorder="1" applyAlignment="1">
      <alignment horizontal="center"/>
    </xf>
    <xf numFmtId="0" fontId="39" fillId="12" borderId="1" xfId="0" applyFont="1" applyFill="1" applyBorder="1" applyAlignment="1">
      <alignment horizontal="center"/>
    </xf>
    <xf numFmtId="0" fontId="39" fillId="0" borderId="1" xfId="0" applyFont="1" applyBorder="1"/>
    <xf numFmtId="171" fontId="40" fillId="2" borderId="1" xfId="1" applyNumberFormat="1" applyFont="1" applyFill="1" applyBorder="1" applyAlignment="1">
      <alignment horizontal="left"/>
    </xf>
    <xf numFmtId="170" fontId="40" fillId="2" borderId="1" xfId="1" applyNumberFormat="1" applyFont="1" applyFill="1" applyBorder="1" applyAlignment="1">
      <alignment horizontal="left"/>
    </xf>
    <xf numFmtId="170" fontId="40" fillId="2" borderId="1" xfId="1" applyNumberFormat="1" applyFont="1" applyFill="1" applyBorder="1" applyAlignment="1">
      <alignment horizontal="right"/>
    </xf>
    <xf numFmtId="0" fontId="39" fillId="0" borderId="45" xfId="0" applyFont="1" applyBorder="1"/>
    <xf numFmtId="171" fontId="40" fillId="2" borderId="45" xfId="1" applyNumberFormat="1" applyFont="1" applyFill="1" applyBorder="1" applyAlignment="1">
      <alignment horizontal="left"/>
    </xf>
    <xf numFmtId="170" fontId="40" fillId="2" borderId="45" xfId="1" applyNumberFormat="1" applyFont="1" applyFill="1" applyBorder="1" applyAlignment="1">
      <alignment horizontal="left"/>
    </xf>
    <xf numFmtId="170" fontId="40" fillId="2" borderId="45" xfId="1" applyNumberFormat="1" applyFont="1" applyFill="1" applyBorder="1" applyAlignment="1">
      <alignment horizontal="right"/>
    </xf>
    <xf numFmtId="0" fontId="38" fillId="5" borderId="3" xfId="0" applyFont="1" applyFill="1" applyBorder="1"/>
    <xf numFmtId="171" fontId="40" fillId="2" borderId="3" xfId="1" applyNumberFormat="1" applyFont="1" applyFill="1" applyBorder="1" applyAlignment="1">
      <alignment horizontal="left"/>
    </xf>
    <xf numFmtId="170" fontId="40" fillId="2" borderId="3" xfId="1" applyNumberFormat="1" applyFont="1" applyFill="1" applyBorder="1" applyAlignment="1">
      <alignment horizontal="left"/>
    </xf>
    <xf numFmtId="170" fontId="40" fillId="2" borderId="3" xfId="1" applyNumberFormat="1" applyFont="1" applyFill="1" applyBorder="1" applyAlignment="1">
      <alignment horizontal="right"/>
    </xf>
    <xf numFmtId="0" fontId="36" fillId="0" borderId="0" xfId="0" applyFont="1"/>
    <xf numFmtId="0" fontId="38" fillId="5" borderId="1" xfId="0" applyFont="1" applyFill="1" applyBorder="1" applyAlignment="1">
      <alignment horizontal="center" vertical="center"/>
    </xf>
    <xf numFmtId="3" fontId="8" fillId="0" borderId="0" xfId="0" applyNumberFormat="1" applyFont="1"/>
    <xf numFmtId="0" fontId="38" fillId="5" borderId="0" xfId="0" applyFont="1" applyFill="1"/>
    <xf numFmtId="0" fontId="39" fillId="5" borderId="0" xfId="0" applyFont="1" applyFill="1"/>
    <xf numFmtId="0" fontId="39" fillId="5" borderId="37" xfId="0" applyFont="1" applyFill="1" applyBorder="1"/>
    <xf numFmtId="164" fontId="40" fillId="2" borderId="1" xfId="1" applyNumberFormat="1" applyFont="1" applyFill="1" applyBorder="1" applyAlignment="1">
      <alignment horizontal="left"/>
    </xf>
    <xf numFmtId="164" fontId="40" fillId="2" borderId="45" xfId="1" applyNumberFormat="1" applyFont="1" applyFill="1" applyBorder="1" applyAlignment="1">
      <alignment horizontal="left"/>
    </xf>
    <xf numFmtId="164" fontId="40" fillId="2" borderId="3" xfId="1" applyNumberFormat="1" applyFont="1" applyFill="1" applyBorder="1" applyAlignment="1">
      <alignment horizontal="left"/>
    </xf>
    <xf numFmtId="164" fontId="40" fillId="2" borderId="1" xfId="1" applyNumberFormat="1" applyFont="1" applyFill="1" applyBorder="1" applyAlignment="1">
      <alignment horizontal="right"/>
    </xf>
    <xf numFmtId="164" fontId="40" fillId="2" borderId="45" xfId="1" applyNumberFormat="1" applyFont="1" applyFill="1" applyBorder="1" applyAlignment="1">
      <alignment horizontal="right"/>
    </xf>
    <xf numFmtId="0" fontId="8" fillId="2" borderId="37" xfId="0" applyFont="1" applyFill="1" applyBorder="1" applyAlignment="1">
      <alignment horizontal="center" vertical="top" wrapText="1"/>
    </xf>
    <xf numFmtId="49" fontId="34" fillId="0" borderId="1" xfId="0" applyNumberFormat="1" applyFont="1" applyBorder="1" applyAlignment="1">
      <alignment vertical="top" wrapText="1"/>
    </xf>
    <xf numFmtId="49" fontId="34" fillId="0" borderId="1" xfId="0" applyNumberFormat="1" applyFont="1" applyBorder="1" applyAlignment="1">
      <alignment horizontal="left" vertical="top" wrapText="1"/>
    </xf>
    <xf numFmtId="0" fontId="8" fillId="0" borderId="1" xfId="0" applyFont="1" applyBorder="1"/>
    <xf numFmtId="0" fontId="8" fillId="0" borderId="1" xfId="0" applyFont="1" applyBorder="1" applyAlignment="1">
      <alignment vertical="center" wrapText="1"/>
    </xf>
    <xf numFmtId="0" fontId="8" fillId="2" borderId="46" xfId="0" applyFont="1" applyFill="1" applyBorder="1" applyAlignment="1">
      <alignment horizontal="center" vertical="top" wrapText="1"/>
    </xf>
    <xf numFmtId="49" fontId="34" fillId="0" borderId="45" xfId="0" applyNumberFormat="1" applyFont="1" applyBorder="1" applyAlignment="1">
      <alignment vertical="top" wrapText="1"/>
    </xf>
    <xf numFmtId="0" fontId="32" fillId="0" borderId="0" xfId="0" applyFont="1" applyAlignment="1">
      <alignment vertical="center"/>
    </xf>
    <xf numFmtId="0" fontId="41" fillId="0" borderId="0" xfId="0" applyFont="1" applyAlignment="1">
      <alignment horizontal="left" vertical="center" indent="5"/>
    </xf>
    <xf numFmtId="0" fontId="42" fillId="0" borderId="0" xfId="0" applyFont="1" applyAlignment="1">
      <alignment horizontal="left" vertical="center" indent="10"/>
    </xf>
  </cellXfs>
  <cellStyles count="6">
    <cellStyle name="Comma" xfId="1" builtinId="3"/>
    <cellStyle name="Normal" xfId="0" builtinId="0"/>
    <cellStyle name="Normal 2" xfId="4" xr:uid="{00000000-0005-0000-0000-000002000000}"/>
    <cellStyle name="Normal 5" xfId="2" xr:uid="{00000000-0005-0000-0000-000003000000}"/>
    <cellStyle name="Normal_FLQuickRefGuide_4.27.09" xfId="3" xr:uid="{00000000-0005-0000-0000-000004000000}"/>
    <cellStyle name="Percent" xfId="5" builtinId="5"/>
  </cellStyles>
  <dxfs count="65">
    <dxf>
      <font>
        <condense val="0"/>
        <extend val="0"/>
        <color indexed="9"/>
      </font>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19" formatCode="m/d/yyyy"/>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indexed="8"/>
        <name val="Times New Roman"/>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Times New Roman"/>
        <scheme val="none"/>
      </font>
      <numFmt numFmtId="0" formatCode="General"/>
      <fill>
        <patternFill patternType="solid">
          <fgColor indexed="64"/>
          <bgColor theme="0" tint="-0.249977111117893"/>
        </patternFill>
      </fill>
      <alignment horizontal="left" vertical="bottom" textRotation="0" wrapText="1" indent="0" justifyLastLine="0" shrinkToFit="0" readingOrder="0"/>
      <border diagonalUp="0" diagonalDown="0" outline="0">
        <left style="hair">
          <color auto="1"/>
        </left>
        <right style="hair">
          <color auto="1"/>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Facility_List_Staging_8_26_2013.accdb_114" displayName="Table_Facility_List_Staging_8_26_2013.accdb_114" ref="A7:AE138" headerRowDxfId="64" dataDxfId="62" headerRowBorderDxfId="63" tableBorderDxfId="61">
  <tableColumns count="31">
    <tableColumn id="2" xr3:uid="{00000000-0010-0000-0000-000002000000}" name="Name" dataDxfId="60" totalsRowDxfId="59"/>
    <tableColumn id="3" xr3:uid="{00000000-0010-0000-0000-000003000000}" name="Address" dataDxfId="58" totalsRowDxfId="57"/>
    <tableColumn id="4" xr3:uid="{00000000-0010-0000-0000-000004000000}" name="City" dataDxfId="56" totalsRowDxfId="55"/>
    <tableColumn id="6" xr3:uid="{00000000-0010-0000-0000-000006000000}" name="State" dataDxfId="54"/>
    <tableColumn id="7" xr3:uid="{00000000-0010-0000-0000-000007000000}" name="Zip" dataDxfId="53" totalsRowDxfId="52"/>
    <tableColumn id="9" xr3:uid="{00000000-0010-0000-0000-000009000000}" name="AOR" dataDxfId="51" totalsRowDxfId="50"/>
    <tableColumn id="12" xr3:uid="{00000000-0010-0000-0000-00000C000000}" name="Type Detailed" dataDxfId="49" totalsRowDxfId="48"/>
    <tableColumn id="81" xr3:uid="{00000000-0010-0000-0000-000051000000}" name="Male/Female" dataDxfId="47" totalsRowDxfId="46"/>
    <tableColumn id="43" xr3:uid="{00000000-0010-0000-0000-00002B000000}" name="FY22 ALOS" dataDxfId="45" totalsRowDxfId="44" dataCellStyle="Comma"/>
    <tableColumn id="67" xr3:uid="{00000000-0010-0000-0000-000043000000}" name="Level A" dataDxfId="43" totalsRowDxfId="42"/>
    <tableColumn id="68" xr3:uid="{00000000-0010-0000-0000-000044000000}" name="Level B" dataDxfId="41" totalsRowDxfId="40"/>
    <tableColumn id="69" xr3:uid="{00000000-0010-0000-0000-000045000000}" name="Level C" dataDxfId="39" totalsRowDxfId="38"/>
    <tableColumn id="70" xr3:uid="{00000000-0010-0000-0000-000046000000}" name="Level D" dataDxfId="37" totalsRowDxfId="36"/>
    <tableColumn id="71" xr3:uid="{00000000-0010-0000-0000-000047000000}" name="Male Crim" dataDxfId="35" totalsRowDxfId="34"/>
    <tableColumn id="72" xr3:uid="{00000000-0010-0000-0000-000048000000}" name="Male Non-Crim" dataDxfId="33" totalsRowDxfId="32"/>
    <tableColumn id="73" xr3:uid="{00000000-0010-0000-0000-000049000000}" name="Female Crim" dataDxfId="31" totalsRowDxfId="30"/>
    <tableColumn id="74" xr3:uid="{00000000-0010-0000-0000-00004A000000}" name="Female Non-Crim" dataDxfId="29" totalsRowDxfId="28"/>
    <tableColumn id="75" xr3:uid="{00000000-0010-0000-0000-00004B000000}" name="ICE Threat Level 1" dataDxfId="27" totalsRowDxfId="26"/>
    <tableColumn id="76" xr3:uid="{00000000-0010-0000-0000-00004C000000}" name="ICE Threat Level 2" dataDxfId="25" totalsRowDxfId="24"/>
    <tableColumn id="77" xr3:uid="{00000000-0010-0000-0000-00004D000000}" name="ICE Threat Level 3" dataDxfId="23" totalsRowDxfId="22"/>
    <tableColumn id="78" xr3:uid="{00000000-0010-0000-0000-00004E000000}" name="No ICE Threat Level" dataDxfId="21" totalsRowDxfId="20"/>
    <tableColumn id="79" xr3:uid="{00000000-0010-0000-0000-00004F000000}" name="Mandatory" dataDxfId="19" totalsRowDxfId="18"/>
    <tableColumn id="86" xr3:uid="{00000000-0010-0000-0000-000056000000}" name="Guaranteed Minimum" dataDxfId="17" totalsRowDxfId="16"/>
    <tableColumn id="124" xr3:uid="{00000000-0010-0000-0000-00007C000000}" name="Last Inspection Type" dataDxfId="15" totalsRowDxfId="14"/>
    <tableColumn id="129" xr3:uid="{00000000-0010-0000-0000-000081000000}" name="Last Inspection Standard" dataDxfId="13" totalsRowDxfId="12"/>
    <tableColumn id="93" xr3:uid="{00000000-0010-0000-0000-00005D000000}" name="Last Inspection Rating - Final" dataDxfId="11"/>
    <tableColumn id="95" xr3:uid="{00000000-0010-0000-0000-00005F000000}" name="Last Inspection Date" dataDxfId="10" totalsRowDxfId="9"/>
    <tableColumn id="125" xr3:uid="{00000000-0010-0000-0000-00007D000000}" name="Second to Last Inspection Type" dataDxfId="8" totalsRowDxfId="7"/>
    <tableColumn id="131" xr3:uid="{00000000-0010-0000-0000-000083000000}" name="Second to Last Inspection Standard" dataDxfId="6" totalsRowDxfId="5"/>
    <tableColumn id="5" xr3:uid="{00000000-0010-0000-0000-000005000000}" name="Second to Last Inspection Rating" dataDxfId="4" totalsRowDxfId="3"/>
    <tableColumn id="97" xr3:uid="{00000000-0010-0000-0000-000061000000}" name="Second to Last Inspection Date" dataDxfId="2" totalsRowDxfId="1"/>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heetViews>
  <sheetFormatPr defaultColWidth="0" defaultRowHeight="14.5" zeroHeight="1" x14ac:dyDescent="0.35"/>
  <cols>
    <col min="1" max="1" width="110.453125" customWidth="1"/>
    <col min="2" max="16384" width="8.81640625" hidden="1"/>
  </cols>
  <sheetData>
    <row r="1" spans="1:1" ht="119.15" customHeight="1" x14ac:dyDescent="0.35">
      <c r="A1" s="61" t="s">
        <v>573</v>
      </c>
    </row>
    <row r="2" spans="1:1" ht="51.75" customHeight="1" x14ac:dyDescent="0.35">
      <c r="A2" s="60" t="s">
        <v>49</v>
      </c>
    </row>
    <row r="3" spans="1:1" ht="76.400000000000006" customHeight="1" x14ac:dyDescent="0.35">
      <c r="A3" s="60" t="s">
        <v>623</v>
      </c>
    </row>
    <row r="4" spans="1:1" ht="22.5" customHeight="1" x14ac:dyDescent="0.35">
      <c r="A4" s="60" t="s">
        <v>572</v>
      </c>
    </row>
    <row r="5" spans="1:1" ht="36.75" customHeight="1" x14ac:dyDescent="0.35">
      <c r="A5" s="60" t="s">
        <v>544</v>
      </c>
    </row>
    <row r="6" spans="1:1" x14ac:dyDescent="0.3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BD124"/>
  <sheetViews>
    <sheetView zoomScaleNormal="100" workbookViewId="0">
      <selection sqref="A1:D1"/>
    </sheetView>
  </sheetViews>
  <sheetFormatPr defaultRowHeight="15" zeroHeight="1" x14ac:dyDescent="0.35"/>
  <cols>
    <col min="1" max="3" width="19.54296875" customWidth="1"/>
    <col min="4" max="4" width="19.453125" customWidth="1"/>
    <col min="5" max="9" width="19.54296875" customWidth="1"/>
    <col min="10" max="10" width="15" customWidth="1"/>
    <col min="13" max="13" width="8.81640625" style="30"/>
  </cols>
  <sheetData>
    <row r="1" spans="1:56" s="5" customFormat="1" ht="55.4" customHeight="1" x14ac:dyDescent="0.35">
      <c r="A1" s="165" t="s">
        <v>48</v>
      </c>
      <c r="B1" s="165"/>
      <c r="C1" s="165"/>
      <c r="D1" s="165"/>
      <c r="E1" s="30"/>
      <c r="F1" s="30"/>
      <c r="G1" s="30"/>
      <c r="H1" s="30"/>
      <c r="I1" s="36"/>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row>
    <row r="2" spans="1:56" s="5" customFormat="1" ht="55.4" customHeight="1" x14ac:dyDescent="0.35">
      <c r="A2" s="166" t="s">
        <v>49</v>
      </c>
      <c r="B2" s="166"/>
      <c r="C2" s="166"/>
      <c r="D2" s="166"/>
      <c r="E2" s="30"/>
      <c r="F2" s="30"/>
      <c r="G2" s="30"/>
      <c r="H2" s="30"/>
      <c r="I2" s="36"/>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row>
    <row r="3" spans="1:56" s="5" customFormat="1" ht="13.4" customHeight="1" x14ac:dyDescent="0.35">
      <c r="A3" s="30"/>
      <c r="B3" s="30"/>
      <c r="C3" s="30"/>
      <c r="D3" s="30"/>
      <c r="E3" s="30"/>
      <c r="F3" s="30"/>
      <c r="G3" s="41"/>
      <c r="H3" s="30"/>
      <c r="I3" s="36"/>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row>
    <row r="4" spans="1:56" ht="55.4" customHeight="1" x14ac:dyDescent="0.35">
      <c r="A4" s="164" t="s">
        <v>624</v>
      </c>
      <c r="B4" s="164"/>
      <c r="C4" s="164"/>
      <c r="D4" s="164"/>
      <c r="E4" s="78"/>
      <c r="F4" s="78"/>
      <c r="G4" s="78"/>
      <c r="H4" s="78"/>
      <c r="I4" s="79"/>
      <c r="J4" s="36"/>
      <c r="K4" s="30"/>
      <c r="L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row>
    <row r="5" spans="1:56" ht="50.15" customHeight="1" x14ac:dyDescent="0.35">
      <c r="A5" s="167" t="s">
        <v>625</v>
      </c>
      <c r="B5" s="167"/>
      <c r="C5" s="167"/>
      <c r="D5" s="54"/>
      <c r="E5" s="30"/>
      <c r="F5" s="30"/>
      <c r="G5" s="30"/>
      <c r="H5" s="30"/>
      <c r="I5" s="36"/>
      <c r="J5" s="36"/>
      <c r="K5" s="30"/>
      <c r="L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row>
    <row r="6" spans="1:56" x14ac:dyDescent="0.35">
      <c r="A6" s="59" t="s">
        <v>545</v>
      </c>
      <c r="B6" s="59" t="s">
        <v>546</v>
      </c>
      <c r="C6" s="59" t="s">
        <v>52</v>
      </c>
      <c r="D6" s="30"/>
      <c r="E6" s="30"/>
      <c r="F6" s="30"/>
      <c r="G6" s="30"/>
      <c r="H6" s="30"/>
      <c r="I6" s="36"/>
      <c r="J6" s="36"/>
      <c r="K6" s="30"/>
      <c r="L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row>
    <row r="7" spans="1:56" x14ac:dyDescent="0.35">
      <c r="A7" s="55" t="s">
        <v>547</v>
      </c>
      <c r="B7" s="57">
        <v>83798</v>
      </c>
      <c r="C7" s="142">
        <v>519.86735960285444</v>
      </c>
      <c r="D7" s="30"/>
      <c r="E7" s="30"/>
      <c r="F7" s="30"/>
      <c r="G7" s="30"/>
      <c r="H7" s="30"/>
      <c r="I7" s="36"/>
      <c r="J7" s="36"/>
      <c r="K7" s="30"/>
      <c r="L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row>
    <row r="8" spans="1:56" x14ac:dyDescent="0.35">
      <c r="A8" s="55" t="s">
        <v>575</v>
      </c>
      <c r="B8" s="57">
        <v>794</v>
      </c>
      <c r="C8" s="142">
        <v>950.4319899244332</v>
      </c>
      <c r="D8" s="30"/>
      <c r="E8" s="30"/>
      <c r="F8" s="30"/>
      <c r="G8" s="30"/>
      <c r="H8" s="30"/>
      <c r="I8" s="36"/>
      <c r="J8" s="36"/>
      <c r="K8" s="30"/>
      <c r="L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row>
    <row r="9" spans="1:56" x14ac:dyDescent="0.35">
      <c r="A9" s="55" t="s">
        <v>574</v>
      </c>
      <c r="B9" s="57">
        <v>60286</v>
      </c>
      <c r="C9" s="142">
        <v>678.93046478452709</v>
      </c>
      <c r="D9" s="30"/>
      <c r="E9" s="30"/>
      <c r="F9" s="30"/>
      <c r="G9" s="30"/>
      <c r="H9" s="30"/>
      <c r="I9" s="36"/>
      <c r="J9" s="36"/>
      <c r="K9" s="30"/>
      <c r="L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row>
    <row r="10" spans="1:56" x14ac:dyDescent="0.35">
      <c r="A10" s="55" t="s">
        <v>576</v>
      </c>
      <c r="B10" s="57">
        <v>585</v>
      </c>
      <c r="C10" s="142">
        <v>897.56923076923078</v>
      </c>
      <c r="D10" s="54"/>
      <c r="E10" s="30"/>
      <c r="F10" s="30"/>
      <c r="G10" s="30"/>
      <c r="H10" s="30"/>
      <c r="I10" s="36"/>
      <c r="J10" s="36"/>
      <c r="K10" s="30"/>
      <c r="L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row>
    <row r="11" spans="1:56" x14ac:dyDescent="0.35">
      <c r="A11" s="56" t="s">
        <v>1</v>
      </c>
      <c r="B11" s="58">
        <v>145463</v>
      </c>
      <c r="C11" s="143">
        <v>589.6590060702722</v>
      </c>
      <c r="D11" s="30"/>
      <c r="E11" s="30"/>
      <c r="F11" s="30"/>
      <c r="G11" s="30"/>
      <c r="H11" s="30"/>
      <c r="I11" s="36"/>
      <c r="J11" s="36"/>
      <c r="K11" s="30"/>
      <c r="L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row>
    <row r="12" spans="1:56" ht="15.75" customHeight="1" x14ac:dyDescent="0.35">
      <c r="A12" s="168" t="s">
        <v>626</v>
      </c>
      <c r="B12" s="168"/>
      <c r="C12" s="168"/>
      <c r="D12" s="30"/>
      <c r="E12" s="30"/>
      <c r="F12" s="30"/>
      <c r="G12" s="30"/>
      <c r="H12" s="30"/>
      <c r="I12" s="36"/>
      <c r="J12" s="36"/>
      <c r="K12" s="30"/>
      <c r="L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row>
    <row r="13" spans="1:56" ht="16" customHeight="1" x14ac:dyDescent="0.35">
      <c r="A13" s="168" t="s">
        <v>627</v>
      </c>
      <c r="B13" s="168"/>
      <c r="C13" s="168"/>
      <c r="D13" s="30"/>
      <c r="E13" s="30"/>
      <c r="F13" s="30"/>
      <c r="G13" s="30"/>
      <c r="H13" s="30"/>
      <c r="I13" s="36"/>
      <c r="J13" s="36"/>
      <c r="K13" s="30"/>
      <c r="L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row>
    <row r="14" spans="1:56" ht="14.5" customHeight="1" x14ac:dyDescent="0.35">
      <c r="A14" s="163"/>
      <c r="B14" s="163"/>
      <c r="C14" s="163"/>
      <c r="D14" s="30"/>
      <c r="E14" s="30"/>
      <c r="F14" s="30"/>
      <c r="G14" s="30"/>
      <c r="H14" s="30"/>
      <c r="I14" s="36"/>
      <c r="J14" s="36"/>
      <c r="K14" s="30"/>
      <c r="L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row>
    <row r="15" spans="1:56" ht="16" customHeight="1" x14ac:dyDescent="0.35">
      <c r="A15" s="163"/>
      <c r="B15" s="163"/>
      <c r="C15" s="163"/>
      <c r="D15" s="30"/>
      <c r="E15" s="30"/>
      <c r="F15" s="30"/>
      <c r="G15" s="30"/>
      <c r="H15" s="30"/>
      <c r="I15" s="36"/>
      <c r="J15" s="36"/>
      <c r="K15" s="30"/>
      <c r="L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row>
    <row r="16" spans="1:56" ht="34.4" customHeight="1" thickBot="1" x14ac:dyDescent="0.4">
      <c r="A16" s="163" t="s">
        <v>628</v>
      </c>
      <c r="B16" s="163"/>
      <c r="C16" s="163"/>
      <c r="D16" s="30"/>
      <c r="E16" s="30"/>
      <c r="F16" s="30"/>
      <c r="G16" s="30"/>
      <c r="H16" s="30"/>
      <c r="I16" s="30"/>
      <c r="J16" s="30"/>
      <c r="K16" s="30"/>
      <c r="L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row>
    <row r="17" spans="1:56" ht="30" x14ac:dyDescent="0.35">
      <c r="A17" s="67" t="s">
        <v>582</v>
      </c>
      <c r="B17" s="68" t="s">
        <v>546</v>
      </c>
      <c r="C17" s="68" t="s">
        <v>583</v>
      </c>
      <c r="D17" s="30"/>
      <c r="E17" s="30"/>
      <c r="F17" s="30"/>
      <c r="G17" s="30"/>
      <c r="H17" s="30"/>
      <c r="I17" s="30"/>
      <c r="J17" s="30"/>
      <c r="K17" s="30"/>
      <c r="L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row>
    <row r="18" spans="1:56" ht="16" thickBot="1" x14ac:dyDescent="0.4">
      <c r="A18" s="69" t="s">
        <v>1</v>
      </c>
      <c r="B18" s="70">
        <v>145463</v>
      </c>
      <c r="C18" s="71">
        <v>589.6590060702722</v>
      </c>
      <c r="D18" s="30"/>
      <c r="E18" s="30"/>
      <c r="F18" s="30"/>
      <c r="G18" s="30"/>
      <c r="H18" s="30"/>
      <c r="I18" s="30"/>
      <c r="J18" s="30"/>
      <c r="K18" s="30"/>
      <c r="L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row>
    <row r="19" spans="1:56" ht="15.5" thickTop="1" x14ac:dyDescent="0.35">
      <c r="A19" s="72" t="s">
        <v>549</v>
      </c>
      <c r="B19" s="73">
        <v>4834</v>
      </c>
      <c r="C19" s="74">
        <v>558.04116673562271</v>
      </c>
      <c r="D19" s="30"/>
      <c r="E19" s="30"/>
      <c r="F19" s="30"/>
      <c r="G19" s="30"/>
      <c r="H19" s="30"/>
      <c r="I19" s="30"/>
      <c r="J19" s="30"/>
      <c r="K19" s="30"/>
      <c r="L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row>
    <row r="20" spans="1:56" ht="15.5" x14ac:dyDescent="0.35">
      <c r="A20" s="75" t="s">
        <v>76</v>
      </c>
      <c r="B20" s="76">
        <v>593</v>
      </c>
      <c r="C20" s="77">
        <v>316.32883642495784</v>
      </c>
      <c r="D20" s="30"/>
      <c r="E20" s="30"/>
      <c r="F20" s="30"/>
      <c r="G20" s="30"/>
      <c r="H20" s="30"/>
      <c r="I20" s="30"/>
      <c r="J20" s="30"/>
      <c r="K20" s="30"/>
      <c r="L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row>
    <row r="21" spans="1:56" ht="15.5" x14ac:dyDescent="0.35">
      <c r="A21" s="75" t="s">
        <v>548</v>
      </c>
      <c r="B21" s="76">
        <v>3166</v>
      </c>
      <c r="C21" s="77">
        <v>343.98073278584963</v>
      </c>
      <c r="D21" s="30"/>
      <c r="E21" s="30"/>
      <c r="F21" s="30"/>
      <c r="G21" s="30"/>
      <c r="H21" s="30"/>
      <c r="I21" s="30"/>
      <c r="J21" s="30"/>
      <c r="K21" s="30"/>
      <c r="L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row>
    <row r="22" spans="1:56" ht="15.5" x14ac:dyDescent="0.35">
      <c r="A22" s="75" t="s">
        <v>23</v>
      </c>
      <c r="B22" s="76">
        <v>1075</v>
      </c>
      <c r="C22" s="77">
        <v>1321.8093023255815</v>
      </c>
      <c r="D22" s="30"/>
      <c r="E22" s="30"/>
      <c r="F22" s="30"/>
      <c r="G22" s="30"/>
      <c r="H22" s="30"/>
      <c r="I22" s="30"/>
      <c r="J22" s="30"/>
      <c r="K22" s="30"/>
      <c r="L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row>
    <row r="23" spans="1:56" x14ac:dyDescent="0.35">
      <c r="A23" s="72" t="s">
        <v>550</v>
      </c>
      <c r="B23" s="73">
        <v>2247</v>
      </c>
      <c r="C23" s="74">
        <v>674.36582109479309</v>
      </c>
      <c r="D23" s="30"/>
      <c r="E23" s="30"/>
      <c r="F23" s="30"/>
      <c r="G23" s="30"/>
      <c r="H23" s="30"/>
      <c r="I23" s="30"/>
      <c r="J23" s="30"/>
      <c r="K23" s="30"/>
      <c r="L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row>
    <row r="24" spans="1:56" ht="15.5" x14ac:dyDescent="0.35">
      <c r="A24" s="75" t="s">
        <v>76</v>
      </c>
      <c r="B24" s="76">
        <v>333</v>
      </c>
      <c r="C24" s="77">
        <v>411.31831831831829</v>
      </c>
      <c r="D24" s="30"/>
      <c r="E24" s="30"/>
      <c r="F24" s="30"/>
      <c r="G24" s="30"/>
      <c r="H24" s="30"/>
      <c r="I24" s="30"/>
      <c r="J24" s="30"/>
      <c r="K24" s="30"/>
      <c r="L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row>
    <row r="25" spans="1:56" ht="15.5" x14ac:dyDescent="0.35">
      <c r="A25" s="75" t="s">
        <v>548</v>
      </c>
      <c r="B25" s="76">
        <v>1479</v>
      </c>
      <c r="C25" s="77">
        <v>593.45571331981068</v>
      </c>
      <c r="D25" s="30"/>
      <c r="E25" s="30"/>
      <c r="F25" s="30"/>
      <c r="G25" s="30"/>
      <c r="H25" s="30"/>
      <c r="I25" s="30"/>
      <c r="J25" s="30"/>
      <c r="K25" s="30"/>
      <c r="L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row>
    <row r="26" spans="1:56" ht="15.5" x14ac:dyDescent="0.35">
      <c r="A26" s="75" t="s">
        <v>23</v>
      </c>
      <c r="B26" s="76">
        <v>435</v>
      </c>
      <c r="C26" s="77">
        <v>1150.8275862068965</v>
      </c>
      <c r="D26" s="30"/>
      <c r="E26" s="30"/>
      <c r="F26" s="30"/>
      <c r="G26" s="30"/>
      <c r="H26" s="30"/>
      <c r="I26" s="30"/>
      <c r="J26" s="30"/>
      <c r="K26" s="30"/>
      <c r="L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row>
    <row r="27" spans="1:56" x14ac:dyDescent="0.35">
      <c r="A27" s="72" t="s">
        <v>551</v>
      </c>
      <c r="B27" s="73">
        <v>4970</v>
      </c>
      <c r="C27" s="74">
        <v>152.46559356136822</v>
      </c>
      <c r="D27" s="30"/>
      <c r="E27" s="30"/>
      <c r="F27" s="30"/>
      <c r="G27" s="30"/>
      <c r="H27" s="30"/>
      <c r="I27" s="30"/>
      <c r="J27" s="30"/>
      <c r="K27" s="30"/>
      <c r="L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row>
    <row r="28" spans="1:56" ht="15.5" x14ac:dyDescent="0.35">
      <c r="A28" s="75" t="s">
        <v>76</v>
      </c>
      <c r="B28" s="76">
        <v>1353</v>
      </c>
      <c r="C28" s="77">
        <v>107.71766444937177</v>
      </c>
      <c r="D28" s="30"/>
      <c r="E28" s="30"/>
      <c r="F28" s="30"/>
      <c r="G28" s="30"/>
      <c r="H28" s="30"/>
      <c r="I28" s="30"/>
      <c r="J28" s="30"/>
      <c r="K28" s="30"/>
      <c r="L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row>
    <row r="29" spans="1:56" ht="15.5" x14ac:dyDescent="0.35">
      <c r="A29" s="75" t="s">
        <v>548</v>
      </c>
      <c r="B29" s="76">
        <v>3535</v>
      </c>
      <c r="C29" s="77">
        <v>151.01980198019803</v>
      </c>
      <c r="D29" s="30"/>
      <c r="E29" s="30"/>
      <c r="F29" s="30"/>
      <c r="G29" s="30"/>
      <c r="H29" s="30"/>
      <c r="I29" s="30"/>
      <c r="J29" s="30"/>
      <c r="K29" s="30"/>
      <c r="L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row>
    <row r="30" spans="1:56" ht="15.5" x14ac:dyDescent="0.35">
      <c r="A30" s="75" t="s">
        <v>23</v>
      </c>
      <c r="B30" s="76">
        <v>82</v>
      </c>
      <c r="C30" s="77">
        <v>953.13414634146341</v>
      </c>
      <c r="D30" s="30"/>
      <c r="E30" s="30"/>
      <c r="F30" s="30"/>
      <c r="G30" s="30"/>
      <c r="H30" s="30"/>
      <c r="I30" s="30"/>
      <c r="J30" s="30"/>
      <c r="K30" s="30"/>
      <c r="L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row>
    <row r="31" spans="1:56" x14ac:dyDescent="0.35">
      <c r="A31" s="72" t="s">
        <v>552</v>
      </c>
      <c r="B31" s="73">
        <v>550</v>
      </c>
      <c r="C31" s="74">
        <v>1159.9854545454546</v>
      </c>
      <c r="D31" s="30"/>
      <c r="E31" s="30"/>
      <c r="F31" s="30"/>
      <c r="G31" s="30"/>
      <c r="H31" s="30"/>
      <c r="I31" s="30"/>
      <c r="J31" s="30"/>
      <c r="K31" s="30"/>
      <c r="L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row>
    <row r="32" spans="1:56" ht="15.5" x14ac:dyDescent="0.35">
      <c r="A32" s="75" t="s">
        <v>76</v>
      </c>
      <c r="B32" s="76">
        <v>39</v>
      </c>
      <c r="C32" s="77">
        <v>192.76923076923077</v>
      </c>
      <c r="D32" s="30"/>
      <c r="E32" s="30"/>
      <c r="F32" s="30"/>
      <c r="G32" s="30"/>
      <c r="H32" s="30"/>
      <c r="I32" s="30"/>
      <c r="J32" s="30"/>
      <c r="K32" s="30"/>
      <c r="L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row>
    <row r="33" spans="1:56" ht="15.5" x14ac:dyDescent="0.35">
      <c r="A33" s="75" t="s">
        <v>548</v>
      </c>
      <c r="B33" s="76">
        <v>57</v>
      </c>
      <c r="C33" s="77">
        <v>365.77192982456143</v>
      </c>
      <c r="D33" s="30"/>
      <c r="E33" s="30"/>
      <c r="F33" s="30"/>
      <c r="G33" s="30"/>
      <c r="H33" s="30"/>
      <c r="I33" s="30"/>
      <c r="J33" s="30"/>
      <c r="K33" s="30"/>
      <c r="L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row>
    <row r="34" spans="1:56" ht="15.5" x14ac:dyDescent="0.35">
      <c r="A34" s="75" t="s">
        <v>23</v>
      </c>
      <c r="B34" s="76">
        <v>454</v>
      </c>
      <c r="C34" s="77">
        <v>1342.7863436123348</v>
      </c>
      <c r="D34" s="30"/>
      <c r="E34" s="30"/>
      <c r="F34" s="30"/>
      <c r="G34" s="30"/>
      <c r="H34" s="30"/>
      <c r="I34" s="30"/>
      <c r="J34" s="30"/>
      <c r="K34" s="30"/>
      <c r="L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row>
    <row r="35" spans="1:56" x14ac:dyDescent="0.35">
      <c r="A35" s="72" t="s">
        <v>553</v>
      </c>
      <c r="B35" s="73">
        <v>8812</v>
      </c>
      <c r="C35" s="74">
        <v>881.7569223785747</v>
      </c>
      <c r="D35" s="30"/>
      <c r="E35" s="30"/>
      <c r="F35" s="30"/>
      <c r="G35" s="30"/>
      <c r="H35" s="30"/>
      <c r="I35" s="30"/>
      <c r="J35" s="30"/>
      <c r="K35" s="30"/>
      <c r="L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row>
    <row r="36" spans="1:56" ht="15.5" x14ac:dyDescent="0.35">
      <c r="A36" s="75" t="s">
        <v>76</v>
      </c>
      <c r="B36" s="76">
        <v>824</v>
      </c>
      <c r="C36" s="77">
        <v>460.02427184466018</v>
      </c>
      <c r="D36" s="30"/>
      <c r="E36" s="30"/>
      <c r="F36" s="30"/>
      <c r="G36" s="30"/>
      <c r="H36" s="30"/>
      <c r="I36" s="30"/>
      <c r="J36" s="30"/>
      <c r="K36" s="30"/>
      <c r="L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row>
    <row r="37" spans="1:56" ht="15.5" x14ac:dyDescent="0.35">
      <c r="A37" s="75" t="s">
        <v>548</v>
      </c>
      <c r="B37" s="76">
        <v>5677</v>
      </c>
      <c r="C37" s="77">
        <v>642.64329751629384</v>
      </c>
      <c r="D37" s="30"/>
      <c r="E37" s="30"/>
      <c r="F37" s="30"/>
      <c r="G37" s="30"/>
      <c r="H37" s="30"/>
      <c r="I37" s="30"/>
      <c r="J37" s="30"/>
      <c r="K37" s="30"/>
      <c r="L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row>
    <row r="38" spans="1:56" ht="15.5" x14ac:dyDescent="0.35">
      <c r="A38" s="75" t="s">
        <v>23</v>
      </c>
      <c r="B38" s="76">
        <v>2311</v>
      </c>
      <c r="C38" s="77">
        <v>1619.513630463003</v>
      </c>
      <c r="D38" s="30"/>
      <c r="E38" s="30"/>
      <c r="F38" s="30"/>
      <c r="G38" s="30"/>
      <c r="H38" s="30"/>
      <c r="I38" s="30"/>
      <c r="J38" s="30"/>
      <c r="K38" s="30"/>
      <c r="L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row>
    <row r="39" spans="1:56" x14ac:dyDescent="0.35">
      <c r="A39" s="72" t="s">
        <v>554</v>
      </c>
      <c r="B39" s="73">
        <v>2699</v>
      </c>
      <c r="C39" s="74">
        <v>233.50611337532419</v>
      </c>
      <c r="D39" s="30"/>
      <c r="E39" s="30"/>
      <c r="F39" s="30"/>
      <c r="G39" s="30"/>
      <c r="H39" s="30"/>
      <c r="I39" s="30"/>
      <c r="J39" s="30"/>
      <c r="K39" s="30"/>
      <c r="L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row>
    <row r="40" spans="1:56" ht="15.5" x14ac:dyDescent="0.35">
      <c r="A40" s="75" t="s">
        <v>76</v>
      </c>
      <c r="B40" s="76">
        <v>293</v>
      </c>
      <c r="C40" s="77">
        <v>219.52559726962457</v>
      </c>
      <c r="D40" s="30"/>
      <c r="E40" s="30"/>
      <c r="F40" s="30"/>
      <c r="G40" s="30"/>
      <c r="H40" s="30"/>
      <c r="I40" s="30"/>
      <c r="J40" s="30"/>
      <c r="K40" s="30"/>
      <c r="L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row>
    <row r="41" spans="1:56" ht="15.5" x14ac:dyDescent="0.35">
      <c r="A41" s="75" t="s">
        <v>548</v>
      </c>
      <c r="B41" s="76">
        <v>2326</v>
      </c>
      <c r="C41" s="77">
        <v>209.65133276010317</v>
      </c>
      <c r="D41" s="30"/>
      <c r="E41" s="30"/>
      <c r="F41" s="30"/>
      <c r="G41" s="30"/>
      <c r="H41" s="30"/>
      <c r="I41" s="30"/>
      <c r="J41" s="30"/>
      <c r="K41" s="30"/>
      <c r="L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row>
    <row r="42" spans="1:56" ht="15.5" x14ac:dyDescent="0.35">
      <c r="A42" s="75" t="s">
        <v>23</v>
      </c>
      <c r="B42" s="76">
        <v>80</v>
      </c>
      <c r="C42" s="77">
        <v>978.28750000000002</v>
      </c>
      <c r="D42" s="30"/>
      <c r="E42" s="30"/>
      <c r="F42" s="30"/>
      <c r="G42" s="30"/>
      <c r="H42" s="30"/>
      <c r="I42" s="30"/>
      <c r="J42" s="30"/>
      <c r="K42" s="30"/>
      <c r="L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row>
    <row r="43" spans="1:56" x14ac:dyDescent="0.35">
      <c r="A43" s="72" t="s">
        <v>555</v>
      </c>
      <c r="B43" s="73">
        <v>2596</v>
      </c>
      <c r="C43" s="74">
        <v>839.65023112480742</v>
      </c>
      <c r="D43" s="30"/>
      <c r="E43" s="30"/>
      <c r="F43" s="30"/>
      <c r="G43" s="30"/>
      <c r="H43" s="30"/>
      <c r="I43" s="30"/>
      <c r="J43" s="30"/>
      <c r="K43" s="30"/>
      <c r="L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row>
    <row r="44" spans="1:56" ht="15.5" x14ac:dyDescent="0.35">
      <c r="A44" s="75" t="s">
        <v>76</v>
      </c>
      <c r="B44" s="76">
        <v>15</v>
      </c>
      <c r="C44" s="77">
        <v>204.66666666666666</v>
      </c>
      <c r="D44" s="30"/>
      <c r="E44" s="30"/>
      <c r="F44" s="30"/>
      <c r="G44" s="30"/>
      <c r="H44" s="30"/>
      <c r="I44" s="30"/>
      <c r="J44" s="30"/>
      <c r="K44" s="30"/>
      <c r="L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row>
    <row r="45" spans="1:56" ht="15.5" x14ac:dyDescent="0.35">
      <c r="A45" s="75" t="s">
        <v>548</v>
      </c>
      <c r="B45" s="76">
        <v>2026</v>
      </c>
      <c r="C45" s="77">
        <v>575.5399802566634</v>
      </c>
      <c r="D45" s="30"/>
      <c r="E45" s="30"/>
      <c r="F45" s="30"/>
      <c r="G45" s="30"/>
      <c r="H45" s="30"/>
      <c r="I45" s="30"/>
      <c r="J45" s="30"/>
      <c r="K45" s="30"/>
      <c r="L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row>
    <row r="46" spans="1:56" ht="15.5" x14ac:dyDescent="0.35">
      <c r="A46" s="75" t="s">
        <v>23</v>
      </c>
      <c r="B46" s="76">
        <v>555</v>
      </c>
      <c r="C46" s="77">
        <v>1820.9333333333334</v>
      </c>
      <c r="D46" s="30"/>
      <c r="E46" s="30"/>
      <c r="F46" s="30"/>
      <c r="G46" s="30"/>
      <c r="H46" s="30"/>
      <c r="I46" s="30"/>
      <c r="J46" s="30"/>
      <c r="K46" s="30"/>
      <c r="L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row>
    <row r="47" spans="1:56" x14ac:dyDescent="0.35">
      <c r="A47" s="72" t="s">
        <v>556</v>
      </c>
      <c r="B47" s="73">
        <v>8336</v>
      </c>
      <c r="C47" s="74">
        <v>1007.4315019193858</v>
      </c>
      <c r="D47" s="30"/>
      <c r="E47" s="30"/>
      <c r="F47" s="30"/>
      <c r="G47" s="30"/>
      <c r="H47" s="30"/>
      <c r="I47" s="30"/>
      <c r="J47" s="30"/>
      <c r="K47" s="30"/>
      <c r="L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row>
    <row r="48" spans="1:56" ht="15.5" x14ac:dyDescent="0.35">
      <c r="A48" s="75" t="s">
        <v>76</v>
      </c>
      <c r="B48" s="76">
        <v>137</v>
      </c>
      <c r="C48" s="77">
        <v>453.021897810219</v>
      </c>
      <c r="D48" s="30"/>
      <c r="E48" s="30"/>
      <c r="F48" s="30"/>
      <c r="G48" s="30"/>
      <c r="H48" s="30"/>
      <c r="I48" s="30"/>
      <c r="J48" s="30"/>
      <c r="K48" s="30"/>
      <c r="L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row>
    <row r="49" spans="1:56" ht="15.5" x14ac:dyDescent="0.35">
      <c r="A49" s="75" t="s">
        <v>548</v>
      </c>
      <c r="B49" s="76">
        <v>6529</v>
      </c>
      <c r="C49" s="77">
        <v>827.5382141216113</v>
      </c>
      <c r="D49" s="30"/>
      <c r="E49" s="30"/>
      <c r="F49" s="30"/>
      <c r="G49" s="30"/>
      <c r="H49" s="30"/>
      <c r="I49" s="30"/>
      <c r="J49" s="30"/>
      <c r="K49" s="30"/>
      <c r="L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row>
    <row r="50" spans="1:56" ht="15.5" x14ac:dyDescent="0.35">
      <c r="A50" s="75" t="s">
        <v>23</v>
      </c>
      <c r="B50" s="76">
        <v>1670</v>
      </c>
      <c r="C50" s="77">
        <v>1756.2203592814371</v>
      </c>
      <c r="D50" s="30"/>
      <c r="E50" s="30"/>
      <c r="F50" s="30"/>
      <c r="G50" s="30"/>
      <c r="H50" s="30"/>
      <c r="I50" s="30"/>
      <c r="J50" s="30"/>
      <c r="K50" s="30"/>
      <c r="L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row>
    <row r="51" spans="1:56" x14ac:dyDescent="0.35">
      <c r="A51" s="72" t="s">
        <v>557</v>
      </c>
      <c r="B51" s="73">
        <v>6648</v>
      </c>
      <c r="C51" s="74">
        <v>196.68742478941036</v>
      </c>
      <c r="D51" s="30"/>
      <c r="E51" s="30"/>
      <c r="F51" s="30"/>
      <c r="G51" s="30"/>
      <c r="H51" s="30"/>
      <c r="I51" s="30"/>
      <c r="J51" s="30"/>
      <c r="K51" s="30"/>
      <c r="L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row>
    <row r="52" spans="1:56" ht="15.5" x14ac:dyDescent="0.35">
      <c r="A52" s="75" t="s">
        <v>76</v>
      </c>
      <c r="B52" s="76">
        <v>3983</v>
      </c>
      <c r="C52" s="77">
        <v>54.552849610846096</v>
      </c>
      <c r="D52" s="30"/>
      <c r="E52" s="30"/>
      <c r="F52" s="30"/>
      <c r="G52" s="30"/>
      <c r="H52" s="30"/>
      <c r="I52" s="30"/>
      <c r="J52" s="30"/>
      <c r="K52" s="30"/>
      <c r="L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row>
    <row r="53" spans="1:56" ht="15.5" x14ac:dyDescent="0.35">
      <c r="A53" s="75" t="s">
        <v>548</v>
      </c>
      <c r="B53" s="76">
        <v>2014</v>
      </c>
      <c r="C53" s="77">
        <v>141.16881827209534</v>
      </c>
      <c r="D53" s="30"/>
      <c r="E53" s="30"/>
      <c r="F53" s="30"/>
      <c r="G53" s="30"/>
      <c r="H53" s="30"/>
      <c r="I53" s="30"/>
      <c r="J53" s="30"/>
      <c r="K53" s="30"/>
      <c r="L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row>
    <row r="54" spans="1:56" ht="15.5" x14ac:dyDescent="0.35">
      <c r="A54" s="75" t="s">
        <v>23</v>
      </c>
      <c r="B54" s="76">
        <v>651</v>
      </c>
      <c r="C54" s="77">
        <v>1238.0645161290322</v>
      </c>
      <c r="D54" s="30"/>
      <c r="E54" s="30"/>
      <c r="F54" s="30"/>
      <c r="G54" s="30"/>
      <c r="H54" s="30"/>
      <c r="I54" s="30"/>
      <c r="J54" s="30"/>
      <c r="K54" s="30"/>
      <c r="L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row>
    <row r="55" spans="1:56" x14ac:dyDescent="0.35">
      <c r="A55" s="72" t="s">
        <v>558</v>
      </c>
      <c r="B55" s="73">
        <v>7227</v>
      </c>
      <c r="C55" s="74">
        <v>69.336239103362388</v>
      </c>
      <c r="D55" s="30"/>
      <c r="E55" s="30"/>
      <c r="F55" s="30"/>
      <c r="G55" s="30"/>
      <c r="H55" s="30"/>
      <c r="I55" s="30"/>
      <c r="J55" s="30"/>
      <c r="K55" s="30"/>
      <c r="L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row>
    <row r="56" spans="1:56" ht="15.5" x14ac:dyDescent="0.35">
      <c r="A56" s="75" t="s">
        <v>76</v>
      </c>
      <c r="B56" s="76">
        <v>3414</v>
      </c>
      <c r="C56" s="77">
        <v>62.360574106619801</v>
      </c>
      <c r="D56" s="30"/>
      <c r="E56" s="30"/>
      <c r="F56" s="30"/>
      <c r="G56" s="30"/>
      <c r="H56" s="30"/>
      <c r="I56" s="30"/>
      <c r="J56" s="30"/>
      <c r="K56" s="30"/>
      <c r="L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row>
    <row r="57" spans="1:56" ht="15.5" x14ac:dyDescent="0.35">
      <c r="A57" s="75" t="s">
        <v>548</v>
      </c>
      <c r="B57" s="76">
        <v>3680</v>
      </c>
      <c r="C57" s="77">
        <v>72.823097826086951</v>
      </c>
      <c r="D57" s="30"/>
      <c r="E57" s="30"/>
      <c r="F57" s="30"/>
      <c r="G57" s="30"/>
      <c r="H57" s="30"/>
      <c r="I57" s="30"/>
      <c r="J57" s="30"/>
      <c r="K57" s="30"/>
      <c r="L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row>
    <row r="58" spans="1:56" ht="15.5" x14ac:dyDescent="0.35">
      <c r="A58" s="75" t="s">
        <v>23</v>
      </c>
      <c r="B58" s="76">
        <v>133</v>
      </c>
      <c r="C58" s="77">
        <v>151.91729323308272</v>
      </c>
      <c r="D58" s="30"/>
      <c r="E58" s="30"/>
      <c r="F58" s="30"/>
      <c r="G58" s="30"/>
      <c r="H58" s="30"/>
      <c r="I58" s="30"/>
      <c r="J58" s="30"/>
      <c r="K58" s="30"/>
      <c r="L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row>
    <row r="59" spans="1:56" x14ac:dyDescent="0.35">
      <c r="A59" s="72" t="s">
        <v>558</v>
      </c>
      <c r="B59" s="73">
        <v>3493</v>
      </c>
      <c r="C59" s="74">
        <v>203.99284282851417</v>
      </c>
      <c r="D59" s="30"/>
      <c r="E59" s="30"/>
      <c r="F59" s="30"/>
      <c r="G59" s="30"/>
      <c r="H59" s="30"/>
      <c r="I59" s="30"/>
      <c r="J59" s="30"/>
      <c r="K59" s="30"/>
      <c r="L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row>
    <row r="60" spans="1:56" ht="15.5" x14ac:dyDescent="0.35">
      <c r="A60" s="75" t="s">
        <v>76</v>
      </c>
      <c r="B60" s="76">
        <v>1546</v>
      </c>
      <c r="C60" s="77">
        <v>182.11448900388098</v>
      </c>
      <c r="D60" s="30"/>
      <c r="E60" s="30"/>
      <c r="F60" s="30"/>
      <c r="G60" s="30"/>
      <c r="H60" s="30"/>
      <c r="I60" s="30"/>
      <c r="J60" s="30"/>
      <c r="K60" s="30"/>
      <c r="L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row>
    <row r="61" spans="1:56" ht="15.5" x14ac:dyDescent="0.35">
      <c r="A61" s="75" t="s">
        <v>548</v>
      </c>
      <c r="B61" s="76">
        <v>1925</v>
      </c>
      <c r="C61" s="77">
        <v>215.20883116883118</v>
      </c>
      <c r="D61" s="30"/>
      <c r="E61" s="30"/>
      <c r="F61" s="30"/>
      <c r="G61" s="30"/>
      <c r="H61" s="30"/>
      <c r="I61" s="30"/>
      <c r="J61" s="30"/>
      <c r="K61" s="30"/>
      <c r="L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row>
    <row r="62" spans="1:56" ht="15.5" x14ac:dyDescent="0.35">
      <c r="A62" s="75" t="s">
        <v>23</v>
      </c>
      <c r="B62" s="76">
        <v>22</v>
      </c>
      <c r="C62" s="77">
        <v>760.0454545454545</v>
      </c>
      <c r="D62" s="30"/>
      <c r="E62" s="30"/>
      <c r="F62" s="30"/>
      <c r="G62" s="30"/>
      <c r="H62" s="30"/>
      <c r="I62" s="30"/>
      <c r="J62" s="30"/>
      <c r="K62" s="30"/>
      <c r="L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row>
    <row r="63" spans="1:56" x14ac:dyDescent="0.35">
      <c r="A63" s="72" t="s">
        <v>559</v>
      </c>
      <c r="B63" s="73">
        <v>11373</v>
      </c>
      <c r="C63" s="74">
        <v>914.52483953222543</v>
      </c>
      <c r="D63" s="30"/>
      <c r="E63" s="30"/>
      <c r="F63" s="30"/>
      <c r="G63" s="30"/>
      <c r="H63" s="30"/>
      <c r="I63" s="30"/>
      <c r="J63" s="30"/>
      <c r="K63" s="30"/>
      <c r="L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row>
    <row r="64" spans="1:56" ht="15.5" x14ac:dyDescent="0.35">
      <c r="A64" s="75" t="s">
        <v>76</v>
      </c>
      <c r="B64" s="76">
        <v>1898</v>
      </c>
      <c r="C64" s="77">
        <v>407.37565858798735</v>
      </c>
      <c r="D64" s="30"/>
      <c r="E64" s="30"/>
      <c r="F64" s="30"/>
      <c r="G64" s="30"/>
      <c r="H64" s="30"/>
      <c r="I64" s="30"/>
      <c r="J64" s="30"/>
      <c r="K64" s="30"/>
      <c r="L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row>
    <row r="65" spans="1:56" ht="15.5" x14ac:dyDescent="0.35">
      <c r="A65" s="75" t="s">
        <v>548</v>
      </c>
      <c r="B65" s="76">
        <v>4017</v>
      </c>
      <c r="C65" s="77">
        <v>650.07518048294742</v>
      </c>
      <c r="D65" s="30"/>
      <c r="E65" s="30"/>
      <c r="F65" s="30"/>
      <c r="G65" s="30"/>
      <c r="H65" s="30"/>
      <c r="I65" s="30"/>
      <c r="J65" s="30"/>
      <c r="K65" s="30"/>
      <c r="L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row>
    <row r="66" spans="1:56" ht="15.5" x14ac:dyDescent="0.35">
      <c r="A66" s="75" t="s">
        <v>23</v>
      </c>
      <c r="B66" s="76">
        <v>5458</v>
      </c>
      <c r="C66" s="77">
        <v>1285.5148406009528</v>
      </c>
      <c r="D66" s="30"/>
      <c r="E66" s="30"/>
      <c r="F66" s="30"/>
      <c r="G66" s="30"/>
      <c r="H66" s="30"/>
      <c r="I66" s="30"/>
      <c r="J66" s="30"/>
      <c r="K66" s="30"/>
      <c r="L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row>
    <row r="67" spans="1:56" x14ac:dyDescent="0.35">
      <c r="A67" s="72" t="s">
        <v>560</v>
      </c>
      <c r="B67" s="73">
        <v>10103</v>
      </c>
      <c r="C67" s="74">
        <v>281.40334554092846</v>
      </c>
      <c r="D67" s="30"/>
      <c r="E67" s="30"/>
      <c r="F67" s="30"/>
      <c r="G67" s="30"/>
      <c r="H67" s="30"/>
      <c r="I67" s="30"/>
      <c r="J67" s="30"/>
      <c r="K67" s="30"/>
      <c r="L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row>
    <row r="68" spans="1:56" ht="15.5" x14ac:dyDescent="0.35">
      <c r="A68" s="75" t="s">
        <v>76</v>
      </c>
      <c r="B68" s="76">
        <v>1978</v>
      </c>
      <c r="C68" s="77">
        <v>192.92113245702731</v>
      </c>
      <c r="D68" s="30"/>
      <c r="E68" s="30"/>
      <c r="F68" s="30"/>
      <c r="G68" s="30"/>
      <c r="H68" s="30"/>
      <c r="I68" s="30"/>
      <c r="J68" s="30"/>
      <c r="K68" s="30"/>
      <c r="L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row>
    <row r="69" spans="1:56" ht="15.5" x14ac:dyDescent="0.35">
      <c r="A69" s="75" t="s">
        <v>548</v>
      </c>
      <c r="B69" s="76">
        <v>7980</v>
      </c>
      <c r="C69" s="77">
        <v>298.87380952380954</v>
      </c>
      <c r="D69" s="30"/>
      <c r="E69" s="30"/>
      <c r="F69" s="30"/>
      <c r="G69" s="30"/>
      <c r="H69" s="30"/>
      <c r="I69" s="30"/>
      <c r="J69" s="30"/>
      <c r="K69" s="30"/>
      <c r="L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row>
    <row r="70" spans="1:56" ht="15.5" x14ac:dyDescent="0.35">
      <c r="A70" s="75" t="s">
        <v>23</v>
      </c>
      <c r="B70" s="76">
        <v>145</v>
      </c>
      <c r="C70" s="77">
        <v>526.94482758620688</v>
      </c>
      <c r="D70" s="30"/>
      <c r="E70" s="30"/>
      <c r="F70" s="30"/>
      <c r="G70" s="30"/>
      <c r="H70" s="30"/>
      <c r="I70" s="30"/>
      <c r="J70" s="30"/>
      <c r="K70" s="30"/>
      <c r="L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row>
    <row r="71" spans="1:56" x14ac:dyDescent="0.35">
      <c r="A71" s="72" t="s">
        <v>561</v>
      </c>
      <c r="B71" s="73">
        <v>3282</v>
      </c>
      <c r="C71" s="74">
        <v>561.1255332114564</v>
      </c>
      <c r="D71" s="30"/>
      <c r="E71" s="30"/>
      <c r="F71" s="30"/>
      <c r="G71" s="30"/>
      <c r="H71" s="30"/>
      <c r="I71" s="30"/>
      <c r="J71" s="30"/>
      <c r="K71" s="30"/>
      <c r="L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row>
    <row r="72" spans="1:56" ht="15.5" x14ac:dyDescent="0.35">
      <c r="A72" s="75" t="s">
        <v>76</v>
      </c>
      <c r="B72" s="76">
        <v>251</v>
      </c>
      <c r="C72" s="77">
        <v>393.86454183266932</v>
      </c>
      <c r="D72" s="30"/>
      <c r="E72" s="30"/>
      <c r="F72" s="30"/>
      <c r="G72" s="30"/>
      <c r="H72" s="30"/>
      <c r="I72" s="30"/>
      <c r="J72" s="30"/>
      <c r="K72" s="30"/>
      <c r="L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row>
    <row r="73" spans="1:56" ht="15.5" x14ac:dyDescent="0.35">
      <c r="A73" s="75" t="s">
        <v>548</v>
      </c>
      <c r="B73" s="76">
        <v>2771</v>
      </c>
      <c r="C73" s="77">
        <v>529.76145795741604</v>
      </c>
      <c r="D73" s="30"/>
      <c r="E73" s="30"/>
      <c r="F73" s="30"/>
      <c r="G73" s="30"/>
      <c r="H73" s="30"/>
      <c r="I73" s="30"/>
      <c r="J73" s="30"/>
      <c r="K73" s="30"/>
      <c r="L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row>
    <row r="74" spans="1:56" ht="15.5" x14ac:dyDescent="0.35">
      <c r="A74" s="75" t="s">
        <v>23</v>
      </c>
      <c r="B74" s="76">
        <v>260</v>
      </c>
      <c r="C74" s="77">
        <v>1056.8653846153845</v>
      </c>
      <c r="D74" s="30"/>
      <c r="E74" s="30"/>
      <c r="F74" s="30"/>
      <c r="G74" s="30"/>
      <c r="H74" s="30"/>
      <c r="I74" s="30"/>
      <c r="J74" s="30"/>
      <c r="K74" s="30"/>
      <c r="L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row>
    <row r="75" spans="1:56" x14ac:dyDescent="0.35">
      <c r="A75" s="72" t="s">
        <v>562</v>
      </c>
      <c r="B75" s="73">
        <v>5981</v>
      </c>
      <c r="C75" s="74">
        <v>281.79568634007688</v>
      </c>
      <c r="D75" s="30"/>
      <c r="E75" s="30"/>
      <c r="F75" s="30"/>
      <c r="G75" s="30"/>
      <c r="H75" s="30"/>
      <c r="I75" s="30"/>
      <c r="J75" s="30"/>
      <c r="K75" s="30"/>
      <c r="L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row>
    <row r="76" spans="1:56" ht="15.5" x14ac:dyDescent="0.35">
      <c r="A76" s="75" t="s">
        <v>76</v>
      </c>
      <c r="B76" s="76">
        <v>685</v>
      </c>
      <c r="C76" s="77">
        <v>257.68175182481752</v>
      </c>
      <c r="D76" s="30"/>
      <c r="E76" s="30"/>
      <c r="F76" s="30"/>
      <c r="G76" s="30"/>
      <c r="H76" s="30"/>
      <c r="I76" s="30"/>
      <c r="J76" s="30"/>
      <c r="K76" s="30"/>
      <c r="L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row>
    <row r="77" spans="1:56" ht="15.5" x14ac:dyDescent="0.35">
      <c r="A77" s="75" t="s">
        <v>548</v>
      </c>
      <c r="B77" s="76">
        <v>4831</v>
      </c>
      <c r="C77" s="77">
        <v>179.83088387497412</v>
      </c>
      <c r="D77" s="30"/>
      <c r="E77" s="30"/>
      <c r="F77" s="30"/>
      <c r="G77" s="30"/>
      <c r="H77" s="30"/>
      <c r="I77" s="30"/>
      <c r="J77" s="30"/>
      <c r="K77" s="30"/>
      <c r="L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row>
    <row r="78" spans="1:56" ht="15.5" x14ac:dyDescent="0.35">
      <c r="A78" s="75" t="s">
        <v>23</v>
      </c>
      <c r="B78" s="76">
        <v>465</v>
      </c>
      <c r="C78" s="77">
        <v>1376.6559139784947</v>
      </c>
      <c r="D78" s="30"/>
      <c r="E78" s="30"/>
      <c r="F78" s="30"/>
      <c r="G78" s="30"/>
      <c r="H78" s="30"/>
      <c r="I78" s="30"/>
      <c r="J78" s="30"/>
      <c r="K78" s="30"/>
      <c r="L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row>
    <row r="79" spans="1:56" x14ac:dyDescent="0.35">
      <c r="A79" s="72" t="s">
        <v>563</v>
      </c>
      <c r="B79" s="73">
        <v>11705</v>
      </c>
      <c r="C79" s="74">
        <v>783.08568987612136</v>
      </c>
      <c r="D79" s="30"/>
      <c r="E79" s="30"/>
      <c r="F79" s="30"/>
      <c r="G79" s="30"/>
      <c r="H79" s="30"/>
      <c r="I79" s="30"/>
      <c r="J79" s="30"/>
      <c r="K79" s="30"/>
      <c r="L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row>
    <row r="80" spans="1:56" ht="15.5" x14ac:dyDescent="0.35">
      <c r="A80" s="75" t="s">
        <v>76</v>
      </c>
      <c r="B80" s="76">
        <v>931</v>
      </c>
      <c r="C80" s="77">
        <v>252.01825993555317</v>
      </c>
      <c r="D80" s="30"/>
      <c r="E80" s="30"/>
      <c r="F80" s="30"/>
      <c r="G80" s="30"/>
      <c r="H80" s="30"/>
      <c r="I80" s="30"/>
      <c r="J80" s="30"/>
      <c r="K80" s="30"/>
      <c r="L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row>
    <row r="81" spans="1:56" ht="15.5" x14ac:dyDescent="0.35">
      <c r="A81" s="75" t="s">
        <v>548</v>
      </c>
      <c r="B81" s="76">
        <v>8789</v>
      </c>
      <c r="C81" s="77">
        <v>612.45818636932529</v>
      </c>
      <c r="D81" s="30"/>
      <c r="E81" s="30"/>
      <c r="F81" s="30"/>
      <c r="G81" s="30"/>
      <c r="H81" s="30"/>
      <c r="I81" s="30"/>
      <c r="J81" s="30"/>
      <c r="K81" s="30"/>
      <c r="L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row>
    <row r="82" spans="1:56" ht="15.5" x14ac:dyDescent="0.35">
      <c r="A82" s="75" t="s">
        <v>23</v>
      </c>
      <c r="B82" s="76">
        <v>1985</v>
      </c>
      <c r="C82" s="77">
        <v>1787.6544080604533</v>
      </c>
      <c r="D82" s="30"/>
      <c r="E82" s="30"/>
      <c r="F82" s="30"/>
      <c r="G82" s="30"/>
      <c r="H82" s="30"/>
      <c r="I82" s="30"/>
      <c r="J82" s="30"/>
      <c r="K82" s="30"/>
      <c r="L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row>
    <row r="83" spans="1:56" x14ac:dyDescent="0.35">
      <c r="A83" s="72" t="s">
        <v>564</v>
      </c>
      <c r="B83" s="73">
        <v>3238</v>
      </c>
      <c r="C83" s="74">
        <v>427.37492279184681</v>
      </c>
      <c r="D83" s="30"/>
      <c r="E83" s="30"/>
      <c r="F83" s="30"/>
      <c r="G83" s="30"/>
      <c r="H83" s="30"/>
      <c r="I83" s="30"/>
      <c r="J83" s="30"/>
      <c r="K83" s="30"/>
      <c r="L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row>
    <row r="84" spans="1:56" ht="15.5" x14ac:dyDescent="0.35">
      <c r="A84" s="75" t="s">
        <v>76</v>
      </c>
      <c r="B84" s="76">
        <v>134</v>
      </c>
      <c r="C84" s="77">
        <v>225.25373134328359</v>
      </c>
      <c r="D84" s="30"/>
      <c r="E84" s="30"/>
      <c r="F84" s="30"/>
      <c r="G84" s="30"/>
      <c r="H84" s="30"/>
      <c r="I84" s="30"/>
      <c r="J84" s="30"/>
      <c r="K84" s="30"/>
      <c r="L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row>
    <row r="85" spans="1:56" ht="15.5" x14ac:dyDescent="0.35">
      <c r="A85" s="75" t="s">
        <v>548</v>
      </c>
      <c r="B85" s="76">
        <v>2917</v>
      </c>
      <c r="C85" s="77">
        <v>396.60233116215289</v>
      </c>
      <c r="D85" s="30"/>
      <c r="E85" s="30"/>
      <c r="F85" s="30"/>
      <c r="G85" s="30"/>
      <c r="H85" s="30"/>
      <c r="I85" s="30"/>
      <c r="J85" s="30"/>
      <c r="K85" s="30"/>
      <c r="L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row>
    <row r="86" spans="1:56" ht="15.5" x14ac:dyDescent="0.35">
      <c r="A86" s="75" t="s">
        <v>23</v>
      </c>
      <c r="B86" s="76">
        <v>187</v>
      </c>
      <c r="C86" s="77">
        <v>1052.2299465240642</v>
      </c>
      <c r="D86" s="30"/>
      <c r="E86" s="30"/>
      <c r="F86" s="30"/>
      <c r="G86" s="30"/>
      <c r="H86" s="30"/>
      <c r="I86" s="30"/>
      <c r="J86" s="30"/>
      <c r="K86" s="30"/>
      <c r="L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row>
    <row r="87" spans="1:56" x14ac:dyDescent="0.35">
      <c r="A87" s="72" t="s">
        <v>565</v>
      </c>
      <c r="B87" s="73">
        <v>4672</v>
      </c>
      <c r="C87" s="74">
        <v>105.39875856164383</v>
      </c>
      <c r="D87" s="30"/>
      <c r="E87" s="30"/>
      <c r="F87" s="30"/>
      <c r="G87" s="30"/>
      <c r="H87" s="30"/>
      <c r="I87" s="30"/>
      <c r="J87" s="30"/>
      <c r="K87" s="30"/>
      <c r="L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row>
    <row r="88" spans="1:56" ht="15.5" x14ac:dyDescent="0.35">
      <c r="A88" s="75" t="s">
        <v>76</v>
      </c>
      <c r="B88" s="76">
        <v>2044</v>
      </c>
      <c r="C88" s="77">
        <v>71.487769080234827</v>
      </c>
      <c r="D88" s="30"/>
      <c r="E88" s="30"/>
      <c r="F88" s="30"/>
      <c r="G88" s="30"/>
      <c r="H88" s="30"/>
      <c r="I88" s="30"/>
      <c r="J88" s="30"/>
      <c r="K88" s="30"/>
      <c r="L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row>
    <row r="89" spans="1:56" ht="15.5" x14ac:dyDescent="0.35">
      <c r="A89" s="75" t="s">
        <v>548</v>
      </c>
      <c r="B89" s="76">
        <v>2606</v>
      </c>
      <c r="C89" s="77">
        <v>128.99347659247888</v>
      </c>
      <c r="D89" s="30"/>
      <c r="E89" s="30"/>
      <c r="F89" s="30"/>
      <c r="G89" s="30"/>
      <c r="H89" s="30"/>
      <c r="I89" s="30"/>
      <c r="J89" s="30"/>
      <c r="K89" s="30"/>
      <c r="L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row>
    <row r="90" spans="1:56" ht="15.5" x14ac:dyDescent="0.35">
      <c r="A90" s="75" t="s">
        <v>23</v>
      </c>
      <c r="B90" s="76">
        <v>22</v>
      </c>
      <c r="C90" s="77">
        <v>461.13636363636363</v>
      </c>
      <c r="D90" s="30"/>
      <c r="E90" s="30"/>
      <c r="F90" s="30"/>
      <c r="G90" s="30"/>
      <c r="H90" s="30"/>
      <c r="I90" s="30"/>
      <c r="J90" s="30"/>
      <c r="K90" s="30"/>
      <c r="L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row>
    <row r="91" spans="1:56" x14ac:dyDescent="0.35">
      <c r="A91" s="72" t="s">
        <v>566</v>
      </c>
      <c r="B91" s="73">
        <v>3867</v>
      </c>
      <c r="C91" s="74">
        <v>888.24903025601236</v>
      </c>
      <c r="D91" s="30"/>
      <c r="E91" s="30"/>
      <c r="F91" s="30"/>
      <c r="G91" s="30"/>
      <c r="H91" s="30"/>
      <c r="I91" s="30"/>
      <c r="J91" s="30"/>
      <c r="K91" s="30"/>
      <c r="L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row>
    <row r="92" spans="1:56" ht="15.5" x14ac:dyDescent="0.35">
      <c r="A92" s="75" t="s">
        <v>76</v>
      </c>
      <c r="B92" s="76">
        <v>299</v>
      </c>
      <c r="C92" s="77">
        <v>352.62541806020067</v>
      </c>
      <c r="D92" s="30"/>
      <c r="E92" s="30"/>
      <c r="F92" s="30"/>
      <c r="G92" s="30"/>
      <c r="H92" s="30"/>
      <c r="I92" s="30"/>
      <c r="J92" s="30"/>
      <c r="K92" s="30"/>
      <c r="L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row>
    <row r="93" spans="1:56" ht="15.5" x14ac:dyDescent="0.35">
      <c r="A93" s="75" t="s">
        <v>548</v>
      </c>
      <c r="B93" s="76">
        <v>3186</v>
      </c>
      <c r="C93" s="77">
        <v>873.27589453860639</v>
      </c>
      <c r="D93" s="30"/>
      <c r="E93" s="30"/>
      <c r="F93" s="30"/>
      <c r="G93" s="30"/>
      <c r="H93" s="30"/>
      <c r="I93" s="30"/>
      <c r="J93" s="30"/>
      <c r="K93" s="30"/>
      <c r="L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row>
    <row r="94" spans="1:56" ht="15.5" x14ac:dyDescent="0.35">
      <c r="A94" s="75" t="s">
        <v>23</v>
      </c>
      <c r="B94" s="76">
        <v>382</v>
      </c>
      <c r="C94" s="77">
        <v>1432.3743455497381</v>
      </c>
      <c r="D94" s="30"/>
      <c r="E94" s="30"/>
      <c r="F94" s="30"/>
      <c r="G94" s="30"/>
      <c r="H94" s="30"/>
      <c r="I94" s="30"/>
      <c r="J94" s="30"/>
      <c r="K94" s="30"/>
      <c r="L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row>
    <row r="95" spans="1:56" x14ac:dyDescent="0.35">
      <c r="A95" s="72" t="s">
        <v>567</v>
      </c>
      <c r="B95" s="73">
        <v>8690</v>
      </c>
      <c r="C95" s="74">
        <v>160.95350978135789</v>
      </c>
      <c r="D95" s="30"/>
      <c r="E95" s="30"/>
      <c r="F95" s="30"/>
      <c r="G95" s="30"/>
      <c r="H95" s="30"/>
      <c r="I95" s="30"/>
      <c r="J95" s="30"/>
      <c r="K95" s="30"/>
      <c r="L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row>
    <row r="96" spans="1:56" ht="15.5" x14ac:dyDescent="0.35">
      <c r="A96" s="75" t="s">
        <v>76</v>
      </c>
      <c r="B96" s="76">
        <v>2341</v>
      </c>
      <c r="C96" s="77">
        <v>71.715506193934218</v>
      </c>
      <c r="D96" s="30"/>
      <c r="E96" s="30"/>
      <c r="F96" s="30"/>
      <c r="G96" s="30"/>
      <c r="H96" s="30"/>
      <c r="I96" s="30"/>
      <c r="J96" s="30"/>
      <c r="K96" s="30"/>
      <c r="L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row>
    <row r="97" spans="1:56" ht="15.5" x14ac:dyDescent="0.35">
      <c r="A97" s="75" t="s">
        <v>548</v>
      </c>
      <c r="B97" s="76">
        <v>4782</v>
      </c>
      <c r="C97" s="77">
        <v>145.79966541196151</v>
      </c>
      <c r="D97" s="30"/>
      <c r="E97" s="30"/>
      <c r="F97" s="30"/>
      <c r="G97" s="30"/>
      <c r="H97" s="30"/>
      <c r="I97" s="30"/>
      <c r="J97" s="30"/>
      <c r="K97" s="30"/>
      <c r="L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row>
    <row r="98" spans="1:56" ht="15.5" x14ac:dyDescent="0.35">
      <c r="A98" s="75" t="s">
        <v>23</v>
      </c>
      <c r="B98" s="76">
        <v>1567</v>
      </c>
      <c r="C98" s="77">
        <v>340.51435864709634</v>
      </c>
      <c r="D98" s="30"/>
      <c r="E98" s="30"/>
      <c r="F98" s="30"/>
      <c r="G98" s="30"/>
      <c r="H98" s="30"/>
      <c r="I98" s="30"/>
      <c r="J98" s="30"/>
      <c r="K98" s="30"/>
      <c r="L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row>
    <row r="99" spans="1:56" x14ac:dyDescent="0.35">
      <c r="A99" s="72" t="s">
        <v>568</v>
      </c>
      <c r="B99" s="73">
        <v>5118</v>
      </c>
      <c r="C99" s="74">
        <v>593.47049628761238</v>
      </c>
      <c r="D99" s="30"/>
      <c r="E99" s="30"/>
      <c r="F99" s="30"/>
      <c r="G99" s="30"/>
      <c r="H99" s="30"/>
      <c r="I99" s="30"/>
      <c r="J99" s="30"/>
      <c r="K99" s="30"/>
      <c r="L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row>
    <row r="100" spans="1:56" ht="15.5" x14ac:dyDescent="0.35">
      <c r="A100" s="75" t="s">
        <v>76</v>
      </c>
      <c r="B100" s="76">
        <v>2401</v>
      </c>
      <c r="C100" s="77">
        <v>167.64681382757183</v>
      </c>
      <c r="D100" s="30"/>
      <c r="E100" s="30"/>
      <c r="F100" s="30"/>
      <c r="G100" s="30"/>
      <c r="H100" s="30"/>
      <c r="I100" s="30"/>
      <c r="J100" s="30"/>
      <c r="K100" s="30"/>
      <c r="L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row>
    <row r="101" spans="1:56" ht="15.5" x14ac:dyDescent="0.35">
      <c r="A101" s="75" t="s">
        <v>548</v>
      </c>
      <c r="B101" s="76">
        <v>2036</v>
      </c>
      <c r="C101" s="77">
        <v>779.97053045186635</v>
      </c>
      <c r="D101" s="30"/>
      <c r="E101" s="30"/>
      <c r="F101" s="30"/>
      <c r="G101" s="30"/>
      <c r="H101" s="30"/>
      <c r="I101" s="30"/>
      <c r="J101" s="30"/>
      <c r="K101" s="30"/>
      <c r="L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row>
    <row r="102" spans="1:56" ht="15.5" x14ac:dyDescent="0.35">
      <c r="A102" s="75" t="s">
        <v>23</v>
      </c>
      <c r="B102" s="76">
        <v>681</v>
      </c>
      <c r="C102" s="77">
        <v>1537.2129221732746</v>
      </c>
      <c r="D102" s="30"/>
      <c r="E102" s="30"/>
      <c r="F102" s="30"/>
      <c r="G102" s="30"/>
      <c r="H102" s="30"/>
      <c r="I102" s="30"/>
      <c r="J102" s="30"/>
      <c r="K102" s="30"/>
      <c r="L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row>
    <row r="103" spans="1:56" x14ac:dyDescent="0.35">
      <c r="A103" s="72" t="s">
        <v>569</v>
      </c>
      <c r="B103" s="73">
        <v>12515</v>
      </c>
      <c r="C103" s="74">
        <v>1084.7576508190173</v>
      </c>
      <c r="D103" s="30"/>
      <c r="E103" s="30"/>
      <c r="F103" s="30"/>
      <c r="G103" s="30"/>
      <c r="H103" s="30"/>
      <c r="I103" s="30"/>
      <c r="J103" s="30"/>
      <c r="K103" s="30"/>
      <c r="L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row>
    <row r="104" spans="1:56" ht="15.5" x14ac:dyDescent="0.35">
      <c r="A104" s="75" t="s">
        <v>76</v>
      </c>
      <c r="B104" s="76">
        <v>1512</v>
      </c>
      <c r="C104" s="77">
        <v>548.09259259259261</v>
      </c>
      <c r="D104" s="30"/>
      <c r="E104" s="30"/>
      <c r="F104" s="30"/>
      <c r="G104" s="30"/>
      <c r="H104" s="30"/>
      <c r="I104" s="30"/>
      <c r="J104" s="30"/>
      <c r="K104" s="30"/>
      <c r="L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row>
    <row r="105" spans="1:56" ht="15.5" x14ac:dyDescent="0.35">
      <c r="A105" s="75" t="s">
        <v>548</v>
      </c>
      <c r="B105" s="76">
        <v>5466</v>
      </c>
      <c r="C105" s="77">
        <v>734.28723015001833</v>
      </c>
      <c r="D105" s="30"/>
      <c r="E105" s="30"/>
      <c r="F105" s="30"/>
      <c r="G105" s="30"/>
      <c r="H105" s="30"/>
      <c r="I105" s="30"/>
      <c r="J105" s="30"/>
      <c r="K105" s="30"/>
      <c r="L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row>
    <row r="106" spans="1:56" ht="15.5" x14ac:dyDescent="0.35">
      <c r="A106" s="75" t="s">
        <v>23</v>
      </c>
      <c r="B106" s="76">
        <v>5537</v>
      </c>
      <c r="C106" s="77">
        <v>1577.2822828246342</v>
      </c>
      <c r="D106" s="30"/>
      <c r="E106" s="30"/>
      <c r="F106" s="30"/>
      <c r="G106" s="30"/>
      <c r="H106" s="30"/>
      <c r="I106" s="30"/>
      <c r="J106" s="30"/>
      <c r="K106" s="30"/>
      <c r="L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row>
    <row r="107" spans="1:56" x14ac:dyDescent="0.35">
      <c r="A107" s="72" t="s">
        <v>570</v>
      </c>
      <c r="B107" s="73">
        <v>4957</v>
      </c>
      <c r="C107" s="74">
        <v>851.59713536413153</v>
      </c>
      <c r="D107" s="30"/>
      <c r="E107" s="30"/>
      <c r="F107" s="30"/>
      <c r="G107" s="30"/>
      <c r="H107" s="30"/>
      <c r="I107" s="30"/>
      <c r="J107" s="30"/>
      <c r="K107" s="30"/>
      <c r="L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row>
    <row r="108" spans="1:56" ht="15.5" x14ac:dyDescent="0.35">
      <c r="A108" s="75" t="s">
        <v>76</v>
      </c>
      <c r="B108" s="76">
        <v>314</v>
      </c>
      <c r="C108" s="77">
        <v>185.31528662420382</v>
      </c>
      <c r="D108" s="30"/>
      <c r="E108" s="30"/>
      <c r="F108" s="30"/>
      <c r="G108" s="30"/>
      <c r="H108" s="30"/>
      <c r="I108" s="30"/>
      <c r="J108" s="30"/>
      <c r="K108" s="30"/>
      <c r="L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row>
    <row r="109" spans="1:56" ht="15.5" x14ac:dyDescent="0.35">
      <c r="A109" s="75" t="s">
        <v>548</v>
      </c>
      <c r="B109" s="76">
        <v>3425</v>
      </c>
      <c r="C109" s="77">
        <v>658.20029197080294</v>
      </c>
      <c r="D109" s="30"/>
      <c r="E109" s="30"/>
      <c r="F109" s="30"/>
      <c r="G109" s="30"/>
      <c r="H109" s="30"/>
      <c r="I109" s="30"/>
      <c r="J109" s="30"/>
      <c r="K109" s="30"/>
      <c r="L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row>
    <row r="110" spans="1:56" ht="15.5" x14ac:dyDescent="0.35">
      <c r="A110" s="75" t="s">
        <v>23</v>
      </c>
      <c r="B110" s="76">
        <v>1218</v>
      </c>
      <c r="C110" s="77">
        <v>1567.1937602627258</v>
      </c>
      <c r="D110" s="30"/>
      <c r="E110" s="30"/>
      <c r="F110" s="30"/>
      <c r="G110" s="30"/>
      <c r="H110" s="30"/>
      <c r="I110" s="30"/>
      <c r="J110" s="30"/>
      <c r="K110" s="30"/>
      <c r="L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row>
    <row r="111" spans="1:56" x14ac:dyDescent="0.35">
      <c r="A111" s="72" t="s">
        <v>571</v>
      </c>
      <c r="B111" s="73">
        <v>2770</v>
      </c>
      <c r="C111" s="74">
        <v>1089.2335740072201</v>
      </c>
      <c r="D111" s="30"/>
      <c r="E111" s="30"/>
      <c r="F111" s="30"/>
      <c r="G111" s="30"/>
      <c r="H111" s="30"/>
      <c r="I111" s="30"/>
      <c r="J111" s="30"/>
      <c r="K111" s="30"/>
      <c r="L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row>
    <row r="112" spans="1:56" ht="15.5" x14ac:dyDescent="0.35">
      <c r="A112" s="75" t="s">
        <v>76</v>
      </c>
      <c r="B112" s="76">
        <v>255</v>
      </c>
      <c r="C112" s="77">
        <v>312.69803921568626</v>
      </c>
      <c r="D112" s="30"/>
      <c r="E112" s="30"/>
      <c r="F112" s="30"/>
      <c r="G112" s="30"/>
      <c r="H112" s="30"/>
      <c r="I112" s="30"/>
      <c r="J112" s="30"/>
      <c r="K112" s="30"/>
      <c r="L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row>
    <row r="113" spans="1:56" ht="15.5" x14ac:dyDescent="0.35">
      <c r="A113" s="75" t="s">
        <v>548</v>
      </c>
      <c r="B113" s="76">
        <v>1636</v>
      </c>
      <c r="C113" s="77">
        <v>815.27811735941316</v>
      </c>
      <c r="D113" s="30"/>
      <c r="E113" s="30"/>
      <c r="F113" s="30"/>
      <c r="G113" s="30"/>
      <c r="H113" s="30"/>
      <c r="I113" s="30"/>
      <c r="J113" s="30"/>
      <c r="K113" s="30"/>
      <c r="L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row>
    <row r="114" spans="1:56" ht="15.5" x14ac:dyDescent="0.35">
      <c r="A114" s="75" t="s">
        <v>23</v>
      </c>
      <c r="B114" s="76">
        <v>879</v>
      </c>
      <c r="C114" s="77">
        <v>1824.3959044368601</v>
      </c>
      <c r="D114" s="30"/>
      <c r="E114" s="30"/>
      <c r="F114" s="30"/>
      <c r="G114" s="30"/>
      <c r="H114" s="30"/>
      <c r="I114" s="30"/>
      <c r="J114" s="30"/>
      <c r="K114" s="30"/>
      <c r="L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row>
    <row r="115" spans="1:56" x14ac:dyDescent="0.35">
      <c r="A115" s="72" t="s">
        <v>617</v>
      </c>
      <c r="B115" s="73">
        <v>4780</v>
      </c>
      <c r="C115" s="74">
        <v>453.41841004184101</v>
      </c>
      <c r="D115" s="30"/>
      <c r="E115" s="30"/>
      <c r="F115" s="30"/>
      <c r="G115" s="30"/>
      <c r="H115" s="30"/>
      <c r="I115" s="30"/>
      <c r="J115" s="30"/>
      <c r="K115" s="30"/>
      <c r="L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row>
    <row r="116" spans="1:56" ht="15.5" x14ac:dyDescent="0.35">
      <c r="A116" s="75" t="s">
        <v>76</v>
      </c>
      <c r="B116" s="76">
        <v>480</v>
      </c>
      <c r="C116" s="77">
        <v>426.70625000000001</v>
      </c>
      <c r="D116" s="30"/>
      <c r="E116" s="30"/>
      <c r="F116" s="30"/>
      <c r="G116" s="30"/>
      <c r="H116" s="30"/>
      <c r="I116" s="30"/>
      <c r="J116" s="30"/>
      <c r="K116" s="30"/>
      <c r="L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row>
    <row r="117" spans="1:56" ht="15.5" x14ac:dyDescent="0.35">
      <c r="A117" s="75" t="s">
        <v>548</v>
      </c>
      <c r="B117" s="76">
        <v>4169</v>
      </c>
      <c r="C117" s="77">
        <v>438.26960901894938</v>
      </c>
      <c r="D117" s="30"/>
      <c r="E117" s="30"/>
      <c r="F117" s="30"/>
      <c r="G117" s="30"/>
      <c r="H117" s="30"/>
      <c r="I117" s="30"/>
      <c r="J117" s="30"/>
      <c r="K117" s="30"/>
      <c r="L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row>
    <row r="118" spans="1:56" ht="15.5" x14ac:dyDescent="0.35">
      <c r="A118" s="75" t="s">
        <v>23</v>
      </c>
      <c r="B118" s="76">
        <v>131</v>
      </c>
      <c r="C118" s="77">
        <v>1033.3969465648854</v>
      </c>
      <c r="M118"/>
    </row>
    <row r="119" spans="1:56" x14ac:dyDescent="0.35"/>
    <row r="120" spans="1:56" x14ac:dyDescent="0.35"/>
    <row r="121" spans="1:56" x14ac:dyDescent="0.35"/>
    <row r="122" spans="1:56" x14ac:dyDescent="0.35"/>
    <row r="123" spans="1:56" x14ac:dyDescent="0.35"/>
    <row r="124" spans="1:56" x14ac:dyDescent="0.35"/>
  </sheetData>
  <mergeCells count="9">
    <mergeCell ref="A16:C16"/>
    <mergeCell ref="A15:C15"/>
    <mergeCell ref="A4:D4"/>
    <mergeCell ref="A1:D1"/>
    <mergeCell ref="A2:D2"/>
    <mergeCell ref="A5:C5"/>
    <mergeCell ref="A12:C12"/>
    <mergeCell ref="A13:C13"/>
    <mergeCell ref="A14:C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141BE-9888-4447-AC23-1F34197BCE95}">
  <dimension ref="A1:AX125"/>
  <sheetViews>
    <sheetView showGridLines="0" tabSelected="1" zoomScale="80" zoomScaleNormal="80" zoomScaleSheetLayoutView="70" zoomScalePageLayoutView="90" workbookViewId="0">
      <selection sqref="A1:D1"/>
    </sheetView>
  </sheetViews>
  <sheetFormatPr defaultRowHeight="14.5" x14ac:dyDescent="0.35"/>
  <cols>
    <col min="1" max="1" width="36.453125" customWidth="1"/>
    <col min="2" max="2" width="20.81640625" bestFit="1" customWidth="1"/>
    <col min="3" max="3" width="11.453125" customWidth="1"/>
    <col min="4" max="4" width="14.453125" customWidth="1"/>
    <col min="5" max="5" width="13.1796875" customWidth="1"/>
    <col min="6" max="6" width="12.81640625" customWidth="1"/>
    <col min="7" max="8" width="10.453125" customWidth="1"/>
    <col min="9" max="9" width="13.453125" customWidth="1"/>
    <col min="10" max="10" width="11.54296875" customWidth="1"/>
    <col min="12" max="12" width="8.1796875" customWidth="1"/>
    <col min="13" max="13" width="9" bestFit="1" customWidth="1"/>
    <col min="14" max="14" width="13.54296875" customWidth="1"/>
    <col min="15" max="15" width="17.1796875" customWidth="1"/>
    <col min="16" max="16" width="10.453125" customWidth="1"/>
    <col min="25" max="25" width="8.81640625" customWidth="1"/>
    <col min="27" max="27" width="10.54296875" bestFit="1" customWidth="1"/>
  </cols>
  <sheetData>
    <row r="1" spans="1:50" s="7" customFormat="1" ht="27.75" customHeight="1" x14ac:dyDescent="0.3">
      <c r="A1" s="165" t="s">
        <v>48</v>
      </c>
      <c r="B1" s="165"/>
      <c r="C1" s="165"/>
      <c r="D1" s="165"/>
    </row>
    <row r="2" spans="1:50" s="1" customFormat="1" ht="45.75" customHeight="1" x14ac:dyDescent="0.3">
      <c r="A2" s="166" t="s">
        <v>49</v>
      </c>
      <c r="B2" s="166"/>
      <c r="C2" s="166"/>
      <c r="D2" s="166"/>
      <c r="E2" s="166"/>
      <c r="F2" s="166"/>
      <c r="G2" s="166"/>
      <c r="H2" s="166"/>
      <c r="I2" s="166"/>
      <c r="J2" s="166"/>
      <c r="K2" s="166"/>
      <c r="L2" s="166"/>
      <c r="M2" s="166"/>
      <c r="N2" s="166"/>
      <c r="O2" s="166"/>
      <c r="P2" s="166"/>
      <c r="Q2" s="64"/>
      <c r="R2" s="64"/>
      <c r="S2" s="64"/>
      <c r="T2" s="64"/>
      <c r="U2" s="64"/>
      <c r="V2" s="64"/>
    </row>
    <row r="3" spans="1:50" ht="31.5" customHeight="1" x14ac:dyDescent="0.35">
      <c r="A3" s="164" t="s">
        <v>801</v>
      </c>
      <c r="B3" s="164"/>
      <c r="C3" s="164"/>
      <c r="D3" s="164"/>
      <c r="E3" s="62"/>
      <c r="F3" s="62"/>
      <c r="G3" s="62"/>
      <c r="H3" s="62"/>
      <c r="I3" s="62"/>
      <c r="J3" s="62"/>
      <c r="K3" s="62"/>
      <c r="L3" s="62"/>
      <c r="M3" s="62"/>
      <c r="N3" s="62"/>
      <c r="O3" s="62"/>
      <c r="P3" s="62"/>
      <c r="Q3" s="62"/>
      <c r="R3" s="62"/>
      <c r="S3" s="62"/>
      <c r="T3" s="62"/>
      <c r="U3" s="62"/>
      <c r="V3" s="62"/>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row>
    <row r="4" spans="1:50" s="7" customFormat="1" ht="30.75" customHeight="1" x14ac:dyDescent="0.3">
      <c r="A4" s="280"/>
      <c r="B4" s="280"/>
      <c r="C4" s="280"/>
      <c r="D4" s="280"/>
      <c r="E4" s="280"/>
      <c r="F4" s="280"/>
      <c r="G4" s="280"/>
      <c r="H4" s="280"/>
      <c r="I4" s="280"/>
      <c r="J4" s="280"/>
      <c r="K4" s="280"/>
      <c r="L4" s="280"/>
      <c r="M4" s="280"/>
      <c r="N4" s="280"/>
      <c r="O4" s="280"/>
      <c r="P4" s="280"/>
      <c r="Q4" s="280"/>
      <c r="R4" s="280"/>
      <c r="S4" s="280"/>
      <c r="T4" s="280"/>
      <c r="U4" s="280"/>
      <c r="V4" s="280"/>
      <c r="W4" s="279"/>
      <c r="X4" s="279"/>
      <c r="Y4" s="279"/>
      <c r="Z4" s="279"/>
    </row>
    <row r="5" spans="1:50" s="1" customFormat="1" ht="7.5" customHeight="1" thickBot="1" x14ac:dyDescent="0.35">
      <c r="A5" s="278"/>
      <c r="B5" s="278"/>
      <c r="C5" s="278"/>
      <c r="D5" s="278"/>
      <c r="E5" s="278"/>
      <c r="F5" s="278"/>
      <c r="G5" s="278"/>
      <c r="H5" s="278"/>
      <c r="I5" s="278"/>
      <c r="J5" s="278"/>
      <c r="K5" s="278"/>
      <c r="L5" s="278"/>
      <c r="M5" s="278"/>
      <c r="N5" s="278"/>
      <c r="O5" s="278"/>
      <c r="P5" s="278"/>
      <c r="Q5" s="278"/>
      <c r="R5" s="278"/>
      <c r="S5" s="278"/>
      <c r="T5" s="278"/>
      <c r="U5" s="278"/>
      <c r="V5" s="278"/>
      <c r="W5" s="2"/>
      <c r="X5" s="2"/>
      <c r="Y5" s="2"/>
      <c r="Z5" s="2"/>
    </row>
    <row r="6" spans="1:50" s="1" customFormat="1" ht="16.5" customHeight="1" x14ac:dyDescent="0.3">
      <c r="A6" s="173"/>
      <c r="B6" s="174"/>
      <c r="C6" s="174"/>
      <c r="D6" s="174"/>
      <c r="E6" s="174"/>
      <c r="F6" s="174"/>
      <c r="G6" s="174"/>
      <c r="H6" s="174"/>
      <c r="I6" s="174"/>
      <c r="J6" s="174"/>
      <c r="K6" s="174"/>
      <c r="L6" s="174"/>
      <c r="M6" s="174"/>
      <c r="N6" s="174"/>
      <c r="O6" s="174"/>
      <c r="P6" s="174"/>
      <c r="Q6" s="174"/>
      <c r="R6" s="174"/>
      <c r="S6" s="174"/>
      <c r="T6" s="174"/>
      <c r="U6" s="174"/>
      <c r="V6" s="175"/>
      <c r="W6" s="2"/>
      <c r="X6" s="2"/>
      <c r="Y6" s="2"/>
      <c r="Z6" s="2"/>
    </row>
    <row r="7" spans="1:50" s="7" customFormat="1" ht="16.5" customHeight="1" x14ac:dyDescent="0.3">
      <c r="A7" s="86"/>
      <c r="B7" s="261"/>
      <c r="C7" s="261"/>
      <c r="D7" s="261"/>
      <c r="E7" s="261"/>
      <c r="F7" s="261"/>
      <c r="G7" s="261"/>
      <c r="H7" s="261"/>
      <c r="J7" s="277"/>
      <c r="K7" s="277"/>
      <c r="L7" s="277"/>
      <c r="N7" s="261"/>
      <c r="O7" s="261"/>
      <c r="P7" s="261"/>
      <c r="Q7" s="261"/>
      <c r="R7" s="261"/>
      <c r="S7" s="261"/>
      <c r="T7" s="261"/>
      <c r="U7" s="261"/>
      <c r="V7" s="44"/>
      <c r="W7" s="45"/>
      <c r="X7" s="45"/>
      <c r="Y7" s="45"/>
      <c r="Z7" s="45"/>
    </row>
    <row r="8" spans="1:50" s="80" customFormat="1" ht="30.65" customHeight="1" x14ac:dyDescent="0.3">
      <c r="A8" s="176" t="s">
        <v>620</v>
      </c>
      <c r="B8" s="212"/>
      <c r="C8" s="212"/>
      <c r="D8" s="212"/>
      <c r="E8" s="160"/>
      <c r="F8" s="160"/>
      <c r="G8" s="212" t="s">
        <v>610</v>
      </c>
      <c r="H8" s="212"/>
      <c r="I8" s="212"/>
      <c r="J8" s="212"/>
      <c r="K8" s="212"/>
      <c r="M8" s="212" t="s">
        <v>622</v>
      </c>
      <c r="N8" s="212"/>
      <c r="O8" s="212"/>
      <c r="P8" s="212"/>
      <c r="Q8" s="212"/>
      <c r="T8" s="276"/>
      <c r="U8" s="276"/>
      <c r="V8" s="154"/>
      <c r="W8" s="81"/>
      <c r="X8" s="81"/>
      <c r="Y8" s="81"/>
      <c r="Z8" s="81"/>
      <c r="AB8" s="275"/>
      <c r="AC8" s="275"/>
    </row>
    <row r="9" spans="1:50" s="7" customFormat="1" ht="28.4" customHeight="1" x14ac:dyDescent="0.3">
      <c r="A9" s="42" t="s">
        <v>606</v>
      </c>
      <c r="B9" s="153" t="s">
        <v>788</v>
      </c>
      <c r="C9" s="153" t="s">
        <v>122</v>
      </c>
      <c r="D9" s="153" t="s">
        <v>1</v>
      </c>
      <c r="E9" s="261"/>
      <c r="F9" s="261"/>
      <c r="G9" s="274" t="s">
        <v>123</v>
      </c>
      <c r="H9" s="273"/>
      <c r="I9" s="83" t="s">
        <v>788</v>
      </c>
      <c r="J9" s="83" t="s">
        <v>122</v>
      </c>
      <c r="K9" s="83" t="s">
        <v>1</v>
      </c>
      <c r="M9" s="172" t="s">
        <v>120</v>
      </c>
      <c r="N9" s="172"/>
      <c r="O9" s="172" t="s">
        <v>121</v>
      </c>
      <c r="P9" s="172"/>
      <c r="Q9" s="172"/>
      <c r="R9" s="261"/>
      <c r="S9" s="261"/>
      <c r="T9" s="261"/>
      <c r="U9" s="45"/>
      <c r="V9" s="49"/>
      <c r="W9" s="45"/>
      <c r="X9" s="45"/>
      <c r="Y9" s="45"/>
      <c r="Z9" s="45"/>
      <c r="AA9" s="45"/>
      <c r="AB9" s="117"/>
      <c r="AC9" s="117"/>
    </row>
    <row r="10" spans="1:50" s="7" customFormat="1" ht="16.5" customHeight="1" thickBot="1" x14ac:dyDescent="0.35">
      <c r="A10" s="87" t="s">
        <v>1</v>
      </c>
      <c r="B10" s="102">
        <v>1152</v>
      </c>
      <c r="C10" s="102">
        <v>20800</v>
      </c>
      <c r="D10" s="102">
        <v>21952</v>
      </c>
      <c r="E10" s="261"/>
      <c r="F10" s="261"/>
      <c r="G10" s="272" t="s">
        <v>800</v>
      </c>
      <c r="H10" s="272"/>
      <c r="I10" s="46">
        <v>441.5</v>
      </c>
      <c r="J10" s="46">
        <v>46.342141152403698</v>
      </c>
      <c r="K10" s="46">
        <v>46.476823449216099</v>
      </c>
      <c r="M10" s="180" t="s">
        <v>1</v>
      </c>
      <c r="N10" s="180"/>
      <c r="O10" s="271">
        <v>1282</v>
      </c>
      <c r="P10" s="270"/>
      <c r="Q10" s="269"/>
      <c r="R10" s="261"/>
      <c r="S10" s="261"/>
      <c r="T10" s="261"/>
      <c r="U10" s="239"/>
      <c r="V10" s="128"/>
      <c r="W10" s="239"/>
      <c r="X10" s="45"/>
      <c r="Y10" s="45"/>
      <c r="Z10" s="45"/>
      <c r="AA10" s="45"/>
      <c r="AB10" s="117"/>
      <c r="AC10" s="117"/>
    </row>
    <row r="11" spans="1:50" s="7" customFormat="1" ht="13.4" customHeight="1" thickTop="1" x14ac:dyDescent="0.3">
      <c r="A11" s="88" t="s">
        <v>128</v>
      </c>
      <c r="B11" s="228" t="s">
        <v>799</v>
      </c>
      <c r="C11" s="228">
        <v>10188</v>
      </c>
      <c r="D11" s="228">
        <v>10188</v>
      </c>
      <c r="E11" s="261"/>
      <c r="F11" s="261"/>
      <c r="G11" s="268"/>
      <c r="H11" s="268"/>
      <c r="I11" s="82"/>
      <c r="J11" s="82"/>
      <c r="K11" s="82"/>
      <c r="M11" s="181" t="s">
        <v>788</v>
      </c>
      <c r="N11" s="181"/>
      <c r="O11" s="267">
        <v>0</v>
      </c>
      <c r="P11" s="266"/>
      <c r="Q11" s="265"/>
      <c r="R11" s="261"/>
      <c r="S11" s="261"/>
      <c r="T11" s="261"/>
      <c r="U11" s="239"/>
      <c r="V11" s="128"/>
      <c r="W11" s="239"/>
      <c r="X11" s="45"/>
      <c r="Y11" s="45"/>
      <c r="Z11" s="45"/>
      <c r="AA11" s="45"/>
      <c r="AB11" s="117"/>
      <c r="AC11" s="117"/>
    </row>
    <row r="12" spans="1:50" s="7" customFormat="1" ht="13.4" customHeight="1" x14ac:dyDescent="0.3">
      <c r="A12" s="89" t="s">
        <v>129</v>
      </c>
      <c r="B12" s="228">
        <v>649</v>
      </c>
      <c r="C12" s="228">
        <v>8490</v>
      </c>
      <c r="D12" s="228">
        <v>9139</v>
      </c>
      <c r="E12" s="261"/>
      <c r="F12" s="261"/>
      <c r="M12" s="182" t="s">
        <v>122</v>
      </c>
      <c r="N12" s="182"/>
      <c r="O12" s="264">
        <v>1282</v>
      </c>
      <c r="P12" s="263"/>
      <c r="Q12" s="262"/>
      <c r="R12" s="261"/>
      <c r="S12" s="261"/>
      <c r="T12" s="261"/>
      <c r="U12" s="239"/>
      <c r="V12" s="128"/>
      <c r="W12" s="239"/>
      <c r="X12" s="45"/>
      <c r="Y12" s="45"/>
      <c r="Z12" s="45"/>
      <c r="AA12" s="45"/>
      <c r="AB12" s="117"/>
      <c r="AC12" s="117"/>
    </row>
    <row r="13" spans="1:50" s="7" customFormat="1" ht="13.4" customHeight="1" x14ac:dyDescent="0.3">
      <c r="A13" s="89" t="s">
        <v>130</v>
      </c>
      <c r="B13" s="228">
        <v>2</v>
      </c>
      <c r="C13" s="228">
        <v>1566</v>
      </c>
      <c r="D13" s="228">
        <v>1568</v>
      </c>
      <c r="E13" s="261"/>
      <c r="F13" s="261"/>
      <c r="G13" s="261"/>
      <c r="H13" s="261"/>
      <c r="I13" s="261"/>
      <c r="J13" s="261"/>
      <c r="K13" s="261"/>
      <c r="R13" s="261"/>
      <c r="S13" s="261"/>
      <c r="T13" s="261"/>
      <c r="U13" s="239"/>
      <c r="V13" s="128"/>
      <c r="W13" s="239"/>
      <c r="X13" s="45"/>
      <c r="Y13" s="45"/>
      <c r="Z13" s="45"/>
      <c r="AA13" s="45"/>
      <c r="AB13" s="117"/>
      <c r="AC13" s="117"/>
    </row>
    <row r="14" spans="1:50" s="7" customFormat="1" ht="13.4" customHeight="1" x14ac:dyDescent="0.3">
      <c r="A14" s="89" t="s">
        <v>0</v>
      </c>
      <c r="B14" s="228">
        <v>501</v>
      </c>
      <c r="C14" s="228">
        <v>556</v>
      </c>
      <c r="D14" s="228">
        <v>1057</v>
      </c>
      <c r="E14" s="261"/>
      <c r="F14" s="261"/>
      <c r="G14" s="261"/>
      <c r="H14" s="261"/>
      <c r="I14" s="261"/>
      <c r="J14" s="261"/>
      <c r="K14" s="261"/>
      <c r="L14" s="261"/>
      <c r="M14" s="261"/>
      <c r="N14" s="261"/>
      <c r="O14" s="261"/>
      <c r="P14" s="261"/>
      <c r="Q14" s="261"/>
      <c r="R14" s="261"/>
      <c r="S14" s="261"/>
      <c r="T14" s="261"/>
      <c r="U14" s="239"/>
      <c r="V14" s="128"/>
      <c r="W14" s="239"/>
      <c r="X14" s="45"/>
      <c r="Y14" s="45"/>
      <c r="Z14" s="45"/>
      <c r="AA14" s="45"/>
      <c r="AB14" s="117"/>
      <c r="AC14" s="117"/>
    </row>
    <row r="15" spans="1:50" s="7" customFormat="1" ht="16.5" customHeight="1" x14ac:dyDescent="0.3">
      <c r="A15" s="90"/>
      <c r="B15" s="47"/>
      <c r="C15" s="47"/>
      <c r="D15" s="47"/>
      <c r="E15" s="47"/>
      <c r="F15" s="47"/>
      <c r="G15" s="261"/>
      <c r="H15" s="261"/>
      <c r="I15" s="261"/>
      <c r="J15" s="261"/>
      <c r="K15" s="261"/>
      <c r="L15" s="261"/>
      <c r="M15" s="261"/>
      <c r="N15" s="261"/>
      <c r="O15" s="261"/>
      <c r="P15" s="261"/>
      <c r="Q15" s="261"/>
      <c r="R15" s="261"/>
      <c r="S15" s="261"/>
      <c r="T15" s="261"/>
      <c r="U15" s="261"/>
      <c r="V15" s="44"/>
      <c r="W15" s="45"/>
      <c r="X15" s="45"/>
      <c r="Y15" s="45"/>
      <c r="Z15" s="45"/>
      <c r="AA15" s="45"/>
      <c r="AB15" s="117"/>
      <c r="AC15" s="117"/>
      <c r="AK15" s="117"/>
      <c r="AL15" s="117"/>
    </row>
    <row r="16" spans="1:50" s="7" customFormat="1" ht="16.5" customHeight="1" x14ac:dyDescent="0.3">
      <c r="A16" s="177"/>
      <c r="B16" s="178"/>
      <c r="C16" s="178"/>
      <c r="D16" s="178"/>
      <c r="E16" s="178"/>
      <c r="F16" s="178"/>
      <c r="G16" s="178"/>
      <c r="H16" s="178"/>
      <c r="I16" s="178"/>
      <c r="J16" s="178"/>
      <c r="K16" s="178"/>
      <c r="L16" s="178"/>
      <c r="M16" s="178"/>
      <c r="N16" s="178"/>
      <c r="O16" s="178"/>
      <c r="P16" s="178"/>
      <c r="Q16" s="178"/>
      <c r="R16" s="178"/>
      <c r="S16" s="178"/>
      <c r="T16" s="178"/>
      <c r="U16" s="178"/>
      <c r="V16" s="179"/>
      <c r="W16" s="45"/>
      <c r="X16" s="117"/>
      <c r="Y16" s="45"/>
      <c r="Z16" s="45"/>
      <c r="AK16" s="117"/>
    </row>
    <row r="17" spans="1:38" s="7" customFormat="1" ht="16.5" customHeight="1" x14ac:dyDescent="0.3">
      <c r="A17" s="86"/>
      <c r="B17" s="261"/>
      <c r="C17" s="261"/>
      <c r="D17" s="261"/>
      <c r="E17" s="261"/>
      <c r="F17" s="261"/>
      <c r="G17" s="261"/>
      <c r="H17" s="261"/>
      <c r="I17" s="261"/>
      <c r="J17" s="261"/>
      <c r="K17" s="261"/>
      <c r="L17" s="261"/>
      <c r="M17" s="261"/>
      <c r="N17" s="261"/>
      <c r="O17" s="261"/>
      <c r="P17" s="261"/>
      <c r="Q17" s="261"/>
      <c r="R17" s="261"/>
      <c r="S17" s="261"/>
      <c r="T17" s="261"/>
      <c r="U17" s="261"/>
      <c r="V17" s="44"/>
      <c r="W17" s="45"/>
      <c r="X17" s="45"/>
      <c r="Y17" s="45"/>
      <c r="Z17" s="45"/>
      <c r="AF17" s="117"/>
      <c r="AK17" s="117"/>
    </row>
    <row r="18" spans="1:38" s="8" customFormat="1" ht="27.65" customHeight="1" x14ac:dyDescent="0.3">
      <c r="A18" s="176" t="s">
        <v>621</v>
      </c>
      <c r="B18" s="212"/>
      <c r="C18" s="212"/>
      <c r="D18" s="212"/>
      <c r="E18" s="212"/>
      <c r="F18" s="212"/>
      <c r="I18" s="234" t="s">
        <v>798</v>
      </c>
      <c r="J18" s="234"/>
      <c r="K18" s="234"/>
      <c r="L18" s="234"/>
      <c r="M18" s="234"/>
      <c r="N18" s="234"/>
      <c r="O18" s="234"/>
      <c r="P18" s="234"/>
      <c r="Q18" s="234"/>
      <c r="R18" s="234"/>
      <c r="S18" s="234"/>
      <c r="T18" s="234"/>
      <c r="U18" s="234"/>
      <c r="V18" s="197"/>
      <c r="W18" s="48"/>
      <c r="X18" s="48"/>
      <c r="Y18" s="48"/>
      <c r="AE18" s="7"/>
      <c r="AF18" s="117"/>
      <c r="AG18" s="7"/>
      <c r="AH18" s="7"/>
      <c r="AI18" s="7"/>
      <c r="AJ18" s="7"/>
      <c r="AK18" s="7"/>
      <c r="AL18" s="117"/>
    </row>
    <row r="19" spans="1:38" s="1" customFormat="1" ht="28.75" customHeight="1" x14ac:dyDescent="0.3">
      <c r="A19" s="153" t="s">
        <v>124</v>
      </c>
      <c r="B19" s="153" t="s">
        <v>80</v>
      </c>
      <c r="C19" s="153" t="s">
        <v>125</v>
      </c>
      <c r="D19" s="153" t="s">
        <v>63</v>
      </c>
      <c r="E19" s="153" t="s">
        <v>126</v>
      </c>
      <c r="F19" s="153" t="s">
        <v>1</v>
      </c>
      <c r="I19" s="153" t="s">
        <v>131</v>
      </c>
      <c r="J19" s="153" t="s">
        <v>132</v>
      </c>
      <c r="K19" s="153" t="s">
        <v>133</v>
      </c>
      <c r="L19" s="153" t="s">
        <v>134</v>
      </c>
      <c r="M19" s="153" t="s">
        <v>135</v>
      </c>
      <c r="N19" s="153" t="s">
        <v>136</v>
      </c>
      <c r="O19" s="153" t="s">
        <v>137</v>
      </c>
      <c r="P19" s="153" t="s">
        <v>138</v>
      </c>
      <c r="Q19" s="153" t="s">
        <v>139</v>
      </c>
      <c r="R19" s="153" t="s">
        <v>140</v>
      </c>
      <c r="S19" s="153" t="s">
        <v>142</v>
      </c>
      <c r="T19" s="153" t="s">
        <v>143</v>
      </c>
      <c r="U19" s="153" t="s">
        <v>144</v>
      </c>
      <c r="V19" s="153" t="s">
        <v>1</v>
      </c>
      <c r="W19" s="50"/>
      <c r="X19" s="124"/>
      <c r="Y19" s="124"/>
      <c r="Z19" s="260"/>
      <c r="AA19" s="259"/>
      <c r="AB19" s="119"/>
      <c r="AC19" s="119"/>
      <c r="AD19" s="119"/>
      <c r="AE19" s="127"/>
      <c r="AF19" s="119"/>
      <c r="AG19" s="119"/>
      <c r="AH19" s="119"/>
      <c r="AI19" s="119"/>
      <c r="AJ19" s="119"/>
      <c r="AK19" s="119"/>
    </row>
    <row r="20" spans="1:38" s="1" customFormat="1" ht="18" customHeight="1" thickBot="1" x14ac:dyDescent="0.35">
      <c r="A20" s="87" t="s">
        <v>1</v>
      </c>
      <c r="B20" s="102">
        <v>4762</v>
      </c>
      <c r="C20" s="99">
        <v>0.21692784256559799</v>
      </c>
      <c r="D20" s="102">
        <v>17190</v>
      </c>
      <c r="E20" s="99">
        <v>0.78307215743440195</v>
      </c>
      <c r="F20" s="102">
        <v>21952</v>
      </c>
      <c r="I20" s="43" t="s">
        <v>1</v>
      </c>
      <c r="J20" s="107">
        <v>30318</v>
      </c>
      <c r="K20" s="108">
        <v>32771</v>
      </c>
      <c r="L20" s="107">
        <v>5221</v>
      </c>
      <c r="M20" s="107">
        <v>0</v>
      </c>
      <c r="N20" s="107">
        <v>0</v>
      </c>
      <c r="O20" s="107">
        <v>0</v>
      </c>
      <c r="P20" s="107">
        <v>0</v>
      </c>
      <c r="Q20" s="107">
        <v>0</v>
      </c>
      <c r="R20" s="107">
        <v>0</v>
      </c>
      <c r="S20" s="107">
        <v>0</v>
      </c>
      <c r="T20" s="107">
        <v>0</v>
      </c>
      <c r="U20" s="107">
        <v>0</v>
      </c>
      <c r="V20" s="101">
        <v>68310</v>
      </c>
      <c r="W20" s="50"/>
      <c r="X20" s="50"/>
      <c r="Y20" s="124"/>
      <c r="Z20" s="124"/>
      <c r="AA20" s="119"/>
      <c r="AB20" s="119"/>
      <c r="AC20" s="119"/>
      <c r="AD20" s="119"/>
      <c r="AE20" s="127"/>
      <c r="AF20" s="119"/>
      <c r="AG20" s="119"/>
    </row>
    <row r="21" spans="1:38" s="1" customFormat="1" ht="15" customHeight="1" thickTop="1" x14ac:dyDescent="0.3">
      <c r="A21" s="88" t="s">
        <v>67</v>
      </c>
      <c r="B21" s="157">
        <v>3905</v>
      </c>
      <c r="C21" s="97">
        <v>0.85654748848431705</v>
      </c>
      <c r="D21" s="157">
        <v>654</v>
      </c>
      <c r="E21" s="97">
        <v>0.143452511515683</v>
      </c>
      <c r="F21" s="157">
        <v>4559</v>
      </c>
      <c r="I21" s="157" t="s">
        <v>63</v>
      </c>
      <c r="J21" s="109">
        <v>26008</v>
      </c>
      <c r="K21" s="109">
        <v>28489</v>
      </c>
      <c r="L21" s="109">
        <v>4631</v>
      </c>
      <c r="M21" s="109">
        <v>0</v>
      </c>
      <c r="N21" s="109">
        <v>0</v>
      </c>
      <c r="O21" s="109">
        <v>0</v>
      </c>
      <c r="P21" s="109">
        <v>0</v>
      </c>
      <c r="Q21" s="109">
        <v>0</v>
      </c>
      <c r="R21" s="109">
        <v>0</v>
      </c>
      <c r="S21" s="109">
        <v>0</v>
      </c>
      <c r="T21" s="109">
        <v>0</v>
      </c>
      <c r="U21" s="109">
        <v>0</v>
      </c>
      <c r="V21" s="100">
        <v>59128</v>
      </c>
      <c r="W21" s="50"/>
      <c r="X21" s="141"/>
      <c r="Y21" s="141"/>
      <c r="Z21" s="124"/>
      <c r="AA21" s="119"/>
      <c r="AB21" s="127"/>
      <c r="AC21" s="127"/>
      <c r="AD21" s="127"/>
      <c r="AE21" s="127"/>
      <c r="AF21" s="127"/>
      <c r="AG21" s="127"/>
      <c r="AH21" s="127"/>
      <c r="AI21" s="127"/>
      <c r="AJ21" s="127"/>
      <c r="AK21" s="127"/>
      <c r="AL21" s="127"/>
    </row>
    <row r="22" spans="1:38" s="1" customFormat="1" ht="15" customHeight="1" x14ac:dyDescent="0.3">
      <c r="A22" s="89" t="s">
        <v>99</v>
      </c>
      <c r="B22" s="158">
        <v>609</v>
      </c>
      <c r="C22" s="98">
        <v>0.65413533834586501</v>
      </c>
      <c r="D22" s="158">
        <v>322</v>
      </c>
      <c r="E22" s="98">
        <v>0.34586466165413499</v>
      </c>
      <c r="F22" s="158">
        <v>931</v>
      </c>
      <c r="I22" s="158" t="s">
        <v>618</v>
      </c>
      <c r="J22" s="110">
        <v>4310</v>
      </c>
      <c r="K22" s="110">
        <v>4282</v>
      </c>
      <c r="L22" s="110">
        <v>590</v>
      </c>
      <c r="M22" s="110">
        <v>0</v>
      </c>
      <c r="N22" s="110">
        <v>0</v>
      </c>
      <c r="O22" s="110">
        <v>0</v>
      </c>
      <c r="P22" s="110">
        <v>0</v>
      </c>
      <c r="Q22" s="110">
        <v>0</v>
      </c>
      <c r="R22" s="110">
        <v>0</v>
      </c>
      <c r="S22" s="110">
        <v>0</v>
      </c>
      <c r="T22" s="110">
        <v>0</v>
      </c>
      <c r="U22" s="110">
        <v>0</v>
      </c>
      <c r="V22" s="139">
        <v>9182</v>
      </c>
      <c r="W22" s="50"/>
      <c r="X22" s="141"/>
      <c r="Y22" s="141"/>
      <c r="Z22" s="141"/>
      <c r="AA22" s="127"/>
      <c r="AB22" s="127"/>
      <c r="AC22" s="127"/>
      <c r="AD22" s="127"/>
      <c r="AE22" s="127"/>
      <c r="AF22" s="127"/>
      <c r="AG22" s="127"/>
      <c r="AH22" s="127"/>
      <c r="AI22" s="127"/>
      <c r="AJ22" s="127"/>
      <c r="AK22" s="127"/>
      <c r="AL22" s="127"/>
    </row>
    <row r="23" spans="1:38" s="1" customFormat="1" ht="15" customHeight="1" x14ac:dyDescent="0.3">
      <c r="A23" s="89" t="s">
        <v>127</v>
      </c>
      <c r="B23" s="158">
        <v>248</v>
      </c>
      <c r="C23" s="98">
        <v>1.50649981776212E-2</v>
      </c>
      <c r="D23" s="158">
        <v>16214</v>
      </c>
      <c r="E23" s="98">
        <v>0.98493500182237903</v>
      </c>
      <c r="F23" s="158">
        <v>16462</v>
      </c>
      <c r="T23" s="45"/>
      <c r="U23" s="45"/>
      <c r="V23" s="49"/>
      <c r="W23" s="50"/>
      <c r="X23" s="141"/>
      <c r="Y23" s="141"/>
      <c r="Z23" s="141"/>
      <c r="AA23" s="127"/>
      <c r="AB23" s="127"/>
      <c r="AC23" s="127"/>
      <c r="AD23" s="127"/>
      <c r="AE23" s="127"/>
      <c r="AF23" s="127"/>
      <c r="AG23" s="127"/>
      <c r="AH23" s="127"/>
      <c r="AI23" s="127"/>
      <c r="AJ23" s="127"/>
      <c r="AK23" s="127"/>
      <c r="AL23" s="127"/>
    </row>
    <row r="24" spans="1:38" s="1" customFormat="1" ht="12" x14ac:dyDescent="0.3">
      <c r="A24" s="91"/>
      <c r="T24" s="45"/>
      <c r="U24" s="45"/>
      <c r="V24" s="49"/>
      <c r="W24" s="50"/>
      <c r="X24" s="50"/>
      <c r="Y24" s="141"/>
      <c r="Z24" s="141"/>
      <c r="AA24" s="127"/>
      <c r="AB24" s="127"/>
      <c r="AC24" s="127"/>
      <c r="AD24" s="127"/>
      <c r="AE24" s="127"/>
      <c r="AF24" s="127"/>
      <c r="AG24" s="127"/>
      <c r="AH24" s="127"/>
      <c r="AK24" s="127"/>
      <c r="AL24" s="127"/>
    </row>
    <row r="25" spans="1:38" s="7" customFormat="1" ht="16.5" customHeight="1" x14ac:dyDescent="0.3">
      <c r="A25" s="177"/>
      <c r="B25" s="178"/>
      <c r="C25" s="178"/>
      <c r="D25" s="178"/>
      <c r="E25" s="178"/>
      <c r="F25" s="178"/>
      <c r="G25" s="178"/>
      <c r="H25" s="178"/>
      <c r="I25" s="178"/>
      <c r="J25" s="178"/>
      <c r="K25" s="178"/>
      <c r="L25" s="178"/>
      <c r="M25" s="178"/>
      <c r="N25" s="178"/>
      <c r="O25" s="178"/>
      <c r="P25" s="178"/>
      <c r="Q25" s="178"/>
      <c r="R25" s="178"/>
      <c r="S25" s="178"/>
      <c r="T25" s="178"/>
      <c r="U25" s="178"/>
      <c r="V25" s="179"/>
      <c r="W25" s="45"/>
      <c r="X25" s="45"/>
      <c r="Y25" s="45"/>
      <c r="Z25" s="239"/>
      <c r="AA25" s="117"/>
      <c r="AB25" s="117"/>
      <c r="AC25" s="117"/>
      <c r="AD25" s="117"/>
      <c r="AE25" s="117"/>
      <c r="AF25" s="117"/>
      <c r="AG25" s="117"/>
    </row>
    <row r="26" spans="1:38" s="1" customFormat="1" ht="12" x14ac:dyDescent="0.3">
      <c r="A26" s="91"/>
      <c r="T26" s="45"/>
      <c r="U26" s="45"/>
      <c r="V26" s="49"/>
      <c r="W26" s="50"/>
      <c r="X26" s="50"/>
      <c r="Y26" s="50"/>
      <c r="Z26" s="141"/>
      <c r="AA26" s="127"/>
      <c r="AB26" s="127"/>
      <c r="AC26" s="127"/>
      <c r="AG26" s="127"/>
    </row>
    <row r="27" spans="1:38" s="7" customFormat="1" ht="21.65" customHeight="1" x14ac:dyDescent="0.3">
      <c r="A27" s="198" t="s">
        <v>797</v>
      </c>
      <c r="B27" s="258"/>
      <c r="C27" s="258"/>
      <c r="D27" s="258"/>
      <c r="E27" s="258"/>
      <c r="F27" s="253"/>
      <c r="H27" s="258" t="s">
        <v>796</v>
      </c>
      <c r="I27" s="258"/>
      <c r="J27" s="258"/>
      <c r="K27" s="258"/>
      <c r="L27" s="258"/>
      <c r="M27" s="253"/>
      <c r="N27" s="258" t="s">
        <v>795</v>
      </c>
      <c r="O27" s="258"/>
      <c r="P27" s="258"/>
      <c r="Q27" s="258"/>
      <c r="R27" s="258"/>
      <c r="S27" s="253"/>
      <c r="V27" s="257"/>
      <c r="W27" s="256"/>
      <c r="X27" s="255"/>
      <c r="Y27" s="255"/>
      <c r="Z27" s="255"/>
      <c r="AA27" s="123"/>
      <c r="AB27" s="123"/>
      <c r="AC27" s="123"/>
      <c r="AD27" s="123"/>
      <c r="AE27" s="117"/>
      <c r="AF27" s="117"/>
      <c r="AG27" s="117"/>
      <c r="AH27" s="123"/>
      <c r="AI27" s="123"/>
    </row>
    <row r="28" spans="1:38" s="1" customFormat="1" ht="37.5" customHeight="1" x14ac:dyDescent="0.3">
      <c r="A28" s="42" t="s">
        <v>146</v>
      </c>
      <c r="B28" s="153" t="s">
        <v>67</v>
      </c>
      <c r="C28" s="153" t="s">
        <v>99</v>
      </c>
      <c r="D28" s="153" t="s">
        <v>127</v>
      </c>
      <c r="E28" s="153" t="s">
        <v>1</v>
      </c>
      <c r="H28" s="172" t="s">
        <v>146</v>
      </c>
      <c r="I28" s="172"/>
      <c r="J28" s="172" t="s">
        <v>1</v>
      </c>
      <c r="K28" s="172"/>
      <c r="L28" s="172"/>
      <c r="M28" s="45"/>
      <c r="N28" s="185"/>
      <c r="O28" s="186"/>
      <c r="P28" s="185" t="s">
        <v>141</v>
      </c>
      <c r="Q28" s="187"/>
      <c r="R28" s="186"/>
      <c r="U28" s="45"/>
      <c r="V28" s="92"/>
      <c r="W28" s="50"/>
      <c r="X28" s="50"/>
      <c r="Y28" s="50"/>
      <c r="Z28" s="127"/>
      <c r="AD28" s="127"/>
      <c r="AE28" s="127"/>
      <c r="AF28" s="127"/>
      <c r="AG28" s="127"/>
    </row>
    <row r="29" spans="1:38" s="1" customFormat="1" ht="15" customHeight="1" thickBot="1" x14ac:dyDescent="0.35">
      <c r="A29" s="87" t="s">
        <v>1</v>
      </c>
      <c r="B29" s="102">
        <v>6288</v>
      </c>
      <c r="C29" s="102">
        <v>1794</v>
      </c>
      <c r="D29" s="102">
        <v>60228</v>
      </c>
      <c r="E29" s="108">
        <v>68310</v>
      </c>
      <c r="H29" s="180" t="s">
        <v>1</v>
      </c>
      <c r="I29" s="180"/>
      <c r="J29" s="205">
        <v>57964</v>
      </c>
      <c r="K29" s="206"/>
      <c r="L29" s="207"/>
      <c r="M29" s="45"/>
      <c r="N29" s="188" t="s">
        <v>1</v>
      </c>
      <c r="O29" s="189"/>
      <c r="P29" s="192">
        <v>8741</v>
      </c>
      <c r="Q29" s="193"/>
      <c r="R29" s="194"/>
      <c r="U29" s="239"/>
      <c r="V29" s="140"/>
      <c r="W29" s="50"/>
      <c r="X29" s="141"/>
      <c r="Y29" s="141"/>
      <c r="Z29" s="127"/>
      <c r="AA29" s="127"/>
      <c r="AB29" s="127"/>
      <c r="AC29" s="127"/>
      <c r="AD29" s="127"/>
      <c r="AE29" s="127"/>
      <c r="AF29" s="127"/>
      <c r="AG29" s="127"/>
      <c r="AH29" s="127"/>
      <c r="AI29" s="127"/>
      <c r="AJ29" s="127"/>
    </row>
    <row r="30" spans="1:38" s="1" customFormat="1" ht="15" customHeight="1" thickTop="1" x14ac:dyDescent="0.3">
      <c r="A30" s="88" t="s">
        <v>788</v>
      </c>
      <c r="B30" s="157">
        <v>35</v>
      </c>
      <c r="C30" s="157">
        <v>16</v>
      </c>
      <c r="D30" s="157">
        <v>10637</v>
      </c>
      <c r="E30" s="157">
        <v>10688</v>
      </c>
      <c r="F30" s="7"/>
      <c r="G30" s="7"/>
      <c r="H30" s="181" t="s">
        <v>788</v>
      </c>
      <c r="I30" s="181"/>
      <c r="J30" s="199">
        <v>16171</v>
      </c>
      <c r="K30" s="200"/>
      <c r="L30" s="201"/>
      <c r="M30" s="45"/>
      <c r="N30" s="190" t="s">
        <v>794</v>
      </c>
      <c r="O30" s="191"/>
      <c r="P30" s="199">
        <v>14</v>
      </c>
      <c r="Q30" s="200"/>
      <c r="R30" s="201"/>
      <c r="U30" s="239"/>
      <c r="V30" s="140"/>
      <c r="W30" s="50"/>
      <c r="X30" s="141"/>
      <c r="Y30" s="141"/>
      <c r="Z30" s="127"/>
      <c r="AA30" s="127"/>
      <c r="AB30" s="127"/>
      <c r="AC30" s="127"/>
      <c r="AD30" s="127"/>
      <c r="AE30" s="127"/>
      <c r="AF30" s="127"/>
      <c r="AG30" s="127"/>
      <c r="AH30" s="127"/>
      <c r="AI30" s="127"/>
      <c r="AJ30" s="127"/>
    </row>
    <row r="31" spans="1:38" s="1" customFormat="1" ht="14.5" customHeight="1" x14ac:dyDescent="0.3">
      <c r="A31" s="89" t="s">
        <v>122</v>
      </c>
      <c r="B31" s="158">
        <v>6253</v>
      </c>
      <c r="C31" s="158">
        <v>1778</v>
      </c>
      <c r="D31" s="158">
        <v>49591</v>
      </c>
      <c r="E31" s="157">
        <v>57622</v>
      </c>
      <c r="F31" s="7"/>
      <c r="G31" s="7"/>
      <c r="H31" s="182" t="s">
        <v>122</v>
      </c>
      <c r="I31" s="182"/>
      <c r="J31" s="202">
        <v>41793</v>
      </c>
      <c r="K31" s="203"/>
      <c r="L31" s="204"/>
      <c r="M31" s="45"/>
      <c r="N31" s="45"/>
      <c r="O31" s="45"/>
      <c r="P31" s="45"/>
      <c r="Q31" s="45"/>
      <c r="R31" s="45"/>
      <c r="U31" s="239"/>
      <c r="V31" s="140"/>
      <c r="W31" s="50"/>
      <c r="X31" s="141"/>
      <c r="Y31" s="141"/>
      <c r="Z31" s="127"/>
      <c r="AA31" s="127"/>
      <c r="AB31" s="127"/>
      <c r="AC31" s="127"/>
      <c r="AD31" s="127"/>
      <c r="AE31" s="127"/>
      <c r="AF31" s="127"/>
      <c r="AG31" s="127"/>
      <c r="AH31" s="127"/>
      <c r="AI31" s="127"/>
      <c r="AJ31" s="127"/>
    </row>
    <row r="32" spans="1:38" s="1" customFormat="1" ht="12" x14ac:dyDescent="0.3">
      <c r="A32" s="91"/>
      <c r="F32" s="7"/>
      <c r="G32" s="7"/>
      <c r="H32" s="7"/>
      <c r="K32" s="7"/>
      <c r="L32" s="45"/>
      <c r="M32" s="45"/>
      <c r="N32" s="45"/>
      <c r="O32" s="45"/>
      <c r="P32" s="45"/>
      <c r="Q32" s="45"/>
      <c r="R32" s="45"/>
      <c r="S32" s="45"/>
      <c r="T32" s="45"/>
      <c r="U32" s="239"/>
      <c r="V32" s="49"/>
      <c r="W32" s="50"/>
      <c r="X32" s="141"/>
      <c r="Y32" s="141"/>
      <c r="Z32" s="141"/>
      <c r="AA32" s="127"/>
      <c r="AB32" s="127"/>
      <c r="AC32" s="127"/>
      <c r="AD32" s="127"/>
      <c r="AE32" s="127"/>
      <c r="AF32" s="127"/>
      <c r="AG32" s="127"/>
    </row>
    <row r="33" spans="1:45" s="7" customFormat="1" ht="16.5" customHeight="1" x14ac:dyDescent="0.3">
      <c r="A33" s="177"/>
      <c r="B33" s="178"/>
      <c r="C33" s="178"/>
      <c r="D33" s="178"/>
      <c r="E33" s="178"/>
      <c r="F33" s="178"/>
      <c r="G33" s="178"/>
      <c r="H33" s="178"/>
      <c r="I33" s="178"/>
      <c r="J33" s="178"/>
      <c r="K33" s="178"/>
      <c r="L33" s="178"/>
      <c r="M33" s="178"/>
      <c r="N33" s="178"/>
      <c r="O33" s="178"/>
      <c r="P33" s="178"/>
      <c r="Q33" s="178"/>
      <c r="R33" s="178"/>
      <c r="S33" s="178"/>
      <c r="T33" s="178"/>
      <c r="U33" s="178"/>
      <c r="V33" s="179"/>
      <c r="W33" s="45"/>
      <c r="X33" s="45"/>
      <c r="Y33" s="45"/>
      <c r="Z33" s="239"/>
      <c r="AA33" s="117"/>
      <c r="AB33" s="117"/>
      <c r="AC33" s="117"/>
      <c r="AD33" s="117"/>
      <c r="AE33" s="117"/>
      <c r="AF33" s="117"/>
      <c r="AG33" s="117"/>
    </row>
    <row r="34" spans="1:45" s="1" customFormat="1" ht="12" x14ac:dyDescent="0.3">
      <c r="A34" s="91"/>
      <c r="F34" s="7"/>
      <c r="G34" s="7"/>
      <c r="H34" s="7"/>
      <c r="I34" s="127"/>
      <c r="K34" s="7"/>
      <c r="L34" s="45"/>
      <c r="M34" s="45"/>
      <c r="N34" s="45"/>
      <c r="O34" s="45"/>
      <c r="P34" s="45"/>
      <c r="Q34" s="45"/>
      <c r="R34" s="45"/>
      <c r="S34" s="45"/>
      <c r="T34" s="45"/>
      <c r="U34" s="45"/>
      <c r="V34" s="254"/>
      <c r="W34" s="50"/>
      <c r="X34" s="50"/>
      <c r="Y34" s="50"/>
      <c r="Z34" s="141"/>
      <c r="AA34" s="127"/>
      <c r="AB34" s="127"/>
      <c r="AC34" s="127"/>
      <c r="AD34" s="127"/>
      <c r="AE34" s="127"/>
    </row>
    <row r="35" spans="1:45" s="1" customFormat="1" ht="12" x14ac:dyDescent="0.3">
      <c r="A35" s="91"/>
      <c r="F35" s="7"/>
      <c r="G35" s="7"/>
      <c r="H35" s="7"/>
      <c r="I35" s="119"/>
      <c r="J35" s="119"/>
      <c r="K35" s="123"/>
      <c r="L35" s="233"/>
      <c r="M35" s="233"/>
      <c r="N35" s="233"/>
      <c r="O35" s="233"/>
      <c r="P35" s="233"/>
      <c r="Q35" s="233"/>
      <c r="R35" s="233"/>
      <c r="S35" s="233"/>
      <c r="T35" s="45"/>
      <c r="U35" s="45"/>
      <c r="V35" s="49"/>
      <c r="W35" s="50"/>
      <c r="X35" s="50"/>
      <c r="Y35" s="50"/>
      <c r="Z35" s="141"/>
      <c r="AB35" s="127"/>
      <c r="AC35" s="127"/>
      <c r="AE35" s="127"/>
    </row>
    <row r="36" spans="1:45" s="1" customFormat="1" ht="22.5" customHeight="1" x14ac:dyDescent="0.3">
      <c r="A36" s="176" t="s">
        <v>793</v>
      </c>
      <c r="B36" s="212"/>
      <c r="C36" s="212"/>
      <c r="D36" s="212"/>
      <c r="E36" s="212"/>
      <c r="F36" s="253"/>
      <c r="G36" s="7"/>
      <c r="H36" s="7"/>
      <c r="I36" s="7"/>
      <c r="J36" s="7"/>
      <c r="K36" s="7"/>
      <c r="L36" s="7"/>
      <c r="M36" s="7"/>
      <c r="N36" s="7"/>
      <c r="O36" s="7"/>
      <c r="P36" s="7"/>
      <c r="Q36" s="7"/>
      <c r="R36" s="117"/>
      <c r="S36" s="7"/>
      <c r="T36" s="7"/>
      <c r="U36" s="7"/>
      <c r="V36" s="242"/>
      <c r="W36" s="50"/>
      <c r="X36" s="50"/>
      <c r="Y36" s="50"/>
      <c r="Z36" s="141"/>
      <c r="AB36" s="127"/>
      <c r="AC36" s="127"/>
      <c r="AE36" s="127"/>
    </row>
    <row r="37" spans="1:45" s="1" customFormat="1" ht="38.5" customHeight="1" x14ac:dyDescent="0.3">
      <c r="A37" s="93" t="s">
        <v>145</v>
      </c>
      <c r="B37" s="153" t="s">
        <v>124</v>
      </c>
      <c r="C37" s="153" t="s">
        <v>132</v>
      </c>
      <c r="D37" s="153" t="s">
        <v>133</v>
      </c>
      <c r="E37" s="153" t="s">
        <v>134</v>
      </c>
      <c r="F37" s="153" t="s">
        <v>135</v>
      </c>
      <c r="G37" s="153" t="s">
        <v>136</v>
      </c>
      <c r="H37" s="153" t="s">
        <v>137</v>
      </c>
      <c r="I37" s="153" t="s">
        <v>138</v>
      </c>
      <c r="J37" s="153" t="s">
        <v>139</v>
      </c>
      <c r="K37" s="153" t="s">
        <v>140</v>
      </c>
      <c r="L37" s="153" t="s">
        <v>142</v>
      </c>
      <c r="M37" s="153" t="s">
        <v>143</v>
      </c>
      <c r="N37" s="153" t="s">
        <v>144</v>
      </c>
      <c r="O37" s="153" t="s">
        <v>1</v>
      </c>
      <c r="P37" s="7"/>
      <c r="Q37" s="7"/>
      <c r="R37" s="117"/>
      <c r="S37" s="7"/>
      <c r="T37" s="7"/>
      <c r="U37" s="7"/>
      <c r="V37" s="242"/>
      <c r="W37" s="7"/>
      <c r="X37" s="7"/>
      <c r="Y37" s="7"/>
      <c r="Z37" s="7"/>
      <c r="AA37" s="7"/>
      <c r="AB37" s="7"/>
      <c r="AC37" s="7"/>
      <c r="AD37" s="50"/>
      <c r="AE37" s="50"/>
      <c r="AI37" s="127"/>
      <c r="AJ37" s="127"/>
      <c r="AL37" s="127"/>
    </row>
    <row r="38" spans="1:45" s="1" customFormat="1" ht="15.75" customHeight="1" thickBot="1" x14ac:dyDescent="0.35">
      <c r="A38" s="252" t="s">
        <v>1</v>
      </c>
      <c r="B38" s="102"/>
      <c r="C38" s="108">
        <v>23221</v>
      </c>
      <c r="D38" s="108">
        <v>29644</v>
      </c>
      <c r="E38" s="108">
        <v>5099</v>
      </c>
      <c r="F38" s="108">
        <f>SUM(F43,F47,F51,F55,F59)</f>
        <v>0</v>
      </c>
      <c r="G38" s="108">
        <f>SUM(G43,G47,G51,G55,G59)</f>
        <v>0</v>
      </c>
      <c r="H38" s="108">
        <f>SUM(H43,H47,H51,H55,H59)</f>
        <v>0</v>
      </c>
      <c r="I38" s="108">
        <f>SUM(I43,I47,I51,I55,I59)</f>
        <v>0</v>
      </c>
      <c r="J38" s="108">
        <f>SUM(J43,J47,J51,J55,J59)</f>
        <v>0</v>
      </c>
      <c r="K38" s="108">
        <f>SUM(K43,K47,K51,K55,K59)</f>
        <v>0</v>
      </c>
      <c r="L38" s="108">
        <f>SUM(L43,L47,L51,L55,L59)</f>
        <v>0</v>
      </c>
      <c r="M38" s="108">
        <f>SUM(M43,M47,M51,M55,M59)</f>
        <v>0</v>
      </c>
      <c r="N38" s="108">
        <f>SUM(N43,N47,N51,N55,N59)</f>
        <v>0</v>
      </c>
      <c r="O38" s="102">
        <f>SUM(C38:N38)</f>
        <v>57964</v>
      </c>
      <c r="P38" s="7"/>
      <c r="Q38" s="7"/>
      <c r="R38" s="117"/>
      <c r="S38" s="7"/>
      <c r="T38" s="7"/>
      <c r="U38" s="117"/>
      <c r="V38" s="246"/>
      <c r="W38" s="117"/>
      <c r="X38" s="117"/>
      <c r="Y38" s="117"/>
      <c r="Z38" s="117"/>
      <c r="AA38" s="117"/>
      <c r="AB38" s="117"/>
      <c r="AC38" s="117"/>
      <c r="AD38" s="141"/>
      <c r="AE38" s="141"/>
      <c r="AF38" s="127"/>
      <c r="AG38" s="127"/>
      <c r="AH38" s="127"/>
      <c r="AI38" s="127"/>
      <c r="AJ38" s="127"/>
      <c r="AL38" s="127"/>
      <c r="AP38" s="127"/>
      <c r="AQ38" s="127"/>
      <c r="AR38" s="127"/>
      <c r="AS38" s="127"/>
    </row>
    <row r="39" spans="1:45" s="1" customFormat="1" ht="15" customHeight="1" thickTop="1" x14ac:dyDescent="0.3">
      <c r="A39" s="251" t="s">
        <v>578</v>
      </c>
      <c r="B39" s="251" t="s">
        <v>1</v>
      </c>
      <c r="C39" s="250">
        <v>1078</v>
      </c>
      <c r="D39" s="250">
        <v>1192</v>
      </c>
      <c r="E39" s="250">
        <v>148</v>
      </c>
      <c r="F39" s="250">
        <f>F43+F47</f>
        <v>0</v>
      </c>
      <c r="G39" s="250">
        <f>G43+G47</f>
        <v>0</v>
      </c>
      <c r="H39" s="250">
        <f>H43+H47</f>
        <v>0</v>
      </c>
      <c r="I39" s="250">
        <f>I43+I47</f>
        <v>0</v>
      </c>
      <c r="J39" s="250">
        <f>J43+J47</f>
        <v>0</v>
      </c>
      <c r="K39" s="250">
        <f>K43+K47</f>
        <v>0</v>
      </c>
      <c r="L39" s="250">
        <f>L43+L47</f>
        <v>0</v>
      </c>
      <c r="M39" s="250">
        <f>M43+M47</f>
        <v>0</v>
      </c>
      <c r="N39" s="250">
        <f>N43+N47</f>
        <v>0</v>
      </c>
      <c r="O39" s="250">
        <f>SUM(O40:O42)</f>
        <v>2418</v>
      </c>
      <c r="P39" s="248"/>
      <c r="Q39" s="248"/>
      <c r="R39" s="117"/>
      <c r="S39" s="117"/>
      <c r="T39" s="117"/>
      <c r="U39" s="117"/>
      <c r="V39" s="246"/>
      <c r="W39" s="117"/>
      <c r="X39" s="117"/>
      <c r="Y39" s="117"/>
      <c r="Z39" s="117"/>
      <c r="AA39" s="117"/>
      <c r="AB39" s="117"/>
      <c r="AC39" s="117"/>
      <c r="AD39" s="141"/>
      <c r="AE39" s="141"/>
      <c r="AF39" s="127"/>
      <c r="AG39" s="127"/>
      <c r="AH39" s="127"/>
      <c r="AI39" s="127"/>
      <c r="AS39" s="127"/>
    </row>
    <row r="40" spans="1:45" s="1" customFormat="1" ht="15" customHeight="1" x14ac:dyDescent="0.3">
      <c r="A40" s="158"/>
      <c r="B40" s="158" t="s">
        <v>67</v>
      </c>
      <c r="C40" s="157">
        <v>81</v>
      </c>
      <c r="D40" s="157">
        <v>73</v>
      </c>
      <c r="E40" s="157">
        <v>13</v>
      </c>
      <c r="F40" s="157">
        <f>F44+F48</f>
        <v>0</v>
      </c>
      <c r="G40" s="157">
        <f>G44+G48</f>
        <v>0</v>
      </c>
      <c r="H40" s="157">
        <f>H44+H48</f>
        <v>0</v>
      </c>
      <c r="I40" s="157">
        <f>I44+I48</f>
        <v>0</v>
      </c>
      <c r="J40" s="157">
        <f>J44+J48</f>
        <v>0</v>
      </c>
      <c r="K40" s="157">
        <f>K44+K48</f>
        <v>0</v>
      </c>
      <c r="L40" s="157">
        <f>L44+L48</f>
        <v>0</v>
      </c>
      <c r="M40" s="157">
        <f>M44+M48</f>
        <v>0</v>
      </c>
      <c r="N40" s="157">
        <f>N44+N48</f>
        <v>0</v>
      </c>
      <c r="O40" s="157">
        <f>O44+O48</f>
        <v>167</v>
      </c>
      <c r="P40" s="7"/>
      <c r="Q40" s="7"/>
      <c r="R40" s="117"/>
      <c r="S40" s="7"/>
      <c r="T40" s="7"/>
      <c r="U40" s="117"/>
      <c r="V40" s="246"/>
      <c r="W40" s="7"/>
      <c r="X40" s="7"/>
      <c r="Y40" s="7"/>
      <c r="Z40" s="7"/>
      <c r="AA40" s="117"/>
      <c r="AB40" s="117"/>
      <c r="AC40" s="117"/>
      <c r="AD40" s="141"/>
      <c r="AE40" s="141"/>
      <c r="AF40" s="127"/>
      <c r="AG40" s="127"/>
      <c r="AH40" s="127"/>
      <c r="AI40" s="127"/>
      <c r="AS40" s="127"/>
    </row>
    <row r="41" spans="1:45" s="1" customFormat="1" ht="15" customHeight="1" x14ac:dyDescent="0.3">
      <c r="A41" s="158"/>
      <c r="B41" s="158" t="s">
        <v>99</v>
      </c>
      <c r="C41" s="157">
        <v>119</v>
      </c>
      <c r="D41" s="157">
        <v>86</v>
      </c>
      <c r="E41" s="157">
        <v>10</v>
      </c>
      <c r="F41" s="157">
        <f>F45+F49</f>
        <v>0</v>
      </c>
      <c r="G41" s="157">
        <f>G45+G49</f>
        <v>0</v>
      </c>
      <c r="H41" s="157">
        <f>H45+H49</f>
        <v>0</v>
      </c>
      <c r="I41" s="157">
        <f>I45+I49</f>
        <v>0</v>
      </c>
      <c r="J41" s="157">
        <f>J45+J49</f>
        <v>0</v>
      </c>
      <c r="K41" s="157">
        <f>K45+K49</f>
        <v>0</v>
      </c>
      <c r="L41" s="157">
        <f>L45+L49</f>
        <v>0</v>
      </c>
      <c r="M41" s="157">
        <f>M45+M49</f>
        <v>0</v>
      </c>
      <c r="N41" s="157">
        <f>N45+N49</f>
        <v>0</v>
      </c>
      <c r="O41" s="157">
        <f>O45+O49</f>
        <v>215</v>
      </c>
      <c r="P41" s="7"/>
      <c r="Q41" s="7"/>
      <c r="R41" s="7"/>
      <c r="S41" s="117"/>
      <c r="T41" s="117"/>
      <c r="U41" s="117"/>
      <c r="V41" s="246"/>
      <c r="W41" s="7"/>
      <c r="X41" s="7"/>
      <c r="Y41" s="7"/>
      <c r="Z41" s="7"/>
      <c r="AA41" s="7"/>
      <c r="AB41" s="117"/>
      <c r="AC41" s="7"/>
      <c r="AD41" s="141"/>
      <c r="AE41" s="50"/>
      <c r="AF41" s="127"/>
      <c r="AH41" s="127"/>
      <c r="AS41" s="127"/>
    </row>
    <row r="42" spans="1:45" s="1" customFormat="1" ht="15" customHeight="1" x14ac:dyDescent="0.3">
      <c r="A42" s="158"/>
      <c r="B42" s="158" t="s">
        <v>127</v>
      </c>
      <c r="C42" s="157">
        <v>878</v>
      </c>
      <c r="D42" s="157">
        <v>1033</v>
      </c>
      <c r="E42" s="157">
        <v>125</v>
      </c>
      <c r="F42" s="157">
        <f>F46+F50</f>
        <v>0</v>
      </c>
      <c r="G42" s="157">
        <f>G46+G50</f>
        <v>0</v>
      </c>
      <c r="H42" s="157">
        <f>H46+H50</f>
        <v>0</v>
      </c>
      <c r="I42" s="157">
        <f>I46+I50</f>
        <v>0</v>
      </c>
      <c r="J42" s="157">
        <f>J46+J50</f>
        <v>0</v>
      </c>
      <c r="K42" s="157">
        <f>K46+K50</f>
        <v>0</v>
      </c>
      <c r="L42" s="157">
        <f>L46+L50</f>
        <v>0</v>
      </c>
      <c r="M42" s="157">
        <f>M46+M50</f>
        <v>0</v>
      </c>
      <c r="N42" s="157">
        <f>N46+N50</f>
        <v>0</v>
      </c>
      <c r="O42" s="157">
        <f>O46+O50</f>
        <v>2036</v>
      </c>
      <c r="P42" s="7"/>
      <c r="Q42" s="7"/>
      <c r="R42" s="7"/>
      <c r="S42" s="7"/>
      <c r="T42" s="7"/>
      <c r="U42" s="117"/>
      <c r="V42" s="242"/>
      <c r="W42" s="7"/>
      <c r="X42" s="7"/>
      <c r="Y42" s="7"/>
      <c r="Z42" s="7"/>
      <c r="AA42" s="7"/>
      <c r="AB42" s="117"/>
      <c r="AC42" s="7"/>
      <c r="AD42" s="50"/>
      <c r="AE42" s="50"/>
      <c r="AS42" s="127"/>
    </row>
    <row r="43" spans="1:45" s="1" customFormat="1" ht="14.5" customHeight="1" x14ac:dyDescent="0.3">
      <c r="A43" s="247" t="s">
        <v>579</v>
      </c>
      <c r="B43" s="245" t="s">
        <v>1</v>
      </c>
      <c r="C43" s="244">
        <v>277</v>
      </c>
      <c r="D43" s="244">
        <v>261</v>
      </c>
      <c r="E43" s="249">
        <v>36</v>
      </c>
      <c r="F43" s="249">
        <v>0</v>
      </c>
      <c r="G43" s="249">
        <v>0</v>
      </c>
      <c r="H43" s="249">
        <v>0</v>
      </c>
      <c r="I43" s="249">
        <v>0</v>
      </c>
      <c r="J43" s="249">
        <v>0</v>
      </c>
      <c r="K43" s="249">
        <v>0</v>
      </c>
      <c r="L43" s="249">
        <v>0</v>
      </c>
      <c r="M43" s="249">
        <v>0</v>
      </c>
      <c r="N43" s="249">
        <v>0</v>
      </c>
      <c r="O43" s="243">
        <f>SUM(C43:N43)</f>
        <v>574</v>
      </c>
      <c r="P43" s="248"/>
      <c r="Q43" s="7"/>
      <c r="R43" s="7"/>
      <c r="S43" s="7"/>
      <c r="T43" s="7"/>
      <c r="U43" s="7"/>
      <c r="V43" s="242"/>
      <c r="W43" s="7"/>
      <c r="X43" s="7"/>
      <c r="Y43" s="7"/>
      <c r="Z43" s="7"/>
      <c r="AA43" s="7"/>
      <c r="AB43" s="117"/>
      <c r="AC43" s="7"/>
      <c r="AD43" s="50"/>
      <c r="AE43" s="50"/>
      <c r="AF43" s="127"/>
      <c r="AG43" s="127"/>
      <c r="AH43" s="127"/>
      <c r="AQ43" s="127"/>
      <c r="AR43" s="127"/>
      <c r="AS43" s="127"/>
    </row>
    <row r="44" spans="1:45" s="1" customFormat="1" ht="14.5" customHeight="1" x14ac:dyDescent="0.3">
      <c r="A44" s="149"/>
      <c r="B44" s="158" t="s">
        <v>67</v>
      </c>
      <c r="C44" s="158">
        <v>10</v>
      </c>
      <c r="D44" s="158">
        <v>13</v>
      </c>
      <c r="E44" s="84">
        <v>3</v>
      </c>
      <c r="F44" s="84">
        <v>0</v>
      </c>
      <c r="G44" s="84">
        <v>0</v>
      </c>
      <c r="H44" s="84">
        <v>0</v>
      </c>
      <c r="I44" s="84">
        <v>0</v>
      </c>
      <c r="J44" s="84">
        <v>0</v>
      </c>
      <c r="K44" s="84">
        <v>0</v>
      </c>
      <c r="L44" s="84">
        <v>0</v>
      </c>
      <c r="M44" s="84">
        <v>0</v>
      </c>
      <c r="N44" s="84">
        <v>0</v>
      </c>
      <c r="O44" s="84">
        <f>SUM(C44:N44)</f>
        <v>26</v>
      </c>
      <c r="P44" s="248"/>
      <c r="Q44" s="7"/>
      <c r="R44" s="7"/>
      <c r="S44" s="7"/>
      <c r="T44" s="7"/>
      <c r="U44" s="7"/>
      <c r="V44" s="242"/>
      <c r="W44" s="7"/>
      <c r="X44" s="7"/>
      <c r="Y44" s="7"/>
      <c r="Z44" s="7"/>
      <c r="AA44" s="7"/>
      <c r="AB44" s="117"/>
      <c r="AC44" s="117"/>
      <c r="AD44" s="50"/>
      <c r="AE44" s="141"/>
      <c r="AF44" s="127"/>
      <c r="AG44" s="127"/>
      <c r="AH44" s="127"/>
      <c r="AI44" s="127"/>
      <c r="AQ44" s="127"/>
      <c r="AR44" s="127"/>
      <c r="AS44" s="127"/>
    </row>
    <row r="45" spans="1:45" s="1" customFormat="1" ht="14.5" customHeight="1" x14ac:dyDescent="0.3">
      <c r="A45" s="149"/>
      <c r="B45" s="158" t="s">
        <v>99</v>
      </c>
      <c r="C45" s="158">
        <v>32</v>
      </c>
      <c r="D45" s="158">
        <v>8</v>
      </c>
      <c r="E45" s="84">
        <v>2</v>
      </c>
      <c r="F45" s="84">
        <v>0</v>
      </c>
      <c r="G45" s="84">
        <v>0</v>
      </c>
      <c r="H45" s="84">
        <v>0</v>
      </c>
      <c r="I45" s="84">
        <v>0</v>
      </c>
      <c r="J45" s="84">
        <v>0</v>
      </c>
      <c r="K45" s="84">
        <v>0</v>
      </c>
      <c r="L45" s="84">
        <v>0</v>
      </c>
      <c r="M45" s="84">
        <v>0</v>
      </c>
      <c r="N45" s="84">
        <v>0</v>
      </c>
      <c r="O45" s="84">
        <f>SUM(C45:N45)</f>
        <v>42</v>
      </c>
      <c r="P45" s="7"/>
      <c r="Q45" s="7"/>
      <c r="R45" s="7"/>
      <c r="S45" s="7"/>
      <c r="T45" s="7"/>
      <c r="U45" s="7"/>
      <c r="V45" s="242"/>
      <c r="W45" s="7"/>
      <c r="X45" s="7"/>
      <c r="Y45" s="7"/>
      <c r="Z45" s="7"/>
      <c r="AA45" s="7"/>
      <c r="AB45" s="117"/>
      <c r="AC45" s="7"/>
      <c r="AD45" s="141"/>
      <c r="AE45" s="50"/>
      <c r="AF45" s="127"/>
      <c r="AG45" s="127"/>
      <c r="AH45" s="127"/>
      <c r="AI45" s="127"/>
      <c r="AQ45" s="127"/>
      <c r="AR45" s="127"/>
      <c r="AS45" s="127"/>
    </row>
    <row r="46" spans="1:45" s="1" customFormat="1" ht="14.5" customHeight="1" x14ac:dyDescent="0.3">
      <c r="A46" s="149"/>
      <c r="B46" s="158" t="s">
        <v>127</v>
      </c>
      <c r="C46" s="158">
        <v>235</v>
      </c>
      <c r="D46" s="158">
        <v>240</v>
      </c>
      <c r="E46" s="84">
        <v>31</v>
      </c>
      <c r="F46" s="84">
        <v>0</v>
      </c>
      <c r="G46" s="84">
        <v>0</v>
      </c>
      <c r="H46" s="84">
        <v>0</v>
      </c>
      <c r="I46" s="84">
        <v>0</v>
      </c>
      <c r="J46" s="84">
        <v>0</v>
      </c>
      <c r="K46" s="84">
        <v>0</v>
      </c>
      <c r="L46" s="84">
        <v>0</v>
      </c>
      <c r="M46" s="84">
        <v>0</v>
      </c>
      <c r="N46" s="84">
        <v>0</v>
      </c>
      <c r="O46" s="84">
        <f>SUM(C46:N46)</f>
        <v>506</v>
      </c>
      <c r="P46" s="7"/>
      <c r="Q46" s="7"/>
      <c r="R46" s="7"/>
      <c r="S46" s="7"/>
      <c r="T46" s="7"/>
      <c r="U46" s="7"/>
      <c r="V46" s="242"/>
      <c r="W46" s="7"/>
      <c r="X46" s="7"/>
      <c r="Y46" s="7"/>
      <c r="Z46" s="7"/>
      <c r="AA46" s="7"/>
      <c r="AB46" s="117"/>
      <c r="AC46" s="7"/>
      <c r="AD46" s="141"/>
      <c r="AE46" s="50"/>
      <c r="AF46" s="127"/>
      <c r="AG46" s="127"/>
      <c r="AH46" s="127"/>
      <c r="AI46" s="127"/>
      <c r="AQ46" s="127"/>
      <c r="AR46" s="127"/>
      <c r="AS46" s="127"/>
    </row>
    <row r="47" spans="1:45" s="1" customFormat="1" ht="14.5" customHeight="1" x14ac:dyDescent="0.3">
      <c r="A47" s="247" t="s">
        <v>580</v>
      </c>
      <c r="B47" s="245" t="s">
        <v>1</v>
      </c>
      <c r="C47" s="244">
        <v>801</v>
      </c>
      <c r="D47" s="244">
        <v>931</v>
      </c>
      <c r="E47" s="243">
        <v>112</v>
      </c>
      <c r="F47" s="243">
        <v>0</v>
      </c>
      <c r="G47" s="243">
        <v>0</v>
      </c>
      <c r="H47" s="243">
        <v>0</v>
      </c>
      <c r="I47" s="243">
        <v>0</v>
      </c>
      <c r="J47" s="243">
        <v>0</v>
      </c>
      <c r="K47" s="243">
        <v>0</v>
      </c>
      <c r="L47" s="243">
        <v>0</v>
      </c>
      <c r="M47" s="243">
        <v>0</v>
      </c>
      <c r="N47" s="243">
        <v>0</v>
      </c>
      <c r="O47" s="243">
        <f>SUM(C47:N47)</f>
        <v>1844</v>
      </c>
      <c r="P47" s="7"/>
      <c r="Q47" s="7"/>
      <c r="R47" s="7"/>
      <c r="S47" s="7"/>
      <c r="T47" s="7"/>
      <c r="U47" s="7"/>
      <c r="V47" s="242"/>
      <c r="W47" s="7"/>
      <c r="X47" s="7"/>
      <c r="Y47" s="7"/>
      <c r="Z47" s="7"/>
      <c r="AA47" s="7"/>
      <c r="AB47" s="117"/>
      <c r="AC47" s="7"/>
      <c r="AD47" s="141"/>
      <c r="AE47" s="50"/>
      <c r="AF47" s="127"/>
      <c r="AG47" s="127"/>
      <c r="AH47" s="127"/>
      <c r="AI47" s="127"/>
      <c r="AP47" s="127"/>
      <c r="AQ47" s="127"/>
      <c r="AR47" s="127"/>
      <c r="AS47" s="127"/>
    </row>
    <row r="48" spans="1:45" s="1" customFormat="1" ht="14.5" customHeight="1" x14ac:dyDescent="0.3">
      <c r="A48" s="149"/>
      <c r="B48" s="158" t="s">
        <v>67</v>
      </c>
      <c r="C48" s="158">
        <v>71</v>
      </c>
      <c r="D48" s="158">
        <v>60</v>
      </c>
      <c r="E48" s="85">
        <v>10</v>
      </c>
      <c r="F48" s="85">
        <v>0</v>
      </c>
      <c r="G48" s="85">
        <v>0</v>
      </c>
      <c r="H48" s="85">
        <v>0</v>
      </c>
      <c r="I48" s="85">
        <v>0</v>
      </c>
      <c r="J48" s="85">
        <v>0</v>
      </c>
      <c r="K48" s="85">
        <v>0</v>
      </c>
      <c r="L48" s="85">
        <v>0</v>
      </c>
      <c r="M48" s="85">
        <v>0</v>
      </c>
      <c r="N48" s="85">
        <v>0</v>
      </c>
      <c r="O48" s="85">
        <f>SUM(C48:N48)</f>
        <v>141</v>
      </c>
      <c r="P48" s="7"/>
      <c r="Q48" s="7"/>
      <c r="R48" s="7"/>
      <c r="S48" s="7"/>
      <c r="T48" s="7"/>
      <c r="U48" s="7"/>
      <c r="V48" s="246"/>
      <c r="W48" s="117"/>
      <c r="X48" s="117"/>
      <c r="Y48" s="117"/>
      <c r="Z48" s="117"/>
      <c r="AA48" s="117"/>
      <c r="AB48" s="117"/>
      <c r="AC48" s="117"/>
      <c r="AD48" s="141"/>
      <c r="AE48" s="141"/>
      <c r="AF48" s="127"/>
      <c r="AG48" s="127"/>
      <c r="AH48" s="127"/>
      <c r="AI48" s="127"/>
      <c r="AP48" s="127"/>
      <c r="AQ48" s="127"/>
      <c r="AR48" s="127"/>
      <c r="AS48" s="127"/>
    </row>
    <row r="49" spans="1:45" s="1" customFormat="1" ht="14.5" customHeight="1" x14ac:dyDescent="0.3">
      <c r="A49" s="149"/>
      <c r="B49" s="158" t="s">
        <v>99</v>
      </c>
      <c r="C49" s="158">
        <v>87</v>
      </c>
      <c r="D49" s="158">
        <v>78</v>
      </c>
      <c r="E49" s="85">
        <v>8</v>
      </c>
      <c r="F49" s="85">
        <v>0</v>
      </c>
      <c r="G49" s="85">
        <v>0</v>
      </c>
      <c r="H49" s="85">
        <v>0</v>
      </c>
      <c r="I49" s="85">
        <v>0</v>
      </c>
      <c r="J49" s="85">
        <v>0</v>
      </c>
      <c r="K49" s="85">
        <v>0</v>
      </c>
      <c r="L49" s="85">
        <v>0</v>
      </c>
      <c r="M49" s="85">
        <v>0</v>
      </c>
      <c r="N49" s="85">
        <v>0</v>
      </c>
      <c r="O49" s="85">
        <f>SUM(C49:N49)</f>
        <v>173</v>
      </c>
      <c r="P49" s="7"/>
      <c r="Q49" s="7"/>
      <c r="R49" s="7"/>
      <c r="S49" s="7"/>
      <c r="T49" s="7"/>
      <c r="U49" s="117"/>
      <c r="V49" s="246"/>
      <c r="W49" s="117"/>
      <c r="X49" s="117"/>
      <c r="Y49" s="117"/>
      <c r="Z49" s="117"/>
      <c r="AA49" s="117"/>
      <c r="AB49" s="117"/>
      <c r="AC49" s="117"/>
      <c r="AD49" s="141"/>
      <c r="AE49" s="141"/>
      <c r="AF49" s="127"/>
      <c r="AG49" s="127"/>
      <c r="AH49" s="127"/>
      <c r="AI49" s="127"/>
      <c r="AL49" s="127"/>
      <c r="AM49" s="127"/>
      <c r="AN49" s="127"/>
      <c r="AO49" s="127"/>
      <c r="AP49" s="127"/>
      <c r="AQ49" s="127"/>
      <c r="AR49" s="127"/>
      <c r="AS49" s="127"/>
    </row>
    <row r="50" spans="1:45" s="1" customFormat="1" ht="14.5" customHeight="1" x14ac:dyDescent="0.3">
      <c r="A50" s="149"/>
      <c r="B50" s="158" t="s">
        <v>127</v>
      </c>
      <c r="C50" s="158">
        <v>643</v>
      </c>
      <c r="D50" s="158">
        <v>793</v>
      </c>
      <c r="E50" s="85">
        <v>94</v>
      </c>
      <c r="F50" s="85">
        <v>0</v>
      </c>
      <c r="G50" s="85">
        <v>0</v>
      </c>
      <c r="H50" s="85">
        <v>0</v>
      </c>
      <c r="I50" s="85">
        <v>0</v>
      </c>
      <c r="J50" s="85">
        <v>0</v>
      </c>
      <c r="K50" s="85">
        <v>0</v>
      </c>
      <c r="L50" s="85">
        <v>0</v>
      </c>
      <c r="M50" s="85">
        <v>0</v>
      </c>
      <c r="N50" s="85">
        <v>0</v>
      </c>
      <c r="O50" s="85">
        <f>SUM(C50:N50)</f>
        <v>1530</v>
      </c>
      <c r="P50" s="7"/>
      <c r="Q50" s="7"/>
      <c r="R50" s="7"/>
      <c r="S50" s="7"/>
      <c r="T50" s="7"/>
      <c r="U50" s="7"/>
      <c r="V50" s="242"/>
      <c r="W50" s="7"/>
      <c r="X50" s="7"/>
      <c r="Y50" s="7"/>
      <c r="Z50" s="7"/>
      <c r="AA50" s="7"/>
      <c r="AB50" s="7"/>
      <c r="AC50" s="7"/>
      <c r="AD50" s="141"/>
      <c r="AE50" s="50"/>
      <c r="AF50" s="127"/>
      <c r="AG50" s="127"/>
      <c r="AH50" s="127"/>
      <c r="AI50" s="127"/>
      <c r="AP50" s="127"/>
      <c r="AQ50" s="127"/>
      <c r="AR50" s="127"/>
      <c r="AS50" s="127"/>
    </row>
    <row r="51" spans="1:45" s="1" customFormat="1" ht="14.5" customHeight="1" x14ac:dyDescent="0.3">
      <c r="A51" s="245" t="s">
        <v>2</v>
      </c>
      <c r="B51" s="245" t="s">
        <v>1</v>
      </c>
      <c r="C51" s="244">
        <v>12954</v>
      </c>
      <c r="D51" s="244">
        <v>16949</v>
      </c>
      <c r="E51" s="243">
        <v>3384</v>
      </c>
      <c r="F51" s="243">
        <v>0</v>
      </c>
      <c r="G51" s="243">
        <v>0</v>
      </c>
      <c r="H51" s="243">
        <v>0</v>
      </c>
      <c r="I51" s="243">
        <v>0</v>
      </c>
      <c r="J51" s="243">
        <v>0</v>
      </c>
      <c r="K51" s="243">
        <v>0</v>
      </c>
      <c r="L51" s="243">
        <v>0</v>
      </c>
      <c r="M51" s="243">
        <v>0</v>
      </c>
      <c r="N51" s="243">
        <v>0</v>
      </c>
      <c r="O51" s="243">
        <f>SUM(C51:N51)</f>
        <v>33287</v>
      </c>
      <c r="P51" s="7"/>
      <c r="Q51" s="7"/>
      <c r="R51" s="7"/>
      <c r="S51" s="7"/>
      <c r="T51" s="7"/>
      <c r="U51" s="117"/>
      <c r="V51" s="246"/>
      <c r="W51" s="117"/>
      <c r="X51" s="117"/>
      <c r="Y51" s="117"/>
      <c r="Z51" s="117"/>
      <c r="AA51" s="117"/>
      <c r="AB51" s="117"/>
      <c r="AC51" s="117"/>
      <c r="AD51" s="141"/>
      <c r="AE51" s="141"/>
      <c r="AF51" s="127"/>
      <c r="AG51" s="127"/>
      <c r="AH51" s="127"/>
      <c r="AI51" s="127"/>
      <c r="AP51" s="127"/>
      <c r="AQ51" s="127"/>
      <c r="AR51" s="127"/>
      <c r="AS51" s="127"/>
    </row>
    <row r="52" spans="1:45" s="1" customFormat="1" ht="14.5" customHeight="1" x14ac:dyDescent="0.3">
      <c r="A52" s="158"/>
      <c r="B52" s="158" t="s">
        <v>67</v>
      </c>
      <c r="C52" s="158">
        <v>148</v>
      </c>
      <c r="D52" s="158">
        <v>155</v>
      </c>
      <c r="E52" s="85">
        <v>29</v>
      </c>
      <c r="F52" s="85">
        <v>0</v>
      </c>
      <c r="G52" s="85">
        <v>0</v>
      </c>
      <c r="H52" s="85">
        <v>0</v>
      </c>
      <c r="I52" s="85">
        <v>0</v>
      </c>
      <c r="J52" s="85">
        <v>0</v>
      </c>
      <c r="K52" s="85">
        <v>0</v>
      </c>
      <c r="L52" s="85">
        <v>0</v>
      </c>
      <c r="M52" s="85">
        <v>0</v>
      </c>
      <c r="N52" s="85">
        <v>0</v>
      </c>
      <c r="O52" s="85">
        <f>SUM(C52:N52)</f>
        <v>332</v>
      </c>
      <c r="P52" s="7"/>
      <c r="Q52" s="7"/>
      <c r="R52" s="7"/>
      <c r="S52" s="7"/>
      <c r="T52" s="7"/>
      <c r="U52" s="7"/>
      <c r="V52" s="242"/>
      <c r="W52" s="7"/>
      <c r="X52" s="117"/>
      <c r="Y52" s="117"/>
      <c r="Z52" s="117"/>
      <c r="AA52" s="117"/>
      <c r="AB52" s="117"/>
      <c r="AC52" s="117"/>
      <c r="AD52" s="141"/>
      <c r="AE52" s="141"/>
      <c r="AF52" s="127"/>
      <c r="AG52" s="127"/>
      <c r="AH52" s="127"/>
      <c r="AI52" s="127"/>
      <c r="AO52" s="127"/>
      <c r="AP52" s="127"/>
      <c r="AQ52" s="127"/>
      <c r="AR52" s="127"/>
      <c r="AS52" s="127"/>
    </row>
    <row r="53" spans="1:45" s="1" customFormat="1" ht="14.5" customHeight="1" x14ac:dyDescent="0.3">
      <c r="A53" s="158"/>
      <c r="B53" s="158" t="s">
        <v>99</v>
      </c>
      <c r="C53" s="158">
        <v>222</v>
      </c>
      <c r="D53" s="158">
        <v>210</v>
      </c>
      <c r="E53" s="85">
        <v>17</v>
      </c>
      <c r="F53" s="85">
        <v>0</v>
      </c>
      <c r="G53" s="85">
        <v>0</v>
      </c>
      <c r="H53" s="85">
        <v>0</v>
      </c>
      <c r="I53" s="85">
        <v>0</v>
      </c>
      <c r="J53" s="85">
        <v>0</v>
      </c>
      <c r="K53" s="85">
        <v>0</v>
      </c>
      <c r="L53" s="85">
        <v>0</v>
      </c>
      <c r="M53" s="85">
        <v>0</v>
      </c>
      <c r="N53" s="85">
        <v>0</v>
      </c>
      <c r="O53" s="85">
        <f>SUM(C53:N53)</f>
        <v>449</v>
      </c>
      <c r="P53" s="7"/>
      <c r="Q53" s="7"/>
      <c r="R53" s="7"/>
      <c r="S53" s="7"/>
      <c r="T53" s="7"/>
      <c r="U53" s="7"/>
      <c r="V53" s="242"/>
      <c r="W53" s="7"/>
      <c r="X53" s="7"/>
      <c r="Y53" s="117"/>
      <c r="Z53" s="117"/>
      <c r="AA53" s="117"/>
      <c r="AB53" s="117"/>
      <c r="AC53" s="7"/>
      <c r="AD53" s="141"/>
      <c r="AE53" s="50"/>
      <c r="AF53" s="127"/>
      <c r="AG53" s="127"/>
      <c r="AH53" s="127"/>
      <c r="AI53" s="127"/>
      <c r="AP53" s="127"/>
      <c r="AQ53" s="127"/>
      <c r="AR53" s="127"/>
      <c r="AS53" s="127"/>
    </row>
    <row r="54" spans="1:45" s="1" customFormat="1" ht="14.5" customHeight="1" x14ac:dyDescent="0.3">
      <c r="A54" s="158"/>
      <c r="B54" s="158" t="s">
        <v>127</v>
      </c>
      <c r="C54" s="158">
        <v>12584</v>
      </c>
      <c r="D54" s="158">
        <v>16584</v>
      </c>
      <c r="E54" s="85">
        <v>3338</v>
      </c>
      <c r="F54" s="85">
        <v>0</v>
      </c>
      <c r="G54" s="85">
        <v>0</v>
      </c>
      <c r="H54" s="85">
        <v>0</v>
      </c>
      <c r="I54" s="85">
        <v>0</v>
      </c>
      <c r="J54" s="85">
        <v>0</v>
      </c>
      <c r="K54" s="85">
        <v>0</v>
      </c>
      <c r="L54" s="85">
        <v>0</v>
      </c>
      <c r="M54" s="85">
        <v>0</v>
      </c>
      <c r="N54" s="85">
        <v>0</v>
      </c>
      <c r="O54" s="85">
        <f>SUM(C54:N54)</f>
        <v>32506</v>
      </c>
      <c r="P54" s="7"/>
      <c r="Q54" s="7"/>
      <c r="R54" s="7"/>
      <c r="S54" s="7"/>
      <c r="T54" s="7"/>
      <c r="U54" s="7"/>
      <c r="V54" s="242"/>
      <c r="W54" s="7"/>
      <c r="X54" s="117"/>
      <c r="Y54" s="117"/>
      <c r="Z54" s="117"/>
      <c r="AA54" s="117"/>
      <c r="AB54" s="117"/>
      <c r="AC54" s="117"/>
      <c r="AD54" s="141"/>
      <c r="AE54" s="141"/>
      <c r="AF54" s="127"/>
      <c r="AG54" s="127"/>
      <c r="AH54" s="127"/>
      <c r="AI54" s="127"/>
      <c r="AP54" s="127"/>
      <c r="AQ54" s="127"/>
      <c r="AR54" s="127"/>
      <c r="AS54" s="127"/>
    </row>
    <row r="55" spans="1:45" s="1" customFormat="1" ht="14.5" customHeight="1" x14ac:dyDescent="0.3">
      <c r="A55" s="245" t="s">
        <v>3</v>
      </c>
      <c r="B55" s="245" t="s">
        <v>1</v>
      </c>
      <c r="C55" s="244">
        <v>555</v>
      </c>
      <c r="D55" s="244">
        <v>844</v>
      </c>
      <c r="E55" s="243">
        <v>155</v>
      </c>
      <c r="F55" s="243">
        <v>0</v>
      </c>
      <c r="G55" s="243">
        <v>0</v>
      </c>
      <c r="H55" s="243">
        <v>0</v>
      </c>
      <c r="I55" s="243">
        <v>0</v>
      </c>
      <c r="J55" s="243">
        <v>0</v>
      </c>
      <c r="K55" s="243">
        <v>0</v>
      </c>
      <c r="L55" s="243">
        <v>0</v>
      </c>
      <c r="M55" s="243">
        <v>0</v>
      </c>
      <c r="N55" s="243">
        <v>0</v>
      </c>
      <c r="O55" s="243">
        <f>SUM(C55:N55)</f>
        <v>1554</v>
      </c>
      <c r="P55" s="7"/>
      <c r="Q55" s="7"/>
      <c r="R55" s="7"/>
      <c r="S55" s="7"/>
      <c r="T55" s="7"/>
      <c r="U55" s="7"/>
      <c r="V55" s="242"/>
      <c r="W55" s="7"/>
      <c r="X55" s="7"/>
      <c r="Y55" s="117"/>
      <c r="Z55" s="117"/>
      <c r="AA55" s="7"/>
      <c r="AB55" s="117"/>
      <c r="AC55" s="7"/>
      <c r="AD55" s="50"/>
      <c r="AE55" s="50"/>
      <c r="AF55" s="127"/>
      <c r="AG55" s="127"/>
      <c r="AH55" s="127"/>
      <c r="AI55" s="127"/>
      <c r="AP55" s="127"/>
      <c r="AQ55" s="127"/>
      <c r="AR55" s="127"/>
      <c r="AS55" s="127"/>
    </row>
    <row r="56" spans="1:45" s="1" customFormat="1" ht="14.5" customHeight="1" x14ac:dyDescent="0.3">
      <c r="A56" s="158"/>
      <c r="B56" s="158" t="s">
        <v>67</v>
      </c>
      <c r="C56" s="158">
        <v>161</v>
      </c>
      <c r="D56" s="158">
        <v>182</v>
      </c>
      <c r="E56" s="85">
        <v>34</v>
      </c>
      <c r="F56" s="85">
        <v>0</v>
      </c>
      <c r="G56" s="85">
        <v>0</v>
      </c>
      <c r="H56" s="85">
        <v>0</v>
      </c>
      <c r="I56" s="85">
        <v>0</v>
      </c>
      <c r="J56" s="85">
        <v>0</v>
      </c>
      <c r="K56" s="85">
        <v>0</v>
      </c>
      <c r="L56" s="85">
        <v>0</v>
      </c>
      <c r="M56" s="85">
        <v>0</v>
      </c>
      <c r="N56" s="85">
        <v>0</v>
      </c>
      <c r="O56" s="85">
        <f>SUM(C56:N56)</f>
        <v>377</v>
      </c>
      <c r="P56" s="7"/>
      <c r="Q56" s="7"/>
      <c r="R56" s="7"/>
      <c r="S56" s="7"/>
      <c r="T56" s="7"/>
      <c r="U56" s="7"/>
      <c r="V56" s="242"/>
      <c r="W56" s="7"/>
      <c r="X56" s="7"/>
      <c r="Y56" s="7"/>
      <c r="Z56" s="117"/>
      <c r="AA56" s="117"/>
      <c r="AB56" s="117"/>
      <c r="AC56" s="117"/>
      <c r="AD56" s="141"/>
      <c r="AE56" s="141"/>
      <c r="AF56" s="127"/>
      <c r="AG56" s="127"/>
      <c r="AH56" s="127"/>
      <c r="AP56" s="127"/>
      <c r="AQ56" s="127"/>
      <c r="AR56" s="127"/>
      <c r="AS56" s="127"/>
    </row>
    <row r="57" spans="1:45" s="1" customFormat="1" ht="14.5" customHeight="1" x14ac:dyDescent="0.3">
      <c r="A57" s="158"/>
      <c r="B57" s="158" t="s">
        <v>99</v>
      </c>
      <c r="C57" s="158">
        <v>35</v>
      </c>
      <c r="D57" s="158">
        <v>23</v>
      </c>
      <c r="E57" s="85">
        <v>8</v>
      </c>
      <c r="F57" s="85">
        <v>0</v>
      </c>
      <c r="G57" s="85">
        <v>0</v>
      </c>
      <c r="H57" s="85">
        <v>0</v>
      </c>
      <c r="I57" s="85">
        <v>0</v>
      </c>
      <c r="J57" s="85">
        <v>0</v>
      </c>
      <c r="K57" s="85">
        <v>0</v>
      </c>
      <c r="L57" s="85">
        <v>0</v>
      </c>
      <c r="M57" s="85">
        <v>0</v>
      </c>
      <c r="N57" s="85">
        <v>0</v>
      </c>
      <c r="O57" s="85">
        <f>SUM(C57:N57)</f>
        <v>66</v>
      </c>
      <c r="P57" s="7"/>
      <c r="Q57" s="7"/>
      <c r="R57" s="7"/>
      <c r="S57" s="7"/>
      <c r="T57" s="7"/>
      <c r="U57" s="7"/>
      <c r="V57" s="246"/>
      <c r="W57" s="117"/>
      <c r="X57" s="117"/>
      <c r="Y57" s="117"/>
      <c r="Z57" s="117"/>
      <c r="AA57" s="117"/>
      <c r="AB57" s="117"/>
      <c r="AC57" s="117"/>
      <c r="AD57" s="141"/>
      <c r="AE57" s="141"/>
      <c r="AF57" s="127"/>
      <c r="AG57" s="127"/>
      <c r="AH57" s="127"/>
      <c r="AI57" s="127"/>
      <c r="AP57" s="127"/>
      <c r="AQ57" s="127"/>
      <c r="AR57" s="127"/>
      <c r="AS57" s="127"/>
    </row>
    <row r="58" spans="1:45" s="1" customFormat="1" ht="14.5" customHeight="1" x14ac:dyDescent="0.3">
      <c r="A58" s="158"/>
      <c r="B58" s="158" t="s">
        <v>127</v>
      </c>
      <c r="C58" s="158">
        <v>359</v>
      </c>
      <c r="D58" s="158">
        <v>639</v>
      </c>
      <c r="E58" s="85">
        <v>113</v>
      </c>
      <c r="F58" s="85">
        <v>0</v>
      </c>
      <c r="G58" s="85">
        <v>0</v>
      </c>
      <c r="H58" s="85">
        <v>0</v>
      </c>
      <c r="I58" s="85">
        <v>0</v>
      </c>
      <c r="J58" s="85">
        <v>0</v>
      </c>
      <c r="K58" s="85">
        <v>0</v>
      </c>
      <c r="L58" s="85">
        <v>0</v>
      </c>
      <c r="M58" s="85">
        <v>0</v>
      </c>
      <c r="N58" s="85">
        <v>0</v>
      </c>
      <c r="O58" s="85">
        <f>SUM(C58:N58)</f>
        <v>1111</v>
      </c>
      <c r="P58" s="7"/>
      <c r="Q58" s="7"/>
      <c r="R58" s="7"/>
      <c r="S58" s="7"/>
      <c r="T58" s="7"/>
      <c r="U58" s="7"/>
      <c r="V58" s="246"/>
      <c r="W58" s="117"/>
      <c r="X58" s="117"/>
      <c r="Y58" s="117"/>
      <c r="Z58" s="117"/>
      <c r="AA58" s="117"/>
      <c r="AB58" s="117"/>
      <c r="AC58" s="7"/>
      <c r="AD58" s="50"/>
      <c r="AE58" s="50"/>
      <c r="AF58" s="127"/>
      <c r="AG58" s="127"/>
      <c r="AI58" s="127"/>
      <c r="AP58" s="127"/>
      <c r="AQ58" s="127"/>
      <c r="AR58" s="127"/>
      <c r="AS58" s="127"/>
    </row>
    <row r="59" spans="1:45" s="1" customFormat="1" ht="14.5" customHeight="1" x14ac:dyDescent="0.3">
      <c r="A59" s="245" t="s">
        <v>581</v>
      </c>
      <c r="B59" s="245" t="s">
        <v>1</v>
      </c>
      <c r="C59" s="244">
        <v>8634</v>
      </c>
      <c r="D59" s="244">
        <v>10659</v>
      </c>
      <c r="E59" s="243">
        <v>1412</v>
      </c>
      <c r="F59" s="243">
        <v>0</v>
      </c>
      <c r="G59" s="243">
        <v>0</v>
      </c>
      <c r="H59" s="243">
        <v>0</v>
      </c>
      <c r="I59" s="243">
        <v>0</v>
      </c>
      <c r="J59" s="243">
        <v>0</v>
      </c>
      <c r="K59" s="243">
        <v>0</v>
      </c>
      <c r="L59" s="243">
        <v>0</v>
      </c>
      <c r="M59" s="243">
        <v>0</v>
      </c>
      <c r="N59" s="243">
        <v>0</v>
      </c>
      <c r="O59" s="243">
        <f>SUM(C59:N59)</f>
        <v>20705</v>
      </c>
      <c r="P59" s="7"/>
      <c r="Q59" s="7"/>
      <c r="R59" s="7"/>
      <c r="S59" s="7"/>
      <c r="T59" s="7"/>
      <c r="U59" s="7"/>
      <c r="V59" s="242"/>
      <c r="W59" s="7"/>
      <c r="X59" s="7"/>
      <c r="Y59" s="117"/>
      <c r="Z59" s="117"/>
      <c r="AA59" s="117"/>
      <c r="AB59" s="117"/>
      <c r="AC59" s="117"/>
      <c r="AD59" s="141"/>
      <c r="AE59" s="141"/>
      <c r="AF59" s="127"/>
      <c r="AG59" s="127"/>
      <c r="AH59" s="127"/>
      <c r="AI59" s="127"/>
      <c r="AP59" s="127"/>
      <c r="AQ59" s="127"/>
      <c r="AR59" s="127"/>
      <c r="AS59" s="127"/>
    </row>
    <row r="60" spans="1:45" s="1" customFormat="1" ht="14.5" customHeight="1" x14ac:dyDescent="0.3">
      <c r="A60" s="158"/>
      <c r="B60" s="158" t="s">
        <v>67</v>
      </c>
      <c r="C60" s="158">
        <v>36</v>
      </c>
      <c r="D60" s="158">
        <v>36</v>
      </c>
      <c r="E60" s="85">
        <v>8</v>
      </c>
      <c r="F60" s="85">
        <v>0</v>
      </c>
      <c r="G60" s="85">
        <v>0</v>
      </c>
      <c r="H60" s="85">
        <v>0</v>
      </c>
      <c r="I60" s="85">
        <v>0</v>
      </c>
      <c r="J60" s="85">
        <v>0</v>
      </c>
      <c r="K60" s="85">
        <v>0</v>
      </c>
      <c r="L60" s="85">
        <v>0</v>
      </c>
      <c r="M60" s="85">
        <v>0</v>
      </c>
      <c r="N60" s="85">
        <v>0</v>
      </c>
      <c r="O60" s="85">
        <f>SUM(C60:N60)</f>
        <v>80</v>
      </c>
      <c r="P60" s="7"/>
      <c r="Q60" s="7"/>
      <c r="R60" s="7"/>
      <c r="S60" s="7"/>
      <c r="T60" s="7"/>
      <c r="U60" s="7"/>
      <c r="V60" s="242"/>
      <c r="W60" s="7"/>
      <c r="X60" s="7"/>
      <c r="Y60" s="117"/>
      <c r="Z60" s="117"/>
      <c r="AA60" s="117"/>
      <c r="AB60" s="117"/>
      <c r="AC60" s="117"/>
      <c r="AD60" s="141"/>
      <c r="AE60" s="141"/>
      <c r="AF60" s="127"/>
      <c r="AG60" s="127"/>
      <c r="AH60" s="127"/>
      <c r="AP60" s="127"/>
      <c r="AQ60" s="127"/>
      <c r="AR60" s="127"/>
      <c r="AS60" s="127"/>
    </row>
    <row r="61" spans="1:45" s="1" customFormat="1" ht="14.5" customHeight="1" x14ac:dyDescent="0.3">
      <c r="A61" s="158"/>
      <c r="B61" s="158" t="s">
        <v>99</v>
      </c>
      <c r="C61" s="158">
        <v>78</v>
      </c>
      <c r="D61" s="158">
        <v>101</v>
      </c>
      <c r="E61" s="85">
        <v>6</v>
      </c>
      <c r="F61" s="85">
        <v>0</v>
      </c>
      <c r="G61" s="85">
        <v>0</v>
      </c>
      <c r="H61" s="85">
        <v>0</v>
      </c>
      <c r="I61" s="85">
        <v>0</v>
      </c>
      <c r="J61" s="85">
        <v>0</v>
      </c>
      <c r="K61" s="85">
        <v>0</v>
      </c>
      <c r="L61" s="85">
        <v>0</v>
      </c>
      <c r="M61" s="85">
        <v>0</v>
      </c>
      <c r="N61" s="85">
        <v>0</v>
      </c>
      <c r="O61" s="85">
        <f>SUM(C61:N61)</f>
        <v>185</v>
      </c>
      <c r="P61" s="7"/>
      <c r="Q61" s="7"/>
      <c r="R61" s="7"/>
      <c r="S61" s="7"/>
      <c r="T61" s="7"/>
      <c r="U61" s="7"/>
      <c r="V61" s="242"/>
      <c r="W61" s="7"/>
      <c r="X61" s="7"/>
      <c r="Y61" s="117"/>
      <c r="Z61" s="117"/>
      <c r="AA61" s="117"/>
      <c r="AB61" s="117"/>
      <c r="AC61" s="117"/>
      <c r="AD61" s="141"/>
      <c r="AE61" s="141"/>
      <c r="AF61" s="127"/>
      <c r="AG61" s="127"/>
      <c r="AH61" s="127"/>
      <c r="AK61" s="127"/>
      <c r="AL61" s="127"/>
      <c r="AM61" s="127"/>
      <c r="AN61" s="127"/>
      <c r="AO61" s="127"/>
      <c r="AP61" s="127"/>
      <c r="AQ61" s="127"/>
      <c r="AR61" s="127"/>
      <c r="AS61" s="127"/>
    </row>
    <row r="62" spans="1:45" s="1" customFormat="1" ht="14.5" customHeight="1" x14ac:dyDescent="0.3">
      <c r="A62" s="158"/>
      <c r="B62" s="158" t="s">
        <v>127</v>
      </c>
      <c r="C62" s="158">
        <v>8520</v>
      </c>
      <c r="D62" s="158">
        <v>10522</v>
      </c>
      <c r="E62" s="85">
        <v>1398</v>
      </c>
      <c r="F62" s="85">
        <v>0</v>
      </c>
      <c r="G62" s="85">
        <v>0</v>
      </c>
      <c r="H62" s="85">
        <v>0</v>
      </c>
      <c r="I62" s="85">
        <v>0</v>
      </c>
      <c r="J62" s="85">
        <v>0</v>
      </c>
      <c r="K62" s="85">
        <v>0</v>
      </c>
      <c r="L62" s="85">
        <v>0</v>
      </c>
      <c r="M62" s="85">
        <v>0</v>
      </c>
      <c r="N62" s="85">
        <v>0</v>
      </c>
      <c r="O62" s="85">
        <f>SUM(C62:N62)</f>
        <v>20440</v>
      </c>
      <c r="P62" s="7"/>
      <c r="Q62" s="7"/>
      <c r="R62" s="7"/>
      <c r="S62" s="7"/>
      <c r="T62" s="7"/>
      <c r="U62" s="7"/>
      <c r="V62" s="242"/>
      <c r="W62" s="7"/>
      <c r="X62" s="7"/>
      <c r="Y62" s="117"/>
      <c r="Z62" s="117"/>
      <c r="AA62" s="117"/>
      <c r="AB62" s="117"/>
      <c r="AC62" s="117"/>
      <c r="AD62" s="141"/>
      <c r="AE62" s="141"/>
      <c r="AF62" s="127"/>
      <c r="AG62" s="127"/>
      <c r="AI62" s="127"/>
      <c r="AP62" s="127"/>
      <c r="AQ62" s="127"/>
      <c r="AR62" s="127"/>
      <c r="AS62" s="127"/>
    </row>
    <row r="63" spans="1:45" s="1" customFormat="1" ht="12" x14ac:dyDescent="0.3">
      <c r="A63" s="91"/>
      <c r="E63" s="7"/>
      <c r="F63" s="7"/>
      <c r="G63" s="7"/>
      <c r="Q63" s="7"/>
      <c r="R63" s="45"/>
      <c r="S63" s="45"/>
      <c r="T63" s="239"/>
      <c r="U63" s="239"/>
      <c r="V63" s="241"/>
      <c r="W63" s="45"/>
      <c r="X63" s="239"/>
      <c r="Y63" s="239"/>
      <c r="Z63" s="45"/>
      <c r="AA63" s="45"/>
      <c r="AB63" s="45"/>
      <c r="AC63" s="50"/>
      <c r="AD63" s="50"/>
      <c r="AE63" s="50"/>
      <c r="AF63" s="50"/>
      <c r="AQ63" s="127"/>
      <c r="AS63" s="127"/>
    </row>
    <row r="64" spans="1:45" s="7" customFormat="1" ht="18" customHeight="1" x14ac:dyDescent="0.3">
      <c r="A64" s="183"/>
      <c r="B64" s="170"/>
      <c r="C64" s="170"/>
      <c r="D64" s="170"/>
      <c r="E64" s="170"/>
      <c r="F64" s="170"/>
      <c r="G64" s="170"/>
      <c r="H64" s="170"/>
      <c r="I64" s="170"/>
      <c r="J64" s="170"/>
      <c r="K64" s="170"/>
      <c r="L64" s="170"/>
      <c r="M64" s="170"/>
      <c r="N64" s="170"/>
      <c r="O64" s="170"/>
      <c r="P64" s="170"/>
      <c r="Q64" s="170"/>
      <c r="R64" s="170"/>
      <c r="S64" s="170"/>
      <c r="T64" s="170"/>
      <c r="U64" s="170"/>
      <c r="V64" s="184"/>
      <c r="W64" s="45"/>
      <c r="X64" s="45"/>
      <c r="Y64" s="45"/>
      <c r="Z64" s="45"/>
    </row>
    <row r="65" spans="1:33" s="1" customFormat="1" ht="12" x14ac:dyDescent="0.3">
      <c r="A65" s="91"/>
      <c r="F65" s="7"/>
      <c r="G65" s="7"/>
      <c r="H65" s="7"/>
      <c r="K65" s="7"/>
      <c r="L65" s="45"/>
      <c r="M65" s="45"/>
      <c r="N65" s="45"/>
      <c r="O65" s="45"/>
      <c r="P65" s="45"/>
      <c r="Q65" s="45"/>
      <c r="R65" s="45"/>
      <c r="S65" s="45"/>
      <c r="T65" s="45"/>
      <c r="U65" s="45"/>
      <c r="V65" s="49"/>
      <c r="W65" s="50"/>
      <c r="X65" s="50"/>
      <c r="Y65" s="50"/>
      <c r="Z65" s="50"/>
    </row>
    <row r="66" spans="1:33" s="1" customFormat="1" ht="23.25" customHeight="1" x14ac:dyDescent="0.3">
      <c r="A66" s="195" t="s">
        <v>792</v>
      </c>
      <c r="B66" s="225"/>
      <c r="C66" s="225"/>
      <c r="D66" s="225"/>
      <c r="E66" s="225"/>
      <c r="F66" s="225"/>
      <c r="G66" s="225"/>
      <c r="H66" s="225"/>
      <c r="I66" s="225"/>
      <c r="J66" s="225"/>
      <c r="K66" s="225"/>
      <c r="L66" s="225"/>
      <c r="M66" s="225"/>
      <c r="N66" s="225"/>
      <c r="O66" s="45"/>
      <c r="P66" s="45"/>
      <c r="Q66" s="233"/>
      <c r="R66" s="233"/>
      <c r="S66" s="233"/>
      <c r="T66" s="233"/>
      <c r="U66" s="233"/>
      <c r="V66" s="118"/>
      <c r="W66" s="124"/>
      <c r="X66" s="124"/>
      <c r="Y66" s="124"/>
      <c r="Z66" s="124"/>
      <c r="AA66" s="119"/>
      <c r="AB66" s="119"/>
    </row>
    <row r="67" spans="1:33" s="1" customFormat="1" ht="22.5" customHeight="1" x14ac:dyDescent="0.3">
      <c r="A67" s="42" t="s">
        <v>131</v>
      </c>
      <c r="B67" s="153" t="s">
        <v>132</v>
      </c>
      <c r="C67" s="153" t="s">
        <v>133</v>
      </c>
      <c r="D67" s="153" t="s">
        <v>134</v>
      </c>
      <c r="E67" s="153" t="s">
        <v>135</v>
      </c>
      <c r="F67" s="153" t="s">
        <v>136</v>
      </c>
      <c r="G67" s="153" t="s">
        <v>137</v>
      </c>
      <c r="H67" s="153" t="s">
        <v>138</v>
      </c>
      <c r="I67" s="153" t="s">
        <v>139</v>
      </c>
      <c r="J67" s="153" t="s">
        <v>140</v>
      </c>
      <c r="K67" s="153" t="s">
        <v>142</v>
      </c>
      <c r="L67" s="153" t="s">
        <v>143</v>
      </c>
      <c r="M67" s="153" t="s">
        <v>144</v>
      </c>
      <c r="N67" s="153" t="s">
        <v>150</v>
      </c>
      <c r="O67" s="45"/>
      <c r="P67" s="233"/>
      <c r="Q67" s="233"/>
      <c r="R67" s="233"/>
      <c r="S67" s="233"/>
      <c r="T67" s="233"/>
      <c r="U67" s="233"/>
      <c r="V67" s="118"/>
      <c r="W67" s="124"/>
      <c r="X67" s="124"/>
      <c r="Y67" s="124"/>
      <c r="Z67" s="124"/>
      <c r="AA67" s="119"/>
      <c r="AB67" s="119"/>
      <c r="AC67" s="119"/>
      <c r="AD67" s="119"/>
      <c r="AE67" s="119"/>
      <c r="AF67" s="119"/>
    </row>
    <row r="68" spans="1:33" s="1" customFormat="1" ht="12" x14ac:dyDescent="0.3">
      <c r="A68" s="94" t="s">
        <v>147</v>
      </c>
      <c r="B68" s="103">
        <v>18004.870967741899</v>
      </c>
      <c r="C68" s="104">
        <v>18590.7</v>
      </c>
      <c r="D68" s="103">
        <v>13930.8</v>
      </c>
      <c r="E68" s="104">
        <v>0</v>
      </c>
      <c r="F68" s="103">
        <v>0</v>
      </c>
      <c r="G68" s="104">
        <v>0</v>
      </c>
      <c r="H68" s="104">
        <v>0</v>
      </c>
      <c r="I68" s="103">
        <v>0</v>
      </c>
      <c r="J68" s="104">
        <v>0</v>
      </c>
      <c r="K68" s="103">
        <v>0</v>
      </c>
      <c r="L68" s="103">
        <v>0</v>
      </c>
      <c r="M68" s="104">
        <v>0</v>
      </c>
      <c r="N68" s="103">
        <v>17962.515151515199</v>
      </c>
      <c r="O68" s="240"/>
      <c r="P68" s="238"/>
      <c r="Q68" s="238"/>
      <c r="R68" s="238"/>
      <c r="S68" s="238"/>
      <c r="T68" s="238"/>
      <c r="U68" s="238"/>
      <c r="V68" s="120"/>
      <c r="W68" s="125"/>
      <c r="X68" s="125"/>
      <c r="Y68" s="125"/>
      <c r="Z68" s="125"/>
      <c r="AA68" s="121"/>
      <c r="AB68" s="121"/>
    </row>
    <row r="69" spans="1:33" s="1" customFormat="1" ht="12" x14ac:dyDescent="0.3">
      <c r="A69" s="95" t="s">
        <v>67</v>
      </c>
      <c r="B69" s="110">
        <v>647.06451612903197</v>
      </c>
      <c r="C69" s="110">
        <v>655.46666666666704</v>
      </c>
      <c r="D69" s="110">
        <v>519.6</v>
      </c>
      <c r="E69" s="110">
        <v>0</v>
      </c>
      <c r="F69" s="110">
        <v>0</v>
      </c>
      <c r="G69" s="110">
        <v>0</v>
      </c>
      <c r="H69" s="110">
        <v>0</v>
      </c>
      <c r="I69" s="110">
        <v>0</v>
      </c>
      <c r="J69" s="110">
        <v>0</v>
      </c>
      <c r="K69" s="110">
        <v>0</v>
      </c>
      <c r="L69" s="110">
        <v>0</v>
      </c>
      <c r="M69" s="110">
        <v>0</v>
      </c>
      <c r="N69" s="110">
        <v>641.22727272727298</v>
      </c>
      <c r="O69" s="45"/>
      <c r="P69" s="238"/>
      <c r="Q69" s="238"/>
      <c r="R69" s="238"/>
      <c r="S69" s="238"/>
      <c r="T69" s="238"/>
      <c r="U69" s="239"/>
      <c r="V69" s="120"/>
      <c r="W69" s="125"/>
      <c r="X69" s="125"/>
      <c r="Y69" s="125"/>
      <c r="Z69" s="125"/>
      <c r="AA69" s="121"/>
      <c r="AB69" s="121"/>
      <c r="AC69" s="121"/>
      <c r="AD69" s="121"/>
      <c r="AE69" s="121"/>
      <c r="AF69" s="121"/>
      <c r="AG69" s="121"/>
    </row>
    <row r="70" spans="1:33" s="1" customFormat="1" ht="12" x14ac:dyDescent="0.3">
      <c r="A70" s="96" t="s">
        <v>99</v>
      </c>
      <c r="B70" s="110">
        <v>405.16129032258101</v>
      </c>
      <c r="C70" s="110">
        <v>299.86666666666702</v>
      </c>
      <c r="D70" s="110">
        <v>239.6</v>
      </c>
      <c r="E70" s="110">
        <v>0</v>
      </c>
      <c r="F70" s="110">
        <v>0</v>
      </c>
      <c r="G70" s="110">
        <v>0</v>
      </c>
      <c r="H70" s="110">
        <v>0</v>
      </c>
      <c r="I70" s="110">
        <v>0</v>
      </c>
      <c r="J70" s="110">
        <v>0</v>
      </c>
      <c r="K70" s="110">
        <v>0</v>
      </c>
      <c r="L70" s="110">
        <v>0</v>
      </c>
      <c r="M70" s="110">
        <v>0</v>
      </c>
      <c r="N70" s="110">
        <v>344.75757575757598</v>
      </c>
      <c r="O70" s="45"/>
      <c r="P70" s="233"/>
      <c r="Q70" s="233"/>
      <c r="R70" s="233"/>
      <c r="S70" s="233"/>
      <c r="T70" s="233"/>
      <c r="U70" s="233"/>
      <c r="V70" s="118"/>
      <c r="W70" s="124"/>
      <c r="X70" s="124"/>
      <c r="Y70" s="124"/>
      <c r="Z70" s="124"/>
      <c r="AA70" s="121"/>
      <c r="AB70" s="121"/>
      <c r="AC70" s="121"/>
      <c r="AG70" s="121"/>
    </row>
    <row r="71" spans="1:33" s="51" customFormat="1" ht="12" x14ac:dyDescent="0.3">
      <c r="A71" s="96" t="s">
        <v>127</v>
      </c>
      <c r="B71" s="110">
        <v>16952.6451612903</v>
      </c>
      <c r="C71" s="110">
        <v>17635.366666666701</v>
      </c>
      <c r="D71" s="110">
        <v>13171.6</v>
      </c>
      <c r="E71" s="110">
        <v>0</v>
      </c>
      <c r="F71" s="110">
        <v>0</v>
      </c>
      <c r="G71" s="110">
        <v>0</v>
      </c>
      <c r="H71" s="110">
        <v>0</v>
      </c>
      <c r="I71" s="110">
        <v>0</v>
      </c>
      <c r="J71" s="110">
        <v>0</v>
      </c>
      <c r="K71" s="110">
        <v>0</v>
      </c>
      <c r="L71" s="110">
        <v>0</v>
      </c>
      <c r="M71" s="110">
        <v>0</v>
      </c>
      <c r="N71" s="110">
        <v>16976.5303030303</v>
      </c>
      <c r="O71" s="238"/>
      <c r="P71" s="238"/>
      <c r="Q71" s="238"/>
      <c r="R71" s="238"/>
      <c r="S71" s="238"/>
      <c r="T71" s="238"/>
      <c r="U71" s="238"/>
      <c r="V71" s="120"/>
      <c r="W71" s="126"/>
      <c r="X71" s="126"/>
      <c r="Y71" s="126"/>
      <c r="Z71" s="126"/>
      <c r="AA71" s="126"/>
      <c r="AB71" s="126"/>
      <c r="AC71" s="126"/>
      <c r="AD71" s="126"/>
      <c r="AE71" s="126"/>
      <c r="AF71" s="126"/>
      <c r="AG71" s="126"/>
    </row>
    <row r="72" spans="1:33" s="1" customFormat="1" ht="12" x14ac:dyDescent="0.3">
      <c r="A72" s="94" t="s">
        <v>148</v>
      </c>
      <c r="B72" s="103">
        <v>4834.6451612903202</v>
      </c>
      <c r="C72" s="104">
        <v>4836.1333333333296</v>
      </c>
      <c r="D72" s="103">
        <v>3865.2</v>
      </c>
      <c r="E72" s="104">
        <v>0</v>
      </c>
      <c r="F72" s="103">
        <v>0</v>
      </c>
      <c r="G72" s="104">
        <v>0</v>
      </c>
      <c r="H72" s="104">
        <v>0</v>
      </c>
      <c r="I72" s="103">
        <v>0</v>
      </c>
      <c r="J72" s="104">
        <v>0</v>
      </c>
      <c r="K72" s="103">
        <v>0</v>
      </c>
      <c r="L72" s="103">
        <v>0</v>
      </c>
      <c r="M72" s="104">
        <v>0</v>
      </c>
      <c r="N72" s="103">
        <v>4761.8787878787898</v>
      </c>
      <c r="O72" s="45"/>
      <c r="P72" s="238"/>
      <c r="Q72" s="238"/>
      <c r="R72" s="238"/>
      <c r="S72" s="238"/>
      <c r="T72" s="238"/>
      <c r="U72" s="238"/>
      <c r="V72" s="120"/>
      <c r="W72" s="121"/>
      <c r="X72" s="121"/>
      <c r="Y72" s="121"/>
      <c r="Z72" s="121"/>
      <c r="AA72" s="121"/>
      <c r="AB72" s="121"/>
      <c r="AC72" s="121"/>
      <c r="AD72" s="121"/>
      <c r="AE72" s="121"/>
      <c r="AF72" s="121"/>
      <c r="AG72" s="121"/>
    </row>
    <row r="73" spans="1:33" s="1" customFormat="1" ht="12" x14ac:dyDescent="0.3">
      <c r="A73" s="95" t="s">
        <v>67</v>
      </c>
      <c r="B73" s="110">
        <v>3982.8709677419401</v>
      </c>
      <c r="C73" s="110">
        <v>3954.6</v>
      </c>
      <c r="D73" s="110">
        <v>3164.4</v>
      </c>
      <c r="E73" s="110">
        <v>0</v>
      </c>
      <c r="F73" s="110">
        <v>0</v>
      </c>
      <c r="G73" s="110">
        <v>0</v>
      </c>
      <c r="H73" s="110">
        <v>0</v>
      </c>
      <c r="I73" s="110">
        <v>0</v>
      </c>
      <c r="J73" s="110">
        <v>0</v>
      </c>
      <c r="K73" s="110">
        <v>0</v>
      </c>
      <c r="L73" s="110">
        <v>0</v>
      </c>
      <c r="M73" s="110">
        <v>0</v>
      </c>
      <c r="N73" s="110">
        <v>3908.0151515151501</v>
      </c>
      <c r="O73" s="45"/>
      <c r="P73" s="238"/>
      <c r="Q73" s="238"/>
      <c r="R73" s="238"/>
      <c r="S73" s="238"/>
      <c r="T73" s="238"/>
      <c r="U73" s="238"/>
      <c r="V73" s="120"/>
      <c r="W73" s="121"/>
      <c r="X73" s="121"/>
      <c r="Y73" s="121"/>
      <c r="Z73" s="121"/>
      <c r="AA73" s="121"/>
      <c r="AB73" s="121"/>
      <c r="AC73" s="127"/>
      <c r="AD73" s="121"/>
      <c r="AE73" s="121"/>
      <c r="AF73" s="121"/>
      <c r="AG73" s="121"/>
    </row>
    <row r="74" spans="1:33" s="1" customFormat="1" ht="12" x14ac:dyDescent="0.3">
      <c r="A74" s="96" t="s">
        <v>99</v>
      </c>
      <c r="B74" s="110">
        <v>597.80645161290295</v>
      </c>
      <c r="C74" s="110">
        <v>604.63333333333298</v>
      </c>
      <c r="D74" s="110">
        <v>498</v>
      </c>
      <c r="E74" s="110">
        <v>0</v>
      </c>
      <c r="F74" s="110">
        <v>0</v>
      </c>
      <c r="G74" s="110">
        <v>0</v>
      </c>
      <c r="H74" s="110">
        <v>0</v>
      </c>
      <c r="I74" s="110">
        <v>0</v>
      </c>
      <c r="J74" s="110">
        <v>0</v>
      </c>
      <c r="K74" s="110">
        <v>0</v>
      </c>
      <c r="L74" s="110">
        <v>0</v>
      </c>
      <c r="M74" s="110">
        <v>0</v>
      </c>
      <c r="N74" s="110">
        <v>593.34848484848499</v>
      </c>
      <c r="O74" s="45"/>
      <c r="P74" s="238"/>
      <c r="Q74" s="238"/>
      <c r="R74" s="238"/>
      <c r="S74" s="238"/>
      <c r="T74" s="239"/>
      <c r="U74" s="238"/>
      <c r="V74" s="120"/>
      <c r="W74" s="121"/>
      <c r="X74" s="121"/>
      <c r="Y74" s="121"/>
      <c r="Z74" s="121"/>
      <c r="AA74" s="121"/>
      <c r="AB74" s="121"/>
      <c r="AC74" s="121"/>
      <c r="AD74" s="121"/>
      <c r="AE74" s="121"/>
      <c r="AF74" s="121"/>
      <c r="AG74" s="121"/>
    </row>
    <row r="75" spans="1:33" s="1" customFormat="1" ht="12" x14ac:dyDescent="0.3">
      <c r="A75" s="96" t="s">
        <v>127</v>
      </c>
      <c r="B75" s="110">
        <v>253.96774193548401</v>
      </c>
      <c r="C75" s="110">
        <v>276.89999999999998</v>
      </c>
      <c r="D75" s="110">
        <v>202.8</v>
      </c>
      <c r="E75" s="110">
        <v>0</v>
      </c>
      <c r="F75" s="110">
        <v>0</v>
      </c>
      <c r="G75" s="110">
        <v>0</v>
      </c>
      <c r="H75" s="110">
        <v>0</v>
      </c>
      <c r="I75" s="110">
        <v>0</v>
      </c>
      <c r="J75" s="110">
        <v>0</v>
      </c>
      <c r="K75" s="110">
        <v>0</v>
      </c>
      <c r="L75" s="110">
        <v>0</v>
      </c>
      <c r="M75" s="110">
        <v>0</v>
      </c>
      <c r="N75" s="110">
        <v>260.51515151515201</v>
      </c>
      <c r="O75" s="45"/>
      <c r="P75" s="238"/>
      <c r="Q75" s="238"/>
      <c r="R75" s="238"/>
      <c r="S75" s="238"/>
      <c r="T75" s="238"/>
      <c r="U75" s="238"/>
      <c r="V75" s="120"/>
      <c r="W75" s="121"/>
      <c r="X75" s="121"/>
      <c r="Y75" s="121"/>
      <c r="Z75" s="127"/>
      <c r="AA75" s="121"/>
      <c r="AB75" s="121"/>
      <c r="AC75" s="121"/>
      <c r="AD75" s="121"/>
      <c r="AG75" s="121"/>
    </row>
    <row r="76" spans="1:33" s="1" customFormat="1" ht="12" x14ac:dyDescent="0.3">
      <c r="A76" s="94" t="s">
        <v>149</v>
      </c>
      <c r="B76" s="103">
        <v>22839.516129032301</v>
      </c>
      <c r="C76" s="104">
        <v>23426.833333333299</v>
      </c>
      <c r="D76" s="103">
        <v>17796</v>
      </c>
      <c r="E76" s="104">
        <v>0</v>
      </c>
      <c r="F76" s="103">
        <v>0</v>
      </c>
      <c r="G76" s="104">
        <v>0</v>
      </c>
      <c r="H76" s="104">
        <v>0</v>
      </c>
      <c r="I76" s="103">
        <v>0</v>
      </c>
      <c r="J76" s="104">
        <v>0</v>
      </c>
      <c r="K76" s="103">
        <v>0</v>
      </c>
      <c r="L76" s="103">
        <v>0</v>
      </c>
      <c r="M76" s="104">
        <v>0</v>
      </c>
      <c r="N76" s="103">
        <v>22724.3939393939</v>
      </c>
      <c r="O76" s="45"/>
      <c r="P76" s="238"/>
      <c r="Q76" s="238"/>
      <c r="R76" s="238"/>
      <c r="S76" s="238"/>
      <c r="T76" s="238"/>
      <c r="U76" s="238"/>
      <c r="V76" s="120"/>
      <c r="W76" s="121"/>
      <c r="X76" s="121"/>
      <c r="Y76" s="121"/>
      <c r="Z76" s="121"/>
      <c r="AA76" s="121"/>
      <c r="AB76" s="121"/>
      <c r="AC76" s="121"/>
      <c r="AD76" s="121"/>
      <c r="AG76" s="121"/>
    </row>
    <row r="77" spans="1:33" s="1" customFormat="1" ht="12" x14ac:dyDescent="0.3">
      <c r="A77" s="95" t="s">
        <v>67</v>
      </c>
      <c r="B77" s="110">
        <v>4629.9354838709696</v>
      </c>
      <c r="C77" s="110">
        <v>4610.0666666666702</v>
      </c>
      <c r="D77" s="110">
        <v>3684</v>
      </c>
      <c r="E77" s="110">
        <v>0</v>
      </c>
      <c r="F77" s="110">
        <v>0</v>
      </c>
      <c r="G77" s="110">
        <v>0</v>
      </c>
      <c r="H77" s="110">
        <v>0</v>
      </c>
      <c r="I77" s="110">
        <v>0</v>
      </c>
      <c r="J77" s="110">
        <v>0</v>
      </c>
      <c r="K77" s="110">
        <v>0</v>
      </c>
      <c r="L77" s="110">
        <v>0</v>
      </c>
      <c r="M77" s="110">
        <v>0</v>
      </c>
      <c r="N77" s="110">
        <v>4549.2424242424204</v>
      </c>
      <c r="O77" s="45"/>
      <c r="P77" s="238"/>
      <c r="Q77" s="238"/>
      <c r="R77" s="121"/>
      <c r="S77" s="238"/>
      <c r="T77" s="238"/>
      <c r="U77" s="238"/>
      <c r="V77" s="120"/>
      <c r="W77" s="121"/>
      <c r="X77" s="121"/>
      <c r="Y77" s="121"/>
      <c r="Z77" s="121"/>
      <c r="AA77" s="121"/>
      <c r="AB77" s="121"/>
    </row>
    <row r="78" spans="1:33" s="1" customFormat="1" ht="12" x14ac:dyDescent="0.3">
      <c r="A78" s="96" t="s">
        <v>99</v>
      </c>
      <c r="B78" s="110">
        <v>1002.96774193548</v>
      </c>
      <c r="C78" s="110">
        <v>904.5</v>
      </c>
      <c r="D78" s="110">
        <v>737.6</v>
      </c>
      <c r="E78" s="110">
        <v>0</v>
      </c>
      <c r="F78" s="110">
        <v>0</v>
      </c>
      <c r="G78" s="110">
        <v>0</v>
      </c>
      <c r="H78" s="110">
        <v>0</v>
      </c>
      <c r="I78" s="110">
        <v>0</v>
      </c>
      <c r="J78" s="110">
        <v>0</v>
      </c>
      <c r="K78" s="110">
        <v>0</v>
      </c>
      <c r="L78" s="110">
        <v>0</v>
      </c>
      <c r="M78" s="110">
        <v>0</v>
      </c>
      <c r="N78" s="110">
        <v>938.10606060606096</v>
      </c>
      <c r="O78" s="45"/>
      <c r="P78" s="238"/>
      <c r="Q78" s="238"/>
      <c r="R78" s="239"/>
      <c r="S78" s="238"/>
      <c r="T78" s="238"/>
      <c r="U78" s="238"/>
      <c r="V78" s="120"/>
      <c r="W78" s="121"/>
      <c r="X78" s="121"/>
      <c r="Y78" s="121"/>
      <c r="Z78" s="121"/>
      <c r="AA78" s="121"/>
      <c r="AB78" s="121"/>
    </row>
    <row r="79" spans="1:33" s="1" customFormat="1" ht="12" x14ac:dyDescent="0.3">
      <c r="A79" s="96" t="s">
        <v>127</v>
      </c>
      <c r="B79" s="110">
        <v>17206.6129032258</v>
      </c>
      <c r="C79" s="110">
        <v>17912.266666666699</v>
      </c>
      <c r="D79" s="110">
        <v>13374.4</v>
      </c>
      <c r="E79" s="110">
        <v>0</v>
      </c>
      <c r="F79" s="110">
        <v>0</v>
      </c>
      <c r="G79" s="110">
        <v>0</v>
      </c>
      <c r="H79" s="110">
        <v>0</v>
      </c>
      <c r="I79" s="110">
        <v>0</v>
      </c>
      <c r="J79" s="110">
        <v>0</v>
      </c>
      <c r="K79" s="110">
        <v>0</v>
      </c>
      <c r="L79" s="110">
        <v>0</v>
      </c>
      <c r="M79" s="110">
        <v>0</v>
      </c>
      <c r="N79" s="110">
        <v>17237.0454545455</v>
      </c>
      <c r="O79" s="45"/>
      <c r="P79" s="238"/>
      <c r="Q79" s="238"/>
      <c r="R79" s="239"/>
      <c r="S79" s="239"/>
      <c r="T79" s="238"/>
      <c r="U79" s="238"/>
      <c r="V79" s="120"/>
      <c r="W79" s="121"/>
      <c r="X79" s="121"/>
      <c r="Y79" s="121"/>
      <c r="Z79" s="121"/>
      <c r="AA79" s="121"/>
      <c r="AB79" s="121"/>
    </row>
    <row r="80" spans="1:33" s="1" customFormat="1" ht="12" x14ac:dyDescent="0.3">
      <c r="A80" s="91"/>
      <c r="F80" s="7"/>
      <c r="G80" s="7"/>
      <c r="H80" s="7"/>
      <c r="I80" s="7"/>
      <c r="J80" s="7"/>
      <c r="K80" s="7"/>
      <c r="L80" s="45"/>
      <c r="M80" s="45"/>
      <c r="N80" s="45"/>
      <c r="O80" s="45"/>
      <c r="P80" s="238"/>
      <c r="Q80" s="238"/>
      <c r="R80" s="238"/>
      <c r="S80" s="239"/>
      <c r="T80" s="238"/>
      <c r="U80" s="238"/>
      <c r="V80" s="120"/>
      <c r="W80" s="121"/>
      <c r="X80" s="121"/>
      <c r="Y80" s="121"/>
      <c r="Z80" s="121"/>
      <c r="AA80" s="121"/>
      <c r="AB80" s="121"/>
    </row>
    <row r="81" spans="1:34" s="1" customFormat="1" ht="12" customHeight="1" x14ac:dyDescent="0.3">
      <c r="A81" s="169"/>
      <c r="B81" s="170"/>
      <c r="C81" s="170"/>
      <c r="D81" s="170"/>
      <c r="E81" s="170"/>
      <c r="F81" s="170"/>
      <c r="G81" s="170"/>
      <c r="H81" s="170"/>
      <c r="I81" s="170"/>
      <c r="J81" s="170"/>
      <c r="K81" s="170"/>
      <c r="L81" s="170"/>
      <c r="M81" s="170"/>
      <c r="N81" s="170"/>
      <c r="O81" s="170"/>
      <c r="P81" s="170"/>
      <c r="Q81" s="170"/>
      <c r="R81" s="170"/>
      <c r="S81" s="170"/>
      <c r="T81" s="170"/>
      <c r="U81" s="170"/>
      <c r="V81" s="171"/>
    </row>
    <row r="82" spans="1:34" s="1" customFormat="1" ht="12" x14ac:dyDescent="0.3">
      <c r="A82" s="91"/>
      <c r="F82" s="7"/>
      <c r="G82" s="7"/>
      <c r="H82" s="7"/>
      <c r="I82" s="7"/>
      <c r="J82" s="7"/>
      <c r="K82" s="7"/>
      <c r="L82" s="45"/>
      <c r="M82" s="45"/>
      <c r="N82" s="45"/>
      <c r="O82" s="45"/>
      <c r="P82" s="45"/>
      <c r="Q82" s="45"/>
      <c r="R82" s="45"/>
      <c r="S82" s="45"/>
      <c r="T82" s="45"/>
      <c r="U82" s="45"/>
      <c r="V82" s="49"/>
      <c r="AA82" s="119"/>
      <c r="AB82" s="119"/>
      <c r="AC82" s="119"/>
      <c r="AD82" s="119"/>
      <c r="AE82" s="119"/>
      <c r="AF82" s="119"/>
      <c r="AG82" s="119"/>
    </row>
    <row r="83" spans="1:34" s="1" customFormat="1" ht="24.75" customHeight="1" x14ac:dyDescent="0.3">
      <c r="A83" s="195" t="s">
        <v>791</v>
      </c>
      <c r="B83" s="225"/>
      <c r="C83" s="225"/>
      <c r="D83" s="225"/>
      <c r="E83" s="225"/>
      <c r="F83" s="225"/>
      <c r="G83" s="225"/>
      <c r="H83" s="225"/>
      <c r="I83" s="225"/>
      <c r="J83" s="225"/>
      <c r="K83" s="225"/>
      <c r="L83" s="225"/>
      <c r="M83" s="225"/>
      <c r="N83" s="225"/>
      <c r="O83" s="45"/>
      <c r="P83" s="45"/>
      <c r="Q83" s="233"/>
      <c r="R83" s="233"/>
      <c r="S83" s="233"/>
      <c r="T83" s="233"/>
      <c r="U83" s="233"/>
      <c r="V83" s="118"/>
      <c r="W83" s="119"/>
      <c r="X83" s="119"/>
      <c r="Y83" s="119"/>
      <c r="Z83" s="119"/>
      <c r="AA83" s="119"/>
      <c r="AB83" s="119"/>
    </row>
    <row r="84" spans="1:34" s="1" customFormat="1" ht="12" x14ac:dyDescent="0.3">
      <c r="A84" s="42" t="s">
        <v>131</v>
      </c>
      <c r="B84" s="153" t="s">
        <v>132</v>
      </c>
      <c r="C84" s="153" t="s">
        <v>133</v>
      </c>
      <c r="D84" s="153" t="s">
        <v>134</v>
      </c>
      <c r="E84" s="153" t="s">
        <v>135</v>
      </c>
      <c r="F84" s="153" t="s">
        <v>136</v>
      </c>
      <c r="G84" s="153" t="s">
        <v>137</v>
      </c>
      <c r="H84" s="153" t="s">
        <v>138</v>
      </c>
      <c r="I84" s="153" t="s">
        <v>139</v>
      </c>
      <c r="J84" s="153" t="s">
        <v>140</v>
      </c>
      <c r="K84" s="153" t="s">
        <v>142</v>
      </c>
      <c r="L84" s="153" t="s">
        <v>143</v>
      </c>
      <c r="M84" s="153" t="s">
        <v>144</v>
      </c>
      <c r="N84" s="153" t="s">
        <v>150</v>
      </c>
      <c r="O84" s="45"/>
      <c r="P84" s="233"/>
      <c r="Q84" s="233"/>
      <c r="R84" s="233"/>
      <c r="S84" s="233"/>
      <c r="T84" s="233"/>
      <c r="U84" s="233"/>
      <c r="V84" s="118"/>
      <c r="W84" s="119"/>
      <c r="X84" s="119"/>
      <c r="Y84" s="119"/>
      <c r="Z84" s="119"/>
      <c r="AA84" s="119"/>
      <c r="AB84" s="119"/>
      <c r="AC84" s="121"/>
      <c r="AD84" s="121"/>
      <c r="AE84" s="121"/>
      <c r="AF84" s="121"/>
      <c r="AG84" s="121"/>
      <c r="AH84" s="121"/>
    </row>
    <row r="85" spans="1:34" s="1" customFormat="1" ht="12.75" customHeight="1" x14ac:dyDescent="0.3">
      <c r="A85" s="94" t="s">
        <v>147</v>
      </c>
      <c r="B85" s="105">
        <v>20.259403965252101</v>
      </c>
      <c r="C85" s="106">
        <v>20.2401159459368</v>
      </c>
      <c r="D85" s="105">
        <v>18.942721217887701</v>
      </c>
      <c r="E85" s="106">
        <v>0</v>
      </c>
      <c r="F85" s="105">
        <v>0</v>
      </c>
      <c r="G85" s="106">
        <v>0</v>
      </c>
      <c r="H85" s="106">
        <v>0</v>
      </c>
      <c r="I85" s="105">
        <v>0</v>
      </c>
      <c r="J85" s="106">
        <v>0</v>
      </c>
      <c r="K85" s="105">
        <v>0</v>
      </c>
      <c r="L85" s="105">
        <v>0</v>
      </c>
      <c r="M85" s="106">
        <v>0</v>
      </c>
      <c r="N85" s="105">
        <v>20.132394079650101</v>
      </c>
      <c r="O85" s="45"/>
      <c r="P85" s="45"/>
      <c r="Q85" s="233"/>
      <c r="R85" s="233"/>
      <c r="S85" s="233"/>
      <c r="T85" s="233"/>
      <c r="U85" s="233"/>
      <c r="V85" s="118"/>
      <c r="W85" s="119"/>
      <c r="X85" s="119"/>
      <c r="Y85" s="119"/>
      <c r="Z85" s="119"/>
      <c r="AA85" s="119"/>
      <c r="AB85" s="119"/>
      <c r="AC85" s="121"/>
      <c r="AD85" s="121"/>
      <c r="AE85" s="121"/>
      <c r="AF85" s="121"/>
      <c r="AG85" s="121"/>
      <c r="AH85" s="121"/>
    </row>
    <row r="86" spans="1:34" s="1" customFormat="1" ht="12" x14ac:dyDescent="0.3">
      <c r="A86" s="95" t="s">
        <v>67</v>
      </c>
      <c r="B86" s="111">
        <v>28.266435986159198</v>
      </c>
      <c r="C86" s="111">
        <v>27.180451127819499</v>
      </c>
      <c r="D86" s="111">
        <v>31.388429752066099</v>
      </c>
      <c r="E86" s="111">
        <v>0</v>
      </c>
      <c r="F86" s="111">
        <v>0</v>
      </c>
      <c r="G86" s="111">
        <v>0</v>
      </c>
      <c r="H86" s="111">
        <v>0</v>
      </c>
      <c r="I86" s="111">
        <v>0</v>
      </c>
      <c r="J86" s="111">
        <v>0</v>
      </c>
      <c r="K86" s="111">
        <v>0</v>
      </c>
      <c r="L86" s="111">
        <v>0</v>
      </c>
      <c r="M86" s="111">
        <v>0</v>
      </c>
      <c r="N86" s="111">
        <v>28.013929618768302</v>
      </c>
      <c r="O86" s="45"/>
      <c r="P86" s="45"/>
      <c r="Q86" s="45"/>
      <c r="R86" s="233"/>
      <c r="S86" s="233"/>
      <c r="T86" s="233"/>
      <c r="U86" s="233"/>
      <c r="V86" s="118"/>
      <c r="W86" s="119"/>
      <c r="X86" s="119"/>
      <c r="Y86" s="119"/>
      <c r="Z86" s="119"/>
      <c r="AA86" s="121"/>
      <c r="AB86" s="121"/>
      <c r="AC86" s="127"/>
      <c r="AD86" s="121"/>
      <c r="AE86" s="121"/>
      <c r="AF86" s="121"/>
      <c r="AH86" s="121"/>
    </row>
    <row r="87" spans="1:34" s="1" customFormat="1" ht="12" x14ac:dyDescent="0.3">
      <c r="A87" s="96" t="s">
        <v>99</v>
      </c>
      <c r="B87" s="111">
        <v>32.982014388489198</v>
      </c>
      <c r="C87" s="111">
        <v>48.018018018017997</v>
      </c>
      <c r="D87" s="111">
        <v>50.1</v>
      </c>
      <c r="E87" s="111">
        <v>0</v>
      </c>
      <c r="F87" s="111">
        <v>0</v>
      </c>
      <c r="G87" s="111">
        <v>0</v>
      </c>
      <c r="H87" s="111">
        <v>0</v>
      </c>
      <c r="I87" s="111">
        <v>0</v>
      </c>
      <c r="J87" s="111">
        <v>0</v>
      </c>
      <c r="K87" s="111">
        <v>0</v>
      </c>
      <c r="L87" s="111">
        <v>0</v>
      </c>
      <c r="M87" s="111">
        <v>0</v>
      </c>
      <c r="N87" s="111">
        <v>41.725038402457798</v>
      </c>
      <c r="O87" s="45"/>
      <c r="P87" s="45"/>
      <c r="Q87" s="233"/>
      <c r="R87" s="233"/>
      <c r="S87" s="233"/>
      <c r="T87" s="233"/>
      <c r="U87" s="233"/>
      <c r="V87" s="118"/>
      <c r="W87" s="119"/>
      <c r="X87" s="119"/>
      <c r="AA87" s="121"/>
      <c r="AB87" s="121"/>
      <c r="AC87" s="121"/>
      <c r="AD87" s="121"/>
      <c r="AE87" s="121"/>
      <c r="AF87" s="121"/>
      <c r="AG87" s="121"/>
      <c r="AH87" s="121"/>
    </row>
    <row r="88" spans="1:34" s="1" customFormat="1" ht="12" x14ac:dyDescent="0.3">
      <c r="A88" s="96" t="s">
        <v>127</v>
      </c>
      <c r="B88" s="111">
        <v>19.9075119596604</v>
      </c>
      <c r="C88" s="111">
        <v>19.756513550277301</v>
      </c>
      <c r="D88" s="111">
        <v>18.402434236356498</v>
      </c>
      <c r="E88" s="111">
        <v>0</v>
      </c>
      <c r="F88" s="111">
        <v>0</v>
      </c>
      <c r="G88" s="111">
        <v>0</v>
      </c>
      <c r="H88" s="111">
        <v>0</v>
      </c>
      <c r="I88" s="111">
        <v>0</v>
      </c>
      <c r="J88" s="111">
        <v>0</v>
      </c>
      <c r="K88" s="111">
        <v>0</v>
      </c>
      <c r="L88" s="111">
        <v>0</v>
      </c>
      <c r="M88" s="111">
        <v>0</v>
      </c>
      <c r="N88" s="111">
        <v>19.6969351214717</v>
      </c>
      <c r="O88" s="45"/>
      <c r="P88" s="233"/>
      <c r="Q88" s="233"/>
      <c r="R88" s="233"/>
      <c r="S88" s="233"/>
      <c r="T88" s="233"/>
      <c r="U88" s="233"/>
      <c r="V88" s="118"/>
      <c r="W88" s="119"/>
      <c r="X88" s="119"/>
      <c r="Y88" s="119"/>
      <c r="Z88" s="119"/>
    </row>
    <row r="89" spans="1:34" s="1" customFormat="1" ht="12" x14ac:dyDescent="0.3">
      <c r="A89" s="94" t="s">
        <v>148</v>
      </c>
      <c r="B89" s="105">
        <v>33.6233766233766</v>
      </c>
      <c r="C89" s="106">
        <v>35.6307935790188</v>
      </c>
      <c r="D89" s="105">
        <v>52.257092198581603</v>
      </c>
      <c r="E89" s="106">
        <v>0</v>
      </c>
      <c r="F89" s="105">
        <v>0</v>
      </c>
      <c r="G89" s="106">
        <v>0</v>
      </c>
      <c r="H89" s="106">
        <v>0</v>
      </c>
      <c r="I89" s="105">
        <v>0</v>
      </c>
      <c r="J89" s="106">
        <v>0</v>
      </c>
      <c r="K89" s="105">
        <v>0</v>
      </c>
      <c r="L89" s="105">
        <v>0</v>
      </c>
      <c r="M89" s="106">
        <v>0</v>
      </c>
      <c r="N89" s="105">
        <v>35.708355737175999</v>
      </c>
      <c r="O89" s="45"/>
      <c r="P89" s="233"/>
      <c r="Q89" s="233"/>
      <c r="R89" s="238"/>
      <c r="S89" s="238"/>
      <c r="T89" s="238"/>
      <c r="U89" s="238"/>
      <c r="V89" s="49"/>
      <c r="Z89" s="119"/>
      <c r="AA89" s="119"/>
      <c r="AB89" s="119"/>
      <c r="AC89" s="119"/>
      <c r="AD89" s="119"/>
      <c r="AE89" s="119"/>
      <c r="AF89" s="119"/>
    </row>
    <row r="90" spans="1:34" s="1" customFormat="1" ht="12" x14ac:dyDescent="0.3">
      <c r="A90" s="95" t="s">
        <v>67</v>
      </c>
      <c r="B90" s="111">
        <v>53.779277318241199</v>
      </c>
      <c r="C90" s="111">
        <v>56.165404040403999</v>
      </c>
      <c r="D90" s="111">
        <v>74.112426035503006</v>
      </c>
      <c r="E90" s="111">
        <v>0</v>
      </c>
      <c r="F90" s="111">
        <v>0</v>
      </c>
      <c r="G90" s="111">
        <v>0</v>
      </c>
      <c r="H90" s="111">
        <v>0</v>
      </c>
      <c r="I90" s="111">
        <v>0</v>
      </c>
      <c r="J90" s="111">
        <v>0</v>
      </c>
      <c r="K90" s="111">
        <v>0</v>
      </c>
      <c r="L90" s="111">
        <v>0</v>
      </c>
      <c r="M90" s="111">
        <v>0</v>
      </c>
      <c r="N90" s="111">
        <v>56.282179205747397</v>
      </c>
      <c r="O90" s="45"/>
      <c r="P90" s="233"/>
      <c r="Q90" s="233"/>
      <c r="R90" s="233"/>
      <c r="S90" s="233"/>
      <c r="T90" s="233"/>
      <c r="U90" s="238"/>
      <c r="V90" s="118"/>
      <c r="W90" s="119"/>
      <c r="X90" s="119"/>
      <c r="Y90" s="119"/>
      <c r="Z90" s="119"/>
      <c r="AA90" s="119"/>
      <c r="AB90" s="119"/>
      <c r="AC90" s="119"/>
    </row>
    <row r="91" spans="1:34" s="1" customFormat="1" ht="12" customHeight="1" x14ac:dyDescent="0.3">
      <c r="A91" s="96" t="s">
        <v>99</v>
      </c>
      <c r="B91" s="111">
        <v>22.9096774193548</v>
      </c>
      <c r="C91" s="111">
        <v>36.907960199004997</v>
      </c>
      <c r="D91" s="111">
        <v>67.488888888888894</v>
      </c>
      <c r="E91" s="111">
        <v>0</v>
      </c>
      <c r="F91" s="111">
        <v>0</v>
      </c>
      <c r="G91" s="111">
        <v>0</v>
      </c>
      <c r="H91" s="111">
        <v>0</v>
      </c>
      <c r="I91" s="111">
        <v>0</v>
      </c>
      <c r="J91" s="111">
        <v>0</v>
      </c>
      <c r="K91" s="111">
        <v>0</v>
      </c>
      <c r="L91" s="111">
        <v>0</v>
      </c>
      <c r="M91" s="111">
        <v>0</v>
      </c>
      <c r="N91" s="111">
        <v>30.063730084348599</v>
      </c>
      <c r="O91" s="45"/>
      <c r="P91" s="233"/>
      <c r="Q91" s="233"/>
      <c r="R91" s="238"/>
      <c r="S91" s="238"/>
      <c r="T91" s="238"/>
      <c r="U91" s="238"/>
      <c r="V91" s="118"/>
      <c r="W91" s="119"/>
      <c r="X91" s="119"/>
      <c r="Y91" s="119"/>
      <c r="Z91" s="119"/>
      <c r="AA91" s="119"/>
      <c r="AB91" s="119"/>
    </row>
    <row r="92" spans="1:34" s="1" customFormat="1" ht="12" x14ac:dyDescent="0.3">
      <c r="A92" s="96" t="s">
        <v>127</v>
      </c>
      <c r="B92" s="111">
        <v>5.1964157706093204</v>
      </c>
      <c r="C92" s="111">
        <v>5.65896656534954</v>
      </c>
      <c r="D92" s="111">
        <v>7.6574585635359096</v>
      </c>
      <c r="E92" s="111">
        <v>0</v>
      </c>
      <c r="F92" s="111">
        <v>0</v>
      </c>
      <c r="G92" s="111">
        <v>0</v>
      </c>
      <c r="H92" s="111">
        <v>0</v>
      </c>
      <c r="I92" s="111">
        <v>0</v>
      </c>
      <c r="J92" s="111">
        <v>0</v>
      </c>
      <c r="K92" s="111">
        <v>0</v>
      </c>
      <c r="L92" s="111">
        <v>0</v>
      </c>
      <c r="M92" s="111">
        <v>0</v>
      </c>
      <c r="N92" s="111">
        <v>5.5709407016454504</v>
      </c>
      <c r="O92" s="45"/>
      <c r="P92" s="233"/>
      <c r="Q92" s="233"/>
      <c r="R92" s="233"/>
      <c r="S92" s="233"/>
      <c r="T92" s="233"/>
      <c r="U92" s="233"/>
      <c r="V92" s="118"/>
      <c r="W92" s="119"/>
      <c r="X92" s="119"/>
      <c r="Y92" s="119"/>
      <c r="Z92" s="119"/>
      <c r="AA92" s="119"/>
      <c r="AB92" s="119"/>
    </row>
    <row r="93" spans="1:34" s="1" customFormat="1" ht="12" x14ac:dyDescent="0.3">
      <c r="A93" s="94" t="s">
        <v>149</v>
      </c>
      <c r="B93" s="105">
        <v>22.290543160269301</v>
      </c>
      <c r="C93" s="106">
        <v>22.236859087175901</v>
      </c>
      <c r="D93" s="105">
        <v>22.171678982643101</v>
      </c>
      <c r="E93" s="106">
        <v>0</v>
      </c>
      <c r="F93" s="105">
        <v>0</v>
      </c>
      <c r="G93" s="106">
        <v>0</v>
      </c>
      <c r="H93" s="106">
        <v>0</v>
      </c>
      <c r="I93" s="105">
        <v>0</v>
      </c>
      <c r="J93" s="106">
        <v>0</v>
      </c>
      <c r="K93" s="105">
        <v>0</v>
      </c>
      <c r="L93" s="105">
        <v>0</v>
      </c>
      <c r="M93" s="106">
        <v>0</v>
      </c>
      <c r="N93" s="105">
        <v>22.2536100289974</v>
      </c>
      <c r="O93" s="45"/>
      <c r="P93" s="45"/>
      <c r="Q93" s="45"/>
      <c r="R93" s="45"/>
      <c r="S93" s="45"/>
      <c r="T93" s="45"/>
      <c r="U93" s="45"/>
      <c r="V93" s="49"/>
    </row>
    <row r="94" spans="1:34" s="1" customFormat="1" ht="12" x14ac:dyDescent="0.3">
      <c r="A94" s="95" t="s">
        <v>67</v>
      </c>
      <c r="B94" s="111">
        <v>48.650086956521697</v>
      </c>
      <c r="C94" s="111">
        <v>49.827030582045403</v>
      </c>
      <c r="D94" s="111">
        <v>62.849673202614397</v>
      </c>
      <c r="E94" s="111">
        <v>0</v>
      </c>
      <c r="F94" s="111">
        <v>0</v>
      </c>
      <c r="G94" s="111">
        <v>0</v>
      </c>
      <c r="H94" s="111">
        <v>0</v>
      </c>
      <c r="I94" s="111">
        <v>0</v>
      </c>
      <c r="J94" s="111">
        <v>0</v>
      </c>
      <c r="K94" s="111">
        <v>0</v>
      </c>
      <c r="L94" s="111">
        <v>0</v>
      </c>
      <c r="M94" s="111">
        <v>0</v>
      </c>
      <c r="N94" s="111">
        <v>50.233882352941201</v>
      </c>
      <c r="O94" s="45"/>
      <c r="P94" s="45"/>
      <c r="Q94" s="45"/>
      <c r="R94" s="45"/>
      <c r="S94" s="45"/>
      <c r="T94" s="45"/>
      <c r="U94" s="45"/>
      <c r="V94" s="49"/>
    </row>
    <row r="95" spans="1:34" s="1" customFormat="1" ht="12" x14ac:dyDescent="0.3">
      <c r="A95" s="96" t="s">
        <v>99</v>
      </c>
      <c r="B95" s="111">
        <v>26.027839643652602</v>
      </c>
      <c r="C95" s="111">
        <v>41.941496598639503</v>
      </c>
      <c r="D95" s="111">
        <v>59.305882352941197</v>
      </c>
      <c r="E95" s="111">
        <v>0</v>
      </c>
      <c r="F95" s="111">
        <v>0</v>
      </c>
      <c r="G95" s="111">
        <v>0</v>
      </c>
      <c r="H95" s="111">
        <v>0</v>
      </c>
      <c r="I95" s="111">
        <v>0</v>
      </c>
      <c r="J95" s="111">
        <v>0</v>
      </c>
      <c r="K95" s="111">
        <v>0</v>
      </c>
      <c r="L95" s="111">
        <v>0</v>
      </c>
      <c r="M95" s="111">
        <v>0</v>
      </c>
      <c r="N95" s="111">
        <v>34.482537834691499</v>
      </c>
      <c r="O95" s="45"/>
      <c r="P95" s="45"/>
      <c r="Q95" s="45"/>
      <c r="R95" s="45"/>
      <c r="S95" s="45"/>
      <c r="T95" s="45"/>
      <c r="U95" s="45"/>
      <c r="V95" s="49"/>
    </row>
    <row r="96" spans="1:34" s="1" customFormat="1" ht="12" x14ac:dyDescent="0.3">
      <c r="A96" s="96" t="s">
        <v>127</v>
      </c>
      <c r="B96" s="111">
        <v>19.073217334742701</v>
      </c>
      <c r="C96" s="111">
        <v>18.9915556141971</v>
      </c>
      <c r="D96" s="111">
        <v>18.0337440758294</v>
      </c>
      <c r="E96" s="111">
        <v>0</v>
      </c>
      <c r="F96" s="111">
        <v>0</v>
      </c>
      <c r="G96" s="111">
        <v>0</v>
      </c>
      <c r="H96" s="111">
        <v>0</v>
      </c>
      <c r="I96" s="111">
        <v>0</v>
      </c>
      <c r="J96" s="111">
        <v>0</v>
      </c>
      <c r="K96" s="111">
        <v>0</v>
      </c>
      <c r="L96" s="111">
        <v>0</v>
      </c>
      <c r="M96" s="111">
        <v>0</v>
      </c>
      <c r="N96" s="111">
        <v>18.940985894432501</v>
      </c>
      <c r="O96" s="45"/>
      <c r="P96" s="45"/>
      <c r="Q96" s="45"/>
      <c r="R96" s="45"/>
      <c r="S96" s="45"/>
      <c r="T96" s="45"/>
      <c r="U96" s="45"/>
      <c r="V96" s="49"/>
    </row>
    <row r="97" spans="1:33" s="1" customFormat="1" ht="12" x14ac:dyDescent="0.3">
      <c r="A97" s="91"/>
      <c r="F97" s="7"/>
      <c r="G97" s="7"/>
      <c r="H97" s="7"/>
      <c r="I97" s="7"/>
      <c r="J97" s="7"/>
      <c r="K97" s="7"/>
      <c r="L97" s="45"/>
      <c r="M97" s="45"/>
      <c r="N97" s="45"/>
      <c r="O97" s="45"/>
      <c r="P97" s="45"/>
      <c r="Q97" s="45"/>
      <c r="R97" s="45"/>
      <c r="S97" s="45"/>
      <c r="T97" s="45"/>
      <c r="U97" s="45"/>
      <c r="V97" s="49"/>
    </row>
    <row r="98" spans="1:33" s="1" customFormat="1" ht="12" x14ac:dyDescent="0.3">
      <c r="A98" s="169"/>
      <c r="B98" s="170"/>
      <c r="C98" s="170"/>
      <c r="D98" s="170"/>
      <c r="E98" s="170"/>
      <c r="F98" s="170"/>
      <c r="G98" s="170"/>
      <c r="H98" s="170"/>
      <c r="I98" s="170"/>
      <c r="J98" s="170"/>
      <c r="K98" s="170"/>
      <c r="L98" s="170"/>
      <c r="M98" s="170"/>
      <c r="N98" s="170"/>
      <c r="O98" s="170"/>
      <c r="P98" s="170"/>
      <c r="Q98" s="170"/>
      <c r="R98" s="170"/>
      <c r="S98" s="170"/>
      <c r="T98" s="170"/>
      <c r="U98" s="170"/>
      <c r="V98" s="171"/>
    </row>
    <row r="99" spans="1:33" s="1" customFormat="1" ht="12" x14ac:dyDescent="0.3">
      <c r="A99" s="91"/>
      <c r="F99" s="7"/>
      <c r="G99" s="7"/>
      <c r="H99" s="7"/>
      <c r="I99" s="7"/>
      <c r="J99" s="7"/>
      <c r="K99" s="7"/>
      <c r="L99" s="45"/>
      <c r="M99" s="45"/>
      <c r="N99" s="45"/>
      <c r="O99" s="45"/>
      <c r="P99" s="45"/>
      <c r="Q99" s="45"/>
      <c r="R99" s="45"/>
      <c r="S99" s="233"/>
      <c r="T99" s="233"/>
      <c r="U99" s="233"/>
      <c r="V99" s="118"/>
    </row>
    <row r="100" spans="1:33" s="7" customFormat="1" ht="24.75" customHeight="1" x14ac:dyDescent="0.3">
      <c r="A100" s="196" t="s">
        <v>790</v>
      </c>
      <c r="B100" s="234"/>
      <c r="C100" s="234"/>
      <c r="D100" s="234"/>
      <c r="E100" s="234"/>
      <c r="F100" s="234"/>
      <c r="G100" s="234"/>
      <c r="H100" s="234"/>
      <c r="I100" s="234"/>
      <c r="J100" s="234"/>
      <c r="K100" s="234"/>
      <c r="L100" s="234"/>
      <c r="M100" s="234"/>
      <c r="N100" s="234"/>
      <c r="O100" s="45"/>
      <c r="P100" s="233"/>
      <c r="Q100" s="233"/>
      <c r="R100" s="233"/>
      <c r="S100" s="233"/>
      <c r="T100" s="233"/>
      <c r="U100" s="233"/>
      <c r="V100" s="118"/>
      <c r="W100" s="123"/>
      <c r="X100" s="123"/>
      <c r="Y100" s="123"/>
      <c r="Z100" s="123"/>
      <c r="AA100" s="123"/>
      <c r="AB100" s="123"/>
    </row>
    <row r="101" spans="1:33" s="1" customFormat="1" ht="12" x14ac:dyDescent="0.3">
      <c r="A101" s="42" t="s">
        <v>146</v>
      </c>
      <c r="B101" s="153" t="s">
        <v>132</v>
      </c>
      <c r="C101" s="153" t="s">
        <v>133</v>
      </c>
      <c r="D101" s="153" t="s">
        <v>134</v>
      </c>
      <c r="E101" s="153" t="s">
        <v>135</v>
      </c>
      <c r="F101" s="153" t="s">
        <v>136</v>
      </c>
      <c r="G101" s="153" t="s">
        <v>137</v>
      </c>
      <c r="H101" s="153" t="s">
        <v>138</v>
      </c>
      <c r="I101" s="153" t="s">
        <v>139</v>
      </c>
      <c r="J101" s="153" t="s">
        <v>140</v>
      </c>
      <c r="K101" s="153" t="s">
        <v>142</v>
      </c>
      <c r="L101" s="153" t="s">
        <v>143</v>
      </c>
      <c r="M101" s="153" t="s">
        <v>144</v>
      </c>
      <c r="N101" s="153" t="s">
        <v>150</v>
      </c>
      <c r="O101" s="45"/>
      <c r="P101" s="238"/>
      <c r="Q101" s="233"/>
      <c r="R101" s="233"/>
      <c r="S101" s="233"/>
      <c r="T101" s="233"/>
      <c r="U101" s="233"/>
      <c r="V101" s="118"/>
      <c r="W101" s="119"/>
      <c r="X101" s="119"/>
      <c r="Y101" s="119"/>
      <c r="Z101" s="119"/>
      <c r="AA101" s="119"/>
      <c r="AB101" s="119"/>
      <c r="AC101" s="119"/>
      <c r="AD101" s="119"/>
      <c r="AE101" s="119"/>
      <c r="AF101" s="119"/>
    </row>
    <row r="102" spans="1:33" s="1" customFormat="1" ht="12.75" customHeight="1" thickBot="1" x14ac:dyDescent="0.35">
      <c r="A102" s="87" t="s">
        <v>1</v>
      </c>
      <c r="B102" s="107">
        <v>22839.516129032301</v>
      </c>
      <c r="C102" s="108">
        <v>23426.833333333299</v>
      </c>
      <c r="D102" s="107">
        <v>17796</v>
      </c>
      <c r="E102" s="108">
        <v>0</v>
      </c>
      <c r="F102" s="107">
        <v>0</v>
      </c>
      <c r="G102" s="108">
        <v>0</v>
      </c>
      <c r="H102" s="108">
        <v>0</v>
      </c>
      <c r="I102" s="107">
        <v>0</v>
      </c>
      <c r="J102" s="108">
        <v>0</v>
      </c>
      <c r="K102" s="107">
        <v>0</v>
      </c>
      <c r="L102" s="107">
        <v>0</v>
      </c>
      <c r="M102" s="108">
        <v>0</v>
      </c>
      <c r="N102" s="107">
        <v>22724.3939393939</v>
      </c>
      <c r="O102" s="45"/>
      <c r="P102" s="238"/>
      <c r="Q102" s="238"/>
      <c r="R102" s="238"/>
      <c r="S102" s="238"/>
      <c r="T102" s="239"/>
      <c r="U102" s="238"/>
      <c r="V102" s="120"/>
      <c r="W102" s="121"/>
      <c r="X102" s="121"/>
      <c r="Y102" s="121"/>
      <c r="Z102" s="121"/>
      <c r="AA102" s="121"/>
      <c r="AB102" s="121"/>
    </row>
    <row r="103" spans="1:33" s="1" customFormat="1" ht="12.5" thickTop="1" x14ac:dyDescent="0.3">
      <c r="A103" s="88" t="s">
        <v>788</v>
      </c>
      <c r="B103" s="109">
        <v>709.90322580645204</v>
      </c>
      <c r="C103" s="109">
        <v>1055.4000000000001</v>
      </c>
      <c r="D103" s="109">
        <v>1004.8</v>
      </c>
      <c r="E103" s="109">
        <v>0</v>
      </c>
      <c r="F103" s="109">
        <v>0</v>
      </c>
      <c r="G103" s="109">
        <v>0</v>
      </c>
      <c r="H103" s="109">
        <v>0</v>
      </c>
      <c r="I103" s="109">
        <v>0</v>
      </c>
      <c r="J103" s="109">
        <v>0</v>
      </c>
      <c r="K103" s="109">
        <v>0</v>
      </c>
      <c r="L103" s="109">
        <v>0</v>
      </c>
      <c r="M103" s="109">
        <v>0</v>
      </c>
      <c r="N103" s="109">
        <v>889.28787878787898</v>
      </c>
      <c r="O103" s="45"/>
      <c r="P103" s="238"/>
      <c r="Q103" s="238"/>
      <c r="R103" s="238"/>
      <c r="S103" s="238"/>
      <c r="T103" s="238"/>
      <c r="U103" s="238"/>
      <c r="V103" s="120"/>
      <c r="W103" s="121"/>
      <c r="X103" s="121"/>
      <c r="Y103" s="121"/>
      <c r="Z103" s="121"/>
      <c r="AA103" s="121"/>
      <c r="AB103" s="121"/>
      <c r="AC103" s="121"/>
      <c r="AD103" s="121"/>
      <c r="AE103" s="121"/>
      <c r="AF103" s="121"/>
      <c r="AG103" s="121"/>
    </row>
    <row r="104" spans="1:33" s="1" customFormat="1" ht="12" x14ac:dyDescent="0.3">
      <c r="A104" s="89" t="s">
        <v>122</v>
      </c>
      <c r="B104" s="110">
        <v>22129.6129032258</v>
      </c>
      <c r="C104" s="110">
        <v>22371.433333333302</v>
      </c>
      <c r="D104" s="110">
        <v>16791.2</v>
      </c>
      <c r="E104" s="110">
        <v>0</v>
      </c>
      <c r="F104" s="110">
        <v>0</v>
      </c>
      <c r="G104" s="110">
        <v>0</v>
      </c>
      <c r="H104" s="110">
        <v>0</v>
      </c>
      <c r="I104" s="110">
        <v>0</v>
      </c>
      <c r="J104" s="110">
        <v>0</v>
      </c>
      <c r="K104" s="110">
        <v>0</v>
      </c>
      <c r="L104" s="110">
        <v>0</v>
      </c>
      <c r="M104" s="110">
        <v>0</v>
      </c>
      <c r="N104" s="110">
        <v>21835.1060606061</v>
      </c>
      <c r="O104" s="45"/>
      <c r="P104" s="238"/>
      <c r="Q104" s="238"/>
      <c r="R104" s="238"/>
      <c r="S104" s="238"/>
      <c r="T104" s="238"/>
      <c r="U104" s="238"/>
      <c r="V104" s="120"/>
      <c r="W104" s="121"/>
      <c r="X104" s="121"/>
      <c r="Y104" s="121"/>
      <c r="Z104" s="121"/>
      <c r="AA104" s="119"/>
      <c r="AB104" s="121"/>
      <c r="AF104" s="121"/>
      <c r="AG104" s="121"/>
    </row>
    <row r="105" spans="1:33" s="3" customFormat="1" ht="23.25" customHeight="1" x14ac:dyDescent="0.3">
      <c r="A105" s="91"/>
      <c r="B105" s="1"/>
      <c r="C105" s="1"/>
      <c r="D105" s="1"/>
      <c r="E105" s="1"/>
      <c r="F105" s="7"/>
      <c r="G105" s="7"/>
      <c r="H105" s="7"/>
      <c r="I105" s="7"/>
      <c r="J105" s="7"/>
      <c r="K105" s="7"/>
      <c r="L105" s="45"/>
      <c r="M105" s="45"/>
      <c r="N105" s="45"/>
      <c r="O105" s="45"/>
      <c r="P105" s="238"/>
      <c r="Q105" s="238"/>
      <c r="R105" s="238"/>
      <c r="S105" s="238"/>
      <c r="T105" s="238"/>
      <c r="U105" s="238"/>
      <c r="V105" s="120"/>
      <c r="W105" s="122"/>
      <c r="X105" s="122"/>
      <c r="Y105" s="122"/>
      <c r="Z105" s="122"/>
      <c r="AA105" s="122"/>
      <c r="AB105" s="122"/>
      <c r="AC105" s="122"/>
      <c r="AD105" s="122"/>
      <c r="AE105" s="122"/>
      <c r="AF105" s="122"/>
      <c r="AG105" s="122"/>
    </row>
    <row r="106" spans="1:33" s="1" customFormat="1" ht="12.75" customHeight="1" x14ac:dyDescent="0.3">
      <c r="A106" s="196" t="s">
        <v>789</v>
      </c>
      <c r="B106" s="234"/>
      <c r="C106" s="234"/>
      <c r="D106" s="234"/>
      <c r="E106" s="234"/>
      <c r="F106" s="234"/>
      <c r="G106" s="234"/>
      <c r="H106" s="234"/>
      <c r="I106" s="234"/>
      <c r="J106" s="234"/>
      <c r="K106" s="234"/>
      <c r="L106" s="234"/>
      <c r="M106" s="234"/>
      <c r="N106" s="234"/>
      <c r="O106" s="45"/>
      <c r="P106" s="45"/>
      <c r="Q106" s="238"/>
      <c r="R106" s="238"/>
      <c r="S106" s="233"/>
      <c r="T106" s="233"/>
      <c r="U106" s="233"/>
      <c r="V106" s="120"/>
      <c r="W106" s="121"/>
      <c r="X106" s="121"/>
      <c r="Y106" s="121"/>
      <c r="Z106" s="121"/>
      <c r="AA106" s="121"/>
    </row>
    <row r="107" spans="1:33" s="1" customFormat="1" ht="12.75" customHeight="1" x14ac:dyDescent="0.3">
      <c r="A107" s="42" t="s">
        <v>146</v>
      </c>
      <c r="B107" s="153" t="s">
        <v>132</v>
      </c>
      <c r="C107" s="153" t="s">
        <v>133</v>
      </c>
      <c r="D107" s="153" t="s">
        <v>134</v>
      </c>
      <c r="E107" s="153" t="s">
        <v>135</v>
      </c>
      <c r="F107" s="153" t="s">
        <v>136</v>
      </c>
      <c r="G107" s="153" t="s">
        <v>137</v>
      </c>
      <c r="H107" s="153" t="s">
        <v>138</v>
      </c>
      <c r="I107" s="153" t="s">
        <v>139</v>
      </c>
      <c r="J107" s="153" t="s">
        <v>140</v>
      </c>
      <c r="K107" s="153" t="s">
        <v>142</v>
      </c>
      <c r="L107" s="153" t="s">
        <v>143</v>
      </c>
      <c r="M107" s="153" t="s">
        <v>144</v>
      </c>
      <c r="N107" s="153" t="s">
        <v>150</v>
      </c>
      <c r="O107" s="45"/>
      <c r="P107" s="233"/>
      <c r="Q107" s="233"/>
      <c r="R107" s="233"/>
      <c r="S107" s="233"/>
      <c r="T107" s="233"/>
      <c r="U107" s="233"/>
      <c r="V107" s="118"/>
      <c r="W107" s="119"/>
      <c r="X107" s="119"/>
      <c r="Y107" s="119"/>
      <c r="Z107" s="119"/>
      <c r="AA107" s="119"/>
      <c r="AB107" s="119"/>
      <c r="AC107" s="119"/>
      <c r="AD107" s="119"/>
      <c r="AE107" s="119"/>
      <c r="AF107" s="119"/>
    </row>
    <row r="108" spans="1:33" s="7" customFormat="1" ht="14.25" customHeight="1" thickBot="1" x14ac:dyDescent="0.35">
      <c r="A108" s="87" t="s">
        <v>1</v>
      </c>
      <c r="B108" s="112">
        <v>22.290543160269301</v>
      </c>
      <c r="C108" s="113">
        <v>22.236859087175901</v>
      </c>
      <c r="D108" s="112">
        <v>22.171678982643101</v>
      </c>
      <c r="E108" s="113">
        <v>0</v>
      </c>
      <c r="F108" s="112">
        <v>0</v>
      </c>
      <c r="G108" s="113">
        <v>0</v>
      </c>
      <c r="H108" s="113">
        <v>0</v>
      </c>
      <c r="I108" s="112">
        <v>0</v>
      </c>
      <c r="J108" s="113">
        <v>0</v>
      </c>
      <c r="K108" s="112">
        <v>0</v>
      </c>
      <c r="L108" s="112">
        <v>0</v>
      </c>
      <c r="M108" s="112">
        <v>0</v>
      </c>
      <c r="N108" s="112">
        <v>22.2536100289974</v>
      </c>
      <c r="P108" s="123"/>
      <c r="Q108" s="123"/>
      <c r="R108" s="123"/>
      <c r="S108" s="123"/>
      <c r="T108" s="123"/>
      <c r="U108" s="123"/>
      <c r="V108" s="237"/>
      <c r="W108" s="123"/>
      <c r="X108" s="123"/>
      <c r="Y108" s="123"/>
      <c r="Z108" s="123"/>
      <c r="AA108" s="236"/>
      <c r="AB108" s="123"/>
    </row>
    <row r="109" spans="1:33" s="1" customFormat="1" ht="12.5" thickTop="1" x14ac:dyDescent="0.3">
      <c r="A109" s="88" t="s">
        <v>788</v>
      </c>
      <c r="B109" s="114">
        <v>3.9693853704136499</v>
      </c>
      <c r="C109" s="114">
        <v>2.8661329361385199</v>
      </c>
      <c r="D109" s="114">
        <v>3.05633802816901</v>
      </c>
      <c r="E109" s="114">
        <v>0</v>
      </c>
      <c r="F109" s="114">
        <v>0</v>
      </c>
      <c r="G109" s="114">
        <v>0</v>
      </c>
      <c r="H109" s="114">
        <v>0</v>
      </c>
      <c r="I109" s="114">
        <v>0</v>
      </c>
      <c r="J109" s="114">
        <v>0</v>
      </c>
      <c r="K109" s="114">
        <v>0</v>
      </c>
      <c r="L109" s="114">
        <v>0</v>
      </c>
      <c r="M109" s="114">
        <v>0</v>
      </c>
      <c r="N109" s="114">
        <v>3.3310797943248902</v>
      </c>
      <c r="O109" s="45"/>
      <c r="P109" s="45"/>
      <c r="Q109" s="45"/>
      <c r="R109" s="45"/>
      <c r="S109" s="45"/>
      <c r="T109" s="45"/>
      <c r="U109" s="45"/>
      <c r="V109" s="226"/>
    </row>
    <row r="110" spans="1:33" s="1" customFormat="1" ht="12.75" customHeight="1" x14ac:dyDescent="0.3">
      <c r="A110" s="89" t="s">
        <v>122</v>
      </c>
      <c r="B110" s="111">
        <v>25.544579113398601</v>
      </c>
      <c r="C110" s="111">
        <v>25.859301556352499</v>
      </c>
      <c r="D110" s="111">
        <v>25.450573786994202</v>
      </c>
      <c r="E110" s="111">
        <v>0</v>
      </c>
      <c r="F110" s="111">
        <v>0</v>
      </c>
      <c r="G110" s="111">
        <v>0</v>
      </c>
      <c r="H110" s="111">
        <v>0</v>
      </c>
      <c r="I110" s="111">
        <v>0</v>
      </c>
      <c r="J110" s="111">
        <v>0</v>
      </c>
      <c r="K110" s="111">
        <v>0</v>
      </c>
      <c r="L110" s="111">
        <v>0</v>
      </c>
      <c r="M110" s="111">
        <v>0</v>
      </c>
      <c r="N110" s="111">
        <v>25.6929387331257</v>
      </c>
      <c r="O110" s="45"/>
      <c r="P110" s="45"/>
      <c r="Q110" s="45"/>
      <c r="R110" s="233"/>
      <c r="S110" s="233"/>
      <c r="T110" s="233"/>
      <c r="U110" s="233"/>
      <c r="V110" s="232"/>
      <c r="W110" s="119"/>
      <c r="X110" s="119"/>
      <c r="Y110" s="119"/>
      <c r="Z110" s="119"/>
      <c r="AA110" s="119"/>
      <c r="AB110" s="119"/>
      <c r="AC110" s="119"/>
    </row>
    <row r="111" spans="1:33" s="1" customFormat="1" ht="12.75" customHeight="1" x14ac:dyDescent="0.3">
      <c r="A111" s="90"/>
      <c r="B111" s="235"/>
      <c r="C111" s="235"/>
      <c r="D111" s="235"/>
      <c r="E111" s="235"/>
      <c r="F111" s="235"/>
      <c r="G111" s="235"/>
      <c r="H111" s="235"/>
      <c r="I111" s="235"/>
      <c r="J111" s="235"/>
      <c r="K111" s="235"/>
      <c r="L111" s="235"/>
      <c r="M111" s="235"/>
      <c r="N111" s="235"/>
      <c r="O111" s="45"/>
      <c r="P111" s="45"/>
      <c r="Q111" s="45"/>
      <c r="R111" s="45"/>
      <c r="S111" s="45"/>
      <c r="T111" s="45"/>
      <c r="U111" s="45"/>
      <c r="V111" s="226"/>
    </row>
    <row r="112" spans="1:33" s="1" customFormat="1" ht="12" x14ac:dyDescent="0.3">
      <c r="A112" s="196" t="s">
        <v>787</v>
      </c>
      <c r="B112" s="234"/>
      <c r="C112" s="234"/>
      <c r="D112" s="234"/>
      <c r="E112" s="234"/>
      <c r="F112" s="234"/>
      <c r="G112" s="234"/>
      <c r="H112" s="234"/>
      <c r="I112" s="234"/>
      <c r="J112" s="234"/>
      <c r="K112" s="234"/>
      <c r="L112" s="234"/>
      <c r="M112" s="234"/>
      <c r="N112" s="234"/>
      <c r="O112" s="45"/>
      <c r="P112" s="45"/>
      <c r="Q112" s="45"/>
      <c r="R112" s="233"/>
      <c r="S112" s="233"/>
      <c r="T112" s="233"/>
      <c r="U112" s="233"/>
      <c r="V112" s="232"/>
      <c r="W112" s="119"/>
      <c r="X112" s="119"/>
      <c r="Y112" s="119"/>
      <c r="Z112" s="119"/>
      <c r="AA112" s="119"/>
      <c r="AB112" s="119"/>
      <c r="AC112" s="119"/>
    </row>
    <row r="113" spans="1:29" s="1" customFormat="1" ht="12" x14ac:dyDescent="0.3">
      <c r="A113" s="42" t="s">
        <v>786</v>
      </c>
      <c r="B113" s="153" t="s">
        <v>132</v>
      </c>
      <c r="C113" s="153" t="s">
        <v>133</v>
      </c>
      <c r="D113" s="153" t="s">
        <v>134</v>
      </c>
      <c r="E113" s="153" t="s">
        <v>135</v>
      </c>
      <c r="F113" s="153" t="s">
        <v>136</v>
      </c>
      <c r="G113" s="153" t="s">
        <v>137</v>
      </c>
      <c r="H113" s="153" t="s">
        <v>138</v>
      </c>
      <c r="I113" s="153" t="s">
        <v>139</v>
      </c>
      <c r="J113" s="153" t="s">
        <v>140</v>
      </c>
      <c r="K113" s="153" t="s">
        <v>142</v>
      </c>
      <c r="L113" s="153" t="s">
        <v>143</v>
      </c>
      <c r="M113" s="153" t="s">
        <v>144</v>
      </c>
      <c r="N113" s="153" t="s">
        <v>150</v>
      </c>
      <c r="O113" s="45"/>
      <c r="P113" s="45"/>
      <c r="Q113" s="45"/>
      <c r="R113" s="233"/>
      <c r="S113" s="233"/>
      <c r="T113" s="233"/>
      <c r="U113" s="233"/>
      <c r="V113" s="232"/>
      <c r="W113" s="119"/>
      <c r="X113" s="119"/>
      <c r="Y113" s="119"/>
      <c r="Z113" s="119"/>
      <c r="AA113" s="119"/>
      <c r="AB113" s="119"/>
      <c r="AC113" s="119"/>
    </row>
    <row r="114" spans="1:29" ht="15" thickBot="1" x14ac:dyDescent="0.4">
      <c r="A114" s="87" t="s">
        <v>1</v>
      </c>
      <c r="B114" s="112">
        <v>25.544579113398601</v>
      </c>
      <c r="C114" s="113">
        <v>25.859301556352499</v>
      </c>
      <c r="D114" s="112">
        <v>25.450573786994202</v>
      </c>
      <c r="E114" s="113">
        <v>0</v>
      </c>
      <c r="F114" s="112">
        <v>0</v>
      </c>
      <c r="G114" s="113">
        <v>0</v>
      </c>
      <c r="H114" s="113">
        <v>0</v>
      </c>
      <c r="I114" s="112">
        <v>0</v>
      </c>
      <c r="J114" s="113">
        <v>0</v>
      </c>
      <c r="K114" s="159">
        <v>0</v>
      </c>
      <c r="L114" s="113">
        <v>0</v>
      </c>
      <c r="M114" s="113">
        <v>0</v>
      </c>
      <c r="N114" s="231">
        <v>25.6929387331257</v>
      </c>
      <c r="V114" s="226"/>
    </row>
    <row r="115" spans="1:29" ht="15" thickTop="1" x14ac:dyDescent="0.35">
      <c r="A115" s="88" t="s">
        <v>63</v>
      </c>
      <c r="B115" s="114">
        <v>23.738856393707099</v>
      </c>
      <c r="C115" s="114">
        <v>24.013825641025601</v>
      </c>
      <c r="D115" s="114">
        <v>22.007264472190698</v>
      </c>
      <c r="E115" s="114">
        <v>0</v>
      </c>
      <c r="F115" s="114">
        <v>0</v>
      </c>
      <c r="G115" s="114">
        <v>0</v>
      </c>
      <c r="H115" s="114">
        <v>0</v>
      </c>
      <c r="I115" s="114">
        <v>0</v>
      </c>
      <c r="J115" s="114">
        <v>0</v>
      </c>
      <c r="K115" s="230">
        <v>0</v>
      </c>
      <c r="L115" s="114">
        <v>0</v>
      </c>
      <c r="M115" s="114">
        <v>0</v>
      </c>
      <c r="N115" s="229">
        <v>23.719822266107101</v>
      </c>
      <c r="V115" s="226"/>
    </row>
    <row r="116" spans="1:29" x14ac:dyDescent="0.35">
      <c r="A116" s="89" t="s">
        <v>80</v>
      </c>
      <c r="B116" s="111">
        <v>33.950938967136203</v>
      </c>
      <c r="C116" s="111">
        <v>36.209848136217197</v>
      </c>
      <c r="D116" s="111">
        <v>52.439501779359396</v>
      </c>
      <c r="E116" s="111">
        <v>0</v>
      </c>
      <c r="F116" s="111">
        <v>0</v>
      </c>
      <c r="G116" s="111">
        <v>0</v>
      </c>
      <c r="H116" s="111">
        <v>0</v>
      </c>
      <c r="I116" s="111">
        <v>0</v>
      </c>
      <c r="J116" s="111">
        <v>0</v>
      </c>
      <c r="K116" s="228">
        <v>0</v>
      </c>
      <c r="L116" s="111">
        <v>0</v>
      </c>
      <c r="M116" s="111">
        <v>0</v>
      </c>
      <c r="N116" s="227">
        <v>36.155104712041897</v>
      </c>
      <c r="O116" s="115"/>
      <c r="V116" s="226"/>
    </row>
    <row r="117" spans="1:29" x14ac:dyDescent="0.35">
      <c r="B117" s="115"/>
      <c r="C117" s="115"/>
      <c r="D117" s="115"/>
      <c r="E117" s="115"/>
      <c r="F117" s="115"/>
      <c r="G117" s="115"/>
      <c r="H117" s="115"/>
      <c r="I117" s="115"/>
      <c r="J117" s="115"/>
      <c r="K117" s="115"/>
      <c r="L117" s="115"/>
      <c r="M117" s="115"/>
      <c r="V117" s="226"/>
    </row>
    <row r="118" spans="1:29" ht="15" thickBot="1" x14ac:dyDescent="0.4">
      <c r="A118" s="155"/>
      <c r="B118" s="155"/>
      <c r="C118" s="155"/>
      <c r="D118" s="155"/>
      <c r="E118" s="155"/>
      <c r="F118" s="155"/>
      <c r="G118" s="155"/>
      <c r="H118" s="155"/>
      <c r="I118" s="155"/>
      <c r="J118" s="155"/>
      <c r="K118" s="155"/>
      <c r="L118" s="155"/>
      <c r="M118" s="155"/>
      <c r="N118" s="155"/>
      <c r="O118" s="155"/>
      <c r="P118" s="155"/>
      <c r="Q118" s="155"/>
      <c r="R118" s="155"/>
      <c r="S118" s="155"/>
      <c r="T118" s="155"/>
      <c r="U118" s="155"/>
      <c r="V118" s="156"/>
    </row>
    <row r="119" spans="1:29" x14ac:dyDescent="0.35">
      <c r="B119" s="116"/>
      <c r="C119" s="116"/>
      <c r="D119" s="116"/>
      <c r="E119" s="116"/>
      <c r="F119" s="116"/>
      <c r="G119" s="116"/>
      <c r="H119" s="116"/>
      <c r="I119" s="116"/>
      <c r="J119" s="116"/>
      <c r="K119" s="116"/>
      <c r="L119" s="116"/>
      <c r="M119" s="116"/>
      <c r="P119" s="116"/>
    </row>
    <row r="120" spans="1:29" x14ac:dyDescent="0.35">
      <c r="A120" s="225"/>
      <c r="B120" s="225"/>
      <c r="C120" s="225"/>
      <c r="D120" s="225"/>
      <c r="E120" s="225"/>
      <c r="F120" s="225"/>
      <c r="G120" s="225"/>
      <c r="H120" s="225"/>
      <c r="I120" s="225"/>
      <c r="J120" s="225"/>
      <c r="K120" s="225"/>
      <c r="L120" s="225"/>
      <c r="M120" s="225"/>
      <c r="N120" s="225"/>
    </row>
    <row r="121" spans="1:29" x14ac:dyDescent="0.35">
      <c r="A121" s="224"/>
      <c r="B121" s="224"/>
      <c r="C121" s="223"/>
      <c r="D121" s="116"/>
      <c r="E121" s="116"/>
      <c r="F121" s="116"/>
      <c r="G121" s="116"/>
      <c r="H121" s="116"/>
      <c r="I121" s="116"/>
      <c r="J121" s="116"/>
      <c r="K121" s="116"/>
      <c r="L121" s="116"/>
      <c r="M121" s="115"/>
      <c r="P121" s="116"/>
    </row>
    <row r="122" spans="1:29" x14ac:dyDescent="0.35">
      <c r="A122" s="222"/>
      <c r="B122" s="222"/>
      <c r="C122" s="222"/>
      <c r="D122" s="116"/>
      <c r="E122" s="116"/>
      <c r="F122" s="116"/>
      <c r="G122" s="116"/>
      <c r="H122" s="115"/>
      <c r="I122" s="115"/>
    </row>
    <row r="123" spans="1:29" x14ac:dyDescent="0.35">
      <c r="A123" s="222"/>
      <c r="B123" s="222"/>
      <c r="C123" s="222"/>
      <c r="D123" s="115"/>
      <c r="E123" s="116"/>
      <c r="F123" s="115"/>
    </row>
    <row r="124" spans="1:29" x14ac:dyDescent="0.35">
      <c r="A124" s="222"/>
      <c r="B124" s="222"/>
      <c r="C124" s="222"/>
    </row>
    <row r="125" spans="1:29" x14ac:dyDescent="0.35">
      <c r="A125" s="222"/>
      <c r="B125" s="222"/>
      <c r="C125" s="222"/>
    </row>
  </sheetData>
  <mergeCells count="54">
    <mergeCell ref="A3:D3"/>
    <mergeCell ref="H30:I30"/>
    <mergeCell ref="A33:V33"/>
    <mergeCell ref="N30:O30"/>
    <mergeCell ref="H31:I31"/>
    <mergeCell ref="A4:V4"/>
    <mergeCell ref="A1:D1"/>
    <mergeCell ref="A2:D2"/>
    <mergeCell ref="E2:H2"/>
    <mergeCell ref="I2:L2"/>
    <mergeCell ref="M2:P2"/>
    <mergeCell ref="A100:N100"/>
    <mergeCell ref="A36:E36"/>
    <mergeCell ref="A81:V81"/>
    <mergeCell ref="A98:V98"/>
    <mergeCell ref="A66:N66"/>
    <mergeCell ref="A64:V64"/>
    <mergeCell ref="M8:Q8"/>
    <mergeCell ref="O12:Q12"/>
    <mergeCell ref="O10:Q10"/>
    <mergeCell ref="M9:N9"/>
    <mergeCell ref="A120:N120"/>
    <mergeCell ref="A106:N106"/>
    <mergeCell ref="P30:R30"/>
    <mergeCell ref="J30:L30"/>
    <mergeCell ref="J31:L31"/>
    <mergeCell ref="A83:N83"/>
    <mergeCell ref="H27:L27"/>
    <mergeCell ref="N27:R27"/>
    <mergeCell ref="G9:H9"/>
    <mergeCell ref="G11:H11"/>
    <mergeCell ref="A18:F18"/>
    <mergeCell ref="A16:V16"/>
    <mergeCell ref="A25:V25"/>
    <mergeCell ref="J28:L28"/>
    <mergeCell ref="N28:O28"/>
    <mergeCell ref="P29:R29"/>
    <mergeCell ref="J29:L29"/>
    <mergeCell ref="M12:N12"/>
    <mergeCell ref="A6:V6"/>
    <mergeCell ref="A8:D8"/>
    <mergeCell ref="G8:K8"/>
    <mergeCell ref="G10:H10"/>
    <mergeCell ref="A27:E27"/>
    <mergeCell ref="A112:N112"/>
    <mergeCell ref="O9:Q9"/>
    <mergeCell ref="H28:I28"/>
    <mergeCell ref="H29:I29"/>
    <mergeCell ref="M10:N10"/>
    <mergeCell ref="M11:N11"/>
    <mergeCell ref="O11:Q11"/>
    <mergeCell ref="P28:R28"/>
    <mergeCell ref="N29:O29"/>
    <mergeCell ref="I18:V18"/>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48616-5E4A-492C-87C8-2ECC3310BE8B}">
  <dimension ref="A1:BB56"/>
  <sheetViews>
    <sheetView zoomScale="80" zoomScaleNormal="80" workbookViewId="0">
      <pane xSplit="1" topLeftCell="V1" activePane="topRight" state="frozen"/>
      <selection pane="topRight"/>
    </sheetView>
  </sheetViews>
  <sheetFormatPr defaultColWidth="9.1796875" defaultRowHeight="15.5" x14ac:dyDescent="0.35"/>
  <cols>
    <col min="1" max="1" width="66.81640625" style="282" bestFit="1" customWidth="1"/>
    <col min="2" max="5" width="7.453125" style="282" bestFit="1" customWidth="1"/>
    <col min="6" max="6" width="6.81640625" style="282" bestFit="1" customWidth="1"/>
    <col min="7" max="9" width="7.453125" style="282" bestFit="1" customWidth="1"/>
    <col min="10" max="10" width="7.08984375" style="282" bestFit="1" customWidth="1"/>
    <col min="11" max="13" width="7.453125" style="282" bestFit="1" customWidth="1"/>
    <col min="14" max="14" width="7.453125" style="282" customWidth="1"/>
    <col min="15" max="15" width="7.1796875" style="282" customWidth="1"/>
    <col min="16" max="16" width="8.36328125" style="282" customWidth="1"/>
    <col min="17" max="17" width="8.6328125" style="282" customWidth="1"/>
    <col min="18" max="18" width="7.453125" style="282" customWidth="1"/>
    <col min="19" max="19" width="8.1796875" style="282" customWidth="1"/>
    <col min="20" max="22" width="7.81640625" style="282" bestFit="1" customWidth="1"/>
    <col min="23" max="25" width="8.1796875" style="282" bestFit="1" customWidth="1"/>
    <col min="26" max="26" width="7.81640625" style="282" bestFit="1" customWidth="1"/>
    <col min="27" max="28" width="8.1796875" style="282" bestFit="1" customWidth="1"/>
    <col min="29" max="16384" width="9.1796875" style="282"/>
  </cols>
  <sheetData>
    <row r="1" spans="1:53" x14ac:dyDescent="0.35">
      <c r="A1" s="281" t="s">
        <v>802</v>
      </c>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row>
    <row r="2" spans="1:53" x14ac:dyDescent="0.35">
      <c r="A2" s="281"/>
    </row>
    <row r="3" spans="1:53" x14ac:dyDescent="0.35">
      <c r="A3" s="281"/>
    </row>
    <row r="4" spans="1:53" x14ac:dyDescent="0.35">
      <c r="A4" s="283" t="s">
        <v>803</v>
      </c>
      <c r="B4" s="284">
        <v>2020</v>
      </c>
      <c r="C4" s="285"/>
      <c r="D4" s="285"/>
      <c r="E4" s="285"/>
      <c r="F4" s="285"/>
      <c r="G4" s="285"/>
      <c r="H4" s="285"/>
      <c r="I4" s="285"/>
      <c r="J4" s="285"/>
      <c r="K4" s="285"/>
      <c r="L4" s="285"/>
      <c r="M4" s="286"/>
      <c r="N4" s="287">
        <v>2021</v>
      </c>
      <c r="O4" s="288"/>
      <c r="P4" s="288"/>
      <c r="Q4" s="288"/>
      <c r="R4" s="288"/>
      <c r="S4" s="288"/>
      <c r="T4" s="288"/>
      <c r="U4" s="288"/>
      <c r="V4" s="288"/>
      <c r="W4" s="288"/>
      <c r="X4" s="288"/>
      <c r="Y4" s="288"/>
      <c r="Z4" s="288"/>
      <c r="AA4" s="288"/>
      <c r="AB4" s="288"/>
      <c r="AC4" s="288"/>
      <c r="AD4" s="288"/>
      <c r="AE4" s="289"/>
      <c r="AF4" s="288"/>
      <c r="AG4" s="289"/>
      <c r="AH4" s="288"/>
      <c r="AI4" s="289"/>
      <c r="AJ4" s="290"/>
      <c r="AK4" s="290"/>
      <c r="AL4" s="290"/>
      <c r="AM4" s="290"/>
      <c r="AN4" s="290"/>
      <c r="AO4" s="290"/>
      <c r="AP4" s="290"/>
      <c r="AQ4" s="290"/>
      <c r="AR4" s="290"/>
      <c r="AS4" s="290"/>
    </row>
    <row r="5" spans="1:53" x14ac:dyDescent="0.35">
      <c r="A5" s="283"/>
      <c r="B5" s="291" t="s">
        <v>804</v>
      </c>
      <c r="C5" s="292"/>
      <c r="D5" s="291" t="s">
        <v>805</v>
      </c>
      <c r="E5" s="292"/>
      <c r="F5" s="291" t="s">
        <v>806</v>
      </c>
      <c r="G5" s="292"/>
      <c r="H5" s="291" t="s">
        <v>807</v>
      </c>
      <c r="I5" s="292"/>
      <c r="J5" s="291" t="s">
        <v>808</v>
      </c>
      <c r="K5" s="292"/>
      <c r="L5" s="291" t="s">
        <v>809</v>
      </c>
      <c r="M5" s="292"/>
      <c r="N5" s="293" t="s">
        <v>810</v>
      </c>
      <c r="O5" s="294"/>
      <c r="P5" s="293" t="s">
        <v>811</v>
      </c>
      <c r="Q5" s="294"/>
      <c r="R5" s="293" t="s">
        <v>812</v>
      </c>
      <c r="S5" s="294"/>
      <c r="T5" s="293" t="s">
        <v>813</v>
      </c>
      <c r="U5" s="294"/>
      <c r="V5" s="293" t="s">
        <v>139</v>
      </c>
      <c r="W5" s="294"/>
      <c r="X5" s="293" t="s">
        <v>814</v>
      </c>
      <c r="Y5" s="294"/>
      <c r="Z5" s="293" t="s">
        <v>804</v>
      </c>
      <c r="AA5" s="294"/>
      <c r="AB5" s="293" t="s">
        <v>805</v>
      </c>
      <c r="AC5" s="294"/>
      <c r="AD5" s="293" t="s">
        <v>806</v>
      </c>
      <c r="AE5" s="294"/>
      <c r="AF5" s="293" t="s">
        <v>807</v>
      </c>
      <c r="AG5" s="294"/>
      <c r="AH5" s="293" t="s">
        <v>808</v>
      </c>
      <c r="AI5" s="294"/>
      <c r="AJ5" s="290"/>
      <c r="AK5" s="290"/>
      <c r="AL5" s="290"/>
      <c r="AM5" s="290"/>
      <c r="AN5" s="290"/>
      <c r="AO5" s="290"/>
      <c r="AP5" s="290"/>
      <c r="AQ5" s="290"/>
      <c r="AR5" s="290"/>
      <c r="AS5" s="290"/>
      <c r="AT5" s="290"/>
      <c r="AU5" s="290"/>
      <c r="AV5" s="290"/>
      <c r="AW5" s="290"/>
      <c r="AX5" s="290"/>
      <c r="AY5" s="290"/>
      <c r="AZ5" s="290"/>
      <c r="BA5" s="290"/>
    </row>
    <row r="6" spans="1:53" x14ac:dyDescent="0.35">
      <c r="A6" s="283"/>
      <c r="B6" s="295" t="s">
        <v>815</v>
      </c>
      <c r="C6" s="295" t="s">
        <v>816</v>
      </c>
      <c r="D6" s="295" t="s">
        <v>815</v>
      </c>
      <c r="E6" s="295" t="s">
        <v>816</v>
      </c>
      <c r="F6" s="295" t="s">
        <v>815</v>
      </c>
      <c r="G6" s="295" t="s">
        <v>816</v>
      </c>
      <c r="H6" s="295" t="s">
        <v>815</v>
      </c>
      <c r="I6" s="295" t="s">
        <v>816</v>
      </c>
      <c r="J6" s="295" t="s">
        <v>815</v>
      </c>
      <c r="K6" s="295" t="s">
        <v>816</v>
      </c>
      <c r="L6" s="295" t="s">
        <v>815</v>
      </c>
      <c r="M6" s="295" t="s">
        <v>816</v>
      </c>
      <c r="N6" s="296" t="s">
        <v>815</v>
      </c>
      <c r="O6" s="296" t="s">
        <v>816</v>
      </c>
      <c r="P6" s="296" t="s">
        <v>815</v>
      </c>
      <c r="Q6" s="296" t="s">
        <v>816</v>
      </c>
      <c r="R6" s="296" t="s">
        <v>815</v>
      </c>
      <c r="S6" s="296" t="s">
        <v>816</v>
      </c>
      <c r="T6" s="296" t="s">
        <v>815</v>
      </c>
      <c r="U6" s="296" t="s">
        <v>816</v>
      </c>
      <c r="V6" s="296" t="s">
        <v>815</v>
      </c>
      <c r="W6" s="296" t="s">
        <v>816</v>
      </c>
      <c r="X6" s="296" t="s">
        <v>815</v>
      </c>
      <c r="Y6" s="296" t="s">
        <v>816</v>
      </c>
      <c r="Z6" s="296" t="s">
        <v>815</v>
      </c>
      <c r="AA6" s="296" t="s">
        <v>816</v>
      </c>
      <c r="AB6" s="296" t="s">
        <v>815</v>
      </c>
      <c r="AC6" s="296" t="s">
        <v>816</v>
      </c>
      <c r="AD6" s="296" t="s">
        <v>815</v>
      </c>
      <c r="AE6" s="296" t="s">
        <v>816</v>
      </c>
      <c r="AF6" s="296" t="s">
        <v>815</v>
      </c>
      <c r="AG6" s="296" t="s">
        <v>816</v>
      </c>
      <c r="AH6" s="296" t="s">
        <v>817</v>
      </c>
      <c r="AI6" s="296" t="s">
        <v>816</v>
      </c>
      <c r="AJ6" s="290"/>
      <c r="AK6" s="290"/>
      <c r="AL6" s="290"/>
      <c r="AM6" s="290"/>
      <c r="AN6" s="290"/>
      <c r="AO6" s="290"/>
      <c r="AP6" s="290"/>
    </row>
    <row r="7" spans="1:53" x14ac:dyDescent="0.35">
      <c r="A7" s="297" t="s">
        <v>818</v>
      </c>
      <c r="B7" s="298">
        <v>166.45621</v>
      </c>
      <c r="C7" s="298">
        <v>166.60888</v>
      </c>
      <c r="D7" s="298">
        <v>166.07884000000001</v>
      </c>
      <c r="E7" s="298">
        <v>163.90737999999999</v>
      </c>
      <c r="F7" s="298">
        <v>162.40288000000001</v>
      </c>
      <c r="G7" s="298">
        <v>156.58816999999999</v>
      </c>
      <c r="H7" s="298">
        <v>155.78474</v>
      </c>
      <c r="I7" s="298">
        <v>156.10682</v>
      </c>
      <c r="J7" s="298">
        <v>154.09211999999999</v>
      </c>
      <c r="K7" s="298">
        <v>148.91552999999999</v>
      </c>
      <c r="L7" s="298">
        <v>140.98845</v>
      </c>
      <c r="M7" s="298">
        <v>143.2731</v>
      </c>
      <c r="N7" s="299">
        <v>144.33805000000001</v>
      </c>
      <c r="O7" s="299">
        <v>142.70872</v>
      </c>
      <c r="P7" s="299">
        <v>143.90504999999999</v>
      </c>
      <c r="Q7" s="299">
        <v>142.70633000000001</v>
      </c>
      <c r="R7" s="299">
        <v>128.1009</v>
      </c>
      <c r="S7" s="299">
        <v>111.64449999999999</v>
      </c>
      <c r="T7" s="299">
        <v>92.941900000000004</v>
      </c>
      <c r="U7" s="299">
        <v>76.255539999999996</v>
      </c>
      <c r="V7" s="299">
        <v>65.216229999999996</v>
      </c>
      <c r="W7" s="299">
        <v>63.734160000000003</v>
      </c>
      <c r="X7" s="299">
        <v>59.766379999999998</v>
      </c>
      <c r="Y7" s="299">
        <v>60.389389999999999</v>
      </c>
      <c r="Z7" s="299">
        <v>58.88015</v>
      </c>
      <c r="AA7" s="299">
        <v>61.948590000000003</v>
      </c>
      <c r="AB7" s="299">
        <v>57.586829999999999</v>
      </c>
      <c r="AC7" s="299">
        <v>61.311149999999998</v>
      </c>
      <c r="AD7" s="299">
        <v>64.787239999999997</v>
      </c>
      <c r="AE7" s="299">
        <v>64.646240000000006</v>
      </c>
      <c r="AF7" s="299">
        <v>43.6350793197171</v>
      </c>
      <c r="AG7" s="299">
        <v>43.571914330809498</v>
      </c>
      <c r="AH7" s="299">
        <v>44.122304546120802</v>
      </c>
      <c r="AI7" s="300">
        <v>46.4436237127398</v>
      </c>
    </row>
    <row r="8" spans="1:53" x14ac:dyDescent="0.35">
      <c r="A8" s="297" t="s">
        <v>819</v>
      </c>
      <c r="B8" s="298">
        <v>83.423079999999999</v>
      </c>
      <c r="C8" s="298">
        <v>92.953590000000005</v>
      </c>
      <c r="D8" s="298">
        <v>128.72662</v>
      </c>
      <c r="E8" s="298">
        <v>116.94904</v>
      </c>
      <c r="F8" s="298">
        <v>137.77778000000001</v>
      </c>
      <c r="G8" s="298">
        <v>63.13308</v>
      </c>
      <c r="H8" s="298">
        <v>60.2</v>
      </c>
      <c r="I8" s="298">
        <v>73.017650000000003</v>
      </c>
      <c r="J8" s="298">
        <v>66.228070000000002</v>
      </c>
      <c r="K8" s="298">
        <v>54.49785</v>
      </c>
      <c r="L8" s="298">
        <v>65.342860000000002</v>
      </c>
      <c r="M8" s="298">
        <v>33.012549999999997</v>
      </c>
      <c r="N8" s="299">
        <v>41.149430000000002</v>
      </c>
      <c r="O8" s="299">
        <v>16.395389999999999</v>
      </c>
      <c r="P8" s="299">
        <v>12.27163</v>
      </c>
      <c r="Q8" s="299">
        <v>13.5214</v>
      </c>
      <c r="R8" s="299">
        <v>3.4177</v>
      </c>
      <c r="S8" s="299">
        <v>4.7975500000000002</v>
      </c>
      <c r="T8" s="299">
        <v>7.6909400000000003</v>
      </c>
      <c r="U8" s="299">
        <v>4.40313</v>
      </c>
      <c r="V8" s="299">
        <v>5.7128100000000002</v>
      </c>
      <c r="W8" s="299">
        <v>4.3956</v>
      </c>
      <c r="X8" s="299">
        <v>5.35121</v>
      </c>
      <c r="Y8" s="299">
        <v>4.3433200000000003</v>
      </c>
      <c r="Z8" s="299">
        <v>4.0528599999999999</v>
      </c>
      <c r="AA8" s="299">
        <v>5.9111700000000003</v>
      </c>
      <c r="AB8" s="299">
        <v>4.9472800000000001</v>
      </c>
      <c r="AC8" s="299">
        <v>2.9433500000000001</v>
      </c>
      <c r="AD8" s="299">
        <v>2.59226</v>
      </c>
      <c r="AE8" s="299">
        <v>2.8071100000000002</v>
      </c>
      <c r="AF8" s="299">
        <v>3.1022354127868401</v>
      </c>
      <c r="AG8" s="299">
        <v>1.81822012257378</v>
      </c>
      <c r="AH8" s="299">
        <v>1.9732703625233401</v>
      </c>
      <c r="AI8" s="300">
        <v>1.4419835490828301</v>
      </c>
    </row>
    <row r="9" spans="1:53" x14ac:dyDescent="0.35">
      <c r="A9" s="297" t="s">
        <v>820</v>
      </c>
      <c r="B9" s="298">
        <v>287.27668999999997</v>
      </c>
      <c r="C9" s="298">
        <v>299.18414000000001</v>
      </c>
      <c r="D9" s="298">
        <v>303.41052000000002</v>
      </c>
      <c r="E9" s="298">
        <v>321.93230999999997</v>
      </c>
      <c r="F9" s="298">
        <v>334.91737000000001</v>
      </c>
      <c r="G9" s="298">
        <v>346.06366000000003</v>
      </c>
      <c r="H9" s="298">
        <v>350.20936999999998</v>
      </c>
      <c r="I9" s="298">
        <v>359.56124999999997</v>
      </c>
      <c r="J9" s="298">
        <v>368.41888999999998</v>
      </c>
      <c r="K9" s="298">
        <v>366.08258000000001</v>
      </c>
      <c r="L9" s="298">
        <v>361.91541000000001</v>
      </c>
      <c r="M9" s="298">
        <v>359.04696999999999</v>
      </c>
      <c r="N9" s="299">
        <v>344.00698999999997</v>
      </c>
      <c r="O9" s="299">
        <v>341.17102</v>
      </c>
      <c r="P9" s="299">
        <v>321.68135000000001</v>
      </c>
      <c r="Q9" s="299">
        <v>290.20193</v>
      </c>
      <c r="R9" s="299">
        <v>231.52411000000001</v>
      </c>
      <c r="S9" s="299">
        <v>117.73972999999999</v>
      </c>
      <c r="T9" s="299">
        <v>87.502520000000004</v>
      </c>
      <c r="U9" s="299">
        <v>70.530349999999999</v>
      </c>
      <c r="V9" s="299">
        <v>66.206050000000005</v>
      </c>
      <c r="W9" s="299">
        <v>69.484939999999995</v>
      </c>
      <c r="X9" s="299">
        <v>72.395160000000004</v>
      </c>
      <c r="Y9" s="299">
        <v>72.542649999999995</v>
      </c>
      <c r="Z9" s="299">
        <v>74.830719999999999</v>
      </c>
      <c r="AA9" s="299">
        <v>75.550510000000003</v>
      </c>
      <c r="AB9" s="299">
        <v>79.833640000000003</v>
      </c>
      <c r="AC9" s="299">
        <v>77.329480000000004</v>
      </c>
      <c r="AD9" s="299">
        <v>82.778530000000003</v>
      </c>
      <c r="AE9" s="299">
        <v>78.386970000000005</v>
      </c>
      <c r="AF9" s="299">
        <v>69.375743764759605</v>
      </c>
      <c r="AG9" s="299">
        <v>88.686445319006594</v>
      </c>
      <c r="AH9" s="299">
        <v>108.52619474313001</v>
      </c>
      <c r="AI9" s="300">
        <v>143.14433190601599</v>
      </c>
    </row>
    <row r="10" spans="1:53" ht="16" thickBot="1" x14ac:dyDescent="0.4">
      <c r="A10" s="301" t="s">
        <v>821</v>
      </c>
      <c r="B10" s="302">
        <v>201.67815999999999</v>
      </c>
      <c r="C10" s="302">
        <v>174.51886999999999</v>
      </c>
      <c r="D10" s="302">
        <v>198.4898</v>
      </c>
      <c r="E10" s="302">
        <v>239.60975999999999</v>
      </c>
      <c r="F10" s="302">
        <v>296.81159000000002</v>
      </c>
      <c r="G10" s="302">
        <v>272.23077000000001</v>
      </c>
      <c r="H10" s="302">
        <v>186.91011</v>
      </c>
      <c r="I10" s="302">
        <v>177.17142999999999</v>
      </c>
      <c r="J10" s="302">
        <v>247.56863000000001</v>
      </c>
      <c r="K10" s="302">
        <v>147.31578999999999</v>
      </c>
      <c r="L10" s="302">
        <v>206.96666999999999</v>
      </c>
      <c r="M10" s="302">
        <v>46.453130000000002</v>
      </c>
      <c r="N10" s="303">
        <v>27.838709999999999</v>
      </c>
      <c r="O10" s="303">
        <v>13.11842</v>
      </c>
      <c r="P10" s="303">
        <v>22.243590000000001</v>
      </c>
      <c r="Q10" s="303">
        <v>23.435479999999998</v>
      </c>
      <c r="R10" s="303">
        <v>0</v>
      </c>
      <c r="S10" s="303">
        <v>0</v>
      </c>
      <c r="T10" s="303">
        <v>0</v>
      </c>
      <c r="U10" s="303">
        <v>0</v>
      </c>
      <c r="V10" s="303">
        <v>0</v>
      </c>
      <c r="W10" s="303">
        <v>0</v>
      </c>
      <c r="X10" s="303">
        <v>0</v>
      </c>
      <c r="Y10" s="303">
        <v>0</v>
      </c>
      <c r="Z10" s="303">
        <v>0</v>
      </c>
      <c r="AA10" s="303">
        <v>10</v>
      </c>
      <c r="AB10" s="303">
        <v>0</v>
      </c>
      <c r="AC10" s="303">
        <v>0</v>
      </c>
      <c r="AD10" s="303">
        <v>0</v>
      </c>
      <c r="AE10" s="303">
        <v>0</v>
      </c>
      <c r="AF10" s="303">
        <v>0</v>
      </c>
      <c r="AG10" s="303">
        <v>0</v>
      </c>
      <c r="AH10" s="303">
        <v>0</v>
      </c>
      <c r="AI10" s="304" t="s">
        <v>799</v>
      </c>
    </row>
    <row r="11" spans="1:53" x14ac:dyDescent="0.35">
      <c r="A11" s="305" t="s">
        <v>1</v>
      </c>
      <c r="B11" s="306">
        <v>183.48498000000001</v>
      </c>
      <c r="C11" s="306">
        <v>184.75197</v>
      </c>
      <c r="D11" s="306">
        <v>185.28295</v>
      </c>
      <c r="E11" s="306">
        <v>184.77921000000001</v>
      </c>
      <c r="F11" s="306">
        <v>184.77745999999999</v>
      </c>
      <c r="G11" s="306">
        <v>178.81926999999999</v>
      </c>
      <c r="H11" s="306">
        <v>177.94882999999999</v>
      </c>
      <c r="I11" s="306">
        <v>180.06950000000001</v>
      </c>
      <c r="J11" s="306">
        <v>178.56487000000001</v>
      </c>
      <c r="K11" s="306">
        <v>171.97140999999999</v>
      </c>
      <c r="L11" s="306">
        <v>164.59678</v>
      </c>
      <c r="M11" s="306">
        <v>164.15828999999999</v>
      </c>
      <c r="N11" s="307">
        <v>165.49565000000001</v>
      </c>
      <c r="O11" s="307">
        <v>158.70374000000001</v>
      </c>
      <c r="P11" s="307">
        <v>159.12960000000001</v>
      </c>
      <c r="Q11" s="307">
        <v>157.29579000000001</v>
      </c>
      <c r="R11" s="307">
        <v>131.27873</v>
      </c>
      <c r="S11" s="307">
        <v>103.40934</v>
      </c>
      <c r="T11" s="307">
        <v>86.666300000000007</v>
      </c>
      <c r="U11" s="307">
        <v>74.191019999999995</v>
      </c>
      <c r="V11" s="307">
        <v>63.978670000000001</v>
      </c>
      <c r="W11" s="307">
        <v>61.497920000000001</v>
      </c>
      <c r="X11" s="307">
        <v>59.282859999999999</v>
      </c>
      <c r="Y11" s="307">
        <v>60.462649999999996</v>
      </c>
      <c r="Z11" s="307">
        <v>58.61598</v>
      </c>
      <c r="AA11" s="307">
        <v>61.378810000000001</v>
      </c>
      <c r="AB11" s="307">
        <v>57.492809999999999</v>
      </c>
      <c r="AC11" s="307">
        <v>60.223689999999998</v>
      </c>
      <c r="AD11" s="307">
        <v>64.523359999999997</v>
      </c>
      <c r="AE11" s="307">
        <v>64.557969999999997</v>
      </c>
      <c r="AF11" s="307">
        <v>44.210774207726402</v>
      </c>
      <c r="AG11" s="307">
        <v>44.369514731899898</v>
      </c>
      <c r="AH11" s="307">
        <v>44.5242254871198</v>
      </c>
      <c r="AI11" s="308">
        <v>45.771037888949301</v>
      </c>
    </row>
    <row r="13" spans="1:53" x14ac:dyDescent="0.35">
      <c r="A13" s="281" t="s">
        <v>822</v>
      </c>
      <c r="B13"/>
      <c r="C13"/>
      <c r="D13"/>
      <c r="E13"/>
      <c r="F13"/>
      <c r="G13"/>
      <c r="H13"/>
      <c r="I13"/>
      <c r="J13"/>
      <c r="K13"/>
      <c r="L13"/>
      <c r="M13"/>
      <c r="N13"/>
      <c r="O13"/>
      <c r="P13"/>
      <c r="Q13"/>
      <c r="R13"/>
      <c r="S13"/>
      <c r="T13"/>
      <c r="U13"/>
      <c r="V13"/>
      <c r="W13"/>
      <c r="X13"/>
      <c r="Y13"/>
      <c r="Z13"/>
      <c r="AA13"/>
    </row>
    <row r="14" spans="1:53" x14ac:dyDescent="0.35">
      <c r="A14" s="309"/>
      <c r="B14"/>
      <c r="C14"/>
      <c r="D14"/>
      <c r="E14"/>
      <c r="F14"/>
      <c r="G14"/>
      <c r="H14"/>
      <c r="I14"/>
      <c r="J14"/>
      <c r="K14"/>
      <c r="L14"/>
      <c r="M14"/>
      <c r="N14"/>
      <c r="O14"/>
      <c r="P14"/>
      <c r="Q14"/>
      <c r="R14"/>
      <c r="S14"/>
      <c r="T14"/>
      <c r="U14"/>
      <c r="V14"/>
      <c r="W14"/>
      <c r="X14"/>
      <c r="Y14"/>
      <c r="Z14"/>
      <c r="AA14"/>
    </row>
    <row r="15" spans="1:53" x14ac:dyDescent="0.35">
      <c r="A15" s="309"/>
      <c r="B15"/>
      <c r="C15"/>
      <c r="D15"/>
      <c r="E15"/>
      <c r="F15"/>
      <c r="G15"/>
      <c r="H15"/>
      <c r="I15"/>
      <c r="J15"/>
      <c r="K15"/>
      <c r="L15"/>
      <c r="M15"/>
      <c r="N15"/>
      <c r="O15"/>
      <c r="P15"/>
      <c r="Q15"/>
      <c r="R15"/>
      <c r="S15"/>
      <c r="T15"/>
      <c r="U15"/>
      <c r="V15"/>
      <c r="W15"/>
      <c r="X15"/>
      <c r="Y15"/>
      <c r="Z15"/>
      <c r="AA15"/>
    </row>
    <row r="16" spans="1:53" x14ac:dyDescent="0.35">
      <c r="A16" s="310" t="s">
        <v>803</v>
      </c>
      <c r="B16" s="284">
        <v>2020</v>
      </c>
      <c r="C16" s="285"/>
      <c r="D16" s="285"/>
      <c r="E16" s="285"/>
      <c r="F16" s="285"/>
      <c r="G16" s="285"/>
      <c r="H16" s="285"/>
      <c r="I16" s="285"/>
      <c r="J16" s="285"/>
      <c r="K16" s="285"/>
      <c r="L16" s="285"/>
      <c r="M16" s="286"/>
      <c r="N16" s="287">
        <v>2021</v>
      </c>
      <c r="O16" s="288"/>
      <c r="P16" s="288"/>
      <c r="Q16" s="288"/>
      <c r="R16" s="288"/>
      <c r="S16" s="288"/>
      <c r="T16" s="288"/>
      <c r="U16" s="288"/>
      <c r="V16" s="288"/>
      <c r="W16" s="288"/>
      <c r="X16" s="288"/>
      <c r="Y16" s="288"/>
      <c r="Z16" s="288"/>
      <c r="AA16" s="288"/>
      <c r="AB16" s="288"/>
      <c r="AC16" s="288"/>
      <c r="AD16" s="288"/>
      <c r="AE16" s="289"/>
      <c r="AF16" s="288"/>
      <c r="AG16" s="289"/>
      <c r="AH16" s="288"/>
      <c r="AI16" s="289"/>
      <c r="AJ16" s="290"/>
      <c r="AK16" s="290"/>
      <c r="AL16" s="290"/>
      <c r="AM16" s="290"/>
      <c r="AN16" s="290"/>
      <c r="AP16" s="290"/>
      <c r="AQ16" s="290"/>
      <c r="AR16" s="290"/>
      <c r="AS16" s="290"/>
      <c r="AT16" s="290"/>
      <c r="AU16" s="290"/>
      <c r="AV16" s="290"/>
      <c r="AW16" s="290"/>
    </row>
    <row r="17" spans="1:54" x14ac:dyDescent="0.35">
      <c r="A17" s="310"/>
      <c r="B17" s="291" t="s">
        <v>804</v>
      </c>
      <c r="C17" s="292"/>
      <c r="D17" s="291" t="s">
        <v>805</v>
      </c>
      <c r="E17" s="292"/>
      <c r="F17" s="291" t="s">
        <v>806</v>
      </c>
      <c r="G17" s="292"/>
      <c r="H17" s="291" t="s">
        <v>807</v>
      </c>
      <c r="I17" s="292"/>
      <c r="J17" s="291" t="s">
        <v>808</v>
      </c>
      <c r="K17" s="292"/>
      <c r="L17" s="291" t="s">
        <v>809</v>
      </c>
      <c r="M17" s="292"/>
      <c r="N17" s="293" t="s">
        <v>810</v>
      </c>
      <c r="O17" s="294"/>
      <c r="P17" s="293" t="s">
        <v>811</v>
      </c>
      <c r="Q17" s="294"/>
      <c r="R17" s="293" t="s">
        <v>812</v>
      </c>
      <c r="S17" s="294"/>
      <c r="T17" s="293" t="s">
        <v>813</v>
      </c>
      <c r="U17" s="294"/>
      <c r="V17" s="293" t="s">
        <v>139</v>
      </c>
      <c r="W17" s="294"/>
      <c r="X17" s="293" t="s">
        <v>814</v>
      </c>
      <c r="Y17" s="294"/>
      <c r="Z17" s="293" t="s">
        <v>804</v>
      </c>
      <c r="AA17" s="294"/>
      <c r="AB17" s="293" t="s">
        <v>805</v>
      </c>
      <c r="AC17" s="294"/>
      <c r="AD17" s="293" t="s">
        <v>806</v>
      </c>
      <c r="AE17" s="294"/>
      <c r="AF17" s="293" t="s">
        <v>807</v>
      </c>
      <c r="AG17" s="294"/>
      <c r="AH17" s="293" t="s">
        <v>808</v>
      </c>
      <c r="AI17" s="294"/>
      <c r="AJ17" s="290"/>
      <c r="AK17" s="290"/>
      <c r="AL17" s="290"/>
      <c r="AM17" s="290"/>
      <c r="AN17" s="290"/>
      <c r="AO17" s="290"/>
      <c r="AP17" s="290"/>
      <c r="AQ17" s="290"/>
    </row>
    <row r="18" spans="1:54" x14ac:dyDescent="0.35">
      <c r="A18" s="310"/>
      <c r="B18" s="295" t="s">
        <v>815</v>
      </c>
      <c r="C18" s="295" t="s">
        <v>816</v>
      </c>
      <c r="D18" s="295" t="s">
        <v>815</v>
      </c>
      <c r="E18" s="295" t="s">
        <v>816</v>
      </c>
      <c r="F18" s="295" t="s">
        <v>815</v>
      </c>
      <c r="G18" s="295" t="s">
        <v>816</v>
      </c>
      <c r="H18" s="295" t="s">
        <v>815</v>
      </c>
      <c r="I18" s="295" t="s">
        <v>816</v>
      </c>
      <c r="J18" s="295" t="s">
        <v>815</v>
      </c>
      <c r="K18" s="295" t="s">
        <v>816</v>
      </c>
      <c r="L18" s="295" t="s">
        <v>815</v>
      </c>
      <c r="M18" s="295" t="s">
        <v>816</v>
      </c>
      <c r="N18" s="296" t="s">
        <v>815</v>
      </c>
      <c r="O18" s="296" t="s">
        <v>816</v>
      </c>
      <c r="P18" s="296" t="s">
        <v>815</v>
      </c>
      <c r="Q18" s="296" t="s">
        <v>816</v>
      </c>
      <c r="R18" s="296" t="s">
        <v>815</v>
      </c>
      <c r="S18" s="296" t="s">
        <v>816</v>
      </c>
      <c r="T18" s="296" t="s">
        <v>815</v>
      </c>
      <c r="U18" s="296" t="s">
        <v>816</v>
      </c>
      <c r="V18" s="296" t="s">
        <v>815</v>
      </c>
      <c r="W18" s="296" t="s">
        <v>816</v>
      </c>
      <c r="X18" s="296" t="s">
        <v>815</v>
      </c>
      <c r="Y18" s="296" t="s">
        <v>816</v>
      </c>
      <c r="Z18" s="296" t="s">
        <v>815</v>
      </c>
      <c r="AA18" s="296" t="s">
        <v>816</v>
      </c>
      <c r="AB18" s="296" t="s">
        <v>815</v>
      </c>
      <c r="AC18" s="296" t="s">
        <v>816</v>
      </c>
      <c r="AD18" s="296" t="s">
        <v>815</v>
      </c>
      <c r="AE18" s="296" t="s">
        <v>816</v>
      </c>
      <c r="AF18" s="296" t="s">
        <v>815</v>
      </c>
      <c r="AG18" s="296" t="s">
        <v>816</v>
      </c>
      <c r="AH18" s="296" t="s">
        <v>817</v>
      </c>
      <c r="AI18" s="296" t="s">
        <v>816</v>
      </c>
      <c r="AJ18" s="311"/>
      <c r="AK18" s="311"/>
      <c r="AL18" s="311"/>
      <c r="AM18" s="311"/>
      <c r="AN18" s="311"/>
      <c r="AO18" s="311"/>
      <c r="AP18" s="311"/>
      <c r="AQ18" s="311"/>
      <c r="AR18" s="311"/>
      <c r="AS18" s="311"/>
      <c r="AT18" s="311"/>
      <c r="AU18" s="311"/>
      <c r="AV18" s="311"/>
      <c r="AW18" s="311"/>
      <c r="AX18" s="290"/>
      <c r="AY18" s="290"/>
      <c r="AZ18" s="290"/>
      <c r="BA18" s="290"/>
      <c r="BB18" s="290"/>
    </row>
    <row r="19" spans="1:54" x14ac:dyDescent="0.35">
      <c r="A19" s="312" t="s">
        <v>818</v>
      </c>
      <c r="B19" s="313"/>
      <c r="C19" s="313"/>
      <c r="D19" s="313"/>
      <c r="E19" s="313"/>
      <c r="F19" s="313"/>
      <c r="G19" s="313"/>
      <c r="H19" s="313"/>
      <c r="I19" s="313"/>
      <c r="J19" s="313"/>
      <c r="K19" s="313"/>
      <c r="L19" s="313"/>
      <c r="M19" s="313"/>
      <c r="N19" s="313"/>
      <c r="O19" s="313"/>
      <c r="P19" s="313"/>
      <c r="Q19" s="313"/>
      <c r="R19" s="313"/>
      <c r="S19" s="313"/>
      <c r="T19" s="313"/>
      <c r="U19" s="313"/>
      <c r="V19" s="313"/>
      <c r="W19" s="313"/>
      <c r="X19" s="313"/>
      <c r="Y19" s="313"/>
      <c r="Z19" s="313"/>
      <c r="AA19" s="313"/>
      <c r="AB19" s="313"/>
      <c r="AC19" s="313"/>
      <c r="AD19" s="313"/>
      <c r="AE19" s="313"/>
      <c r="AF19" s="313"/>
      <c r="AG19" s="313"/>
      <c r="AH19" s="313"/>
      <c r="AI19" s="314"/>
      <c r="AJ19" s="311"/>
      <c r="AK19" s="311"/>
      <c r="AL19" s="311"/>
      <c r="AM19" s="311"/>
      <c r="AN19" s="311"/>
      <c r="AO19" s="311"/>
      <c r="AP19" s="311"/>
      <c r="AQ19" s="311"/>
    </row>
    <row r="20" spans="1:54" x14ac:dyDescent="0.35">
      <c r="A20" s="315" t="s">
        <v>823</v>
      </c>
      <c r="B20" s="315">
        <v>13186</v>
      </c>
      <c r="C20" s="315">
        <v>12606</v>
      </c>
      <c r="D20" s="315">
        <v>12273</v>
      </c>
      <c r="E20" s="315">
        <v>11957</v>
      </c>
      <c r="F20" s="315">
        <v>11316</v>
      </c>
      <c r="G20" s="315">
        <v>11543</v>
      </c>
      <c r="H20" s="315">
        <v>11306</v>
      </c>
      <c r="I20" s="315">
        <v>10536</v>
      </c>
      <c r="J20" s="315">
        <v>10371</v>
      </c>
      <c r="K20" s="315">
        <v>10663</v>
      </c>
      <c r="L20" s="315">
        <v>10827</v>
      </c>
      <c r="M20" s="315">
        <v>10573</v>
      </c>
      <c r="N20" s="315">
        <v>9822</v>
      </c>
      <c r="O20" s="315">
        <v>9711</v>
      </c>
      <c r="P20" s="315">
        <v>9211</v>
      </c>
      <c r="Q20" s="315">
        <v>9245</v>
      </c>
      <c r="R20" s="315">
        <v>9567</v>
      </c>
      <c r="S20" s="315">
        <v>9524</v>
      </c>
      <c r="T20" s="315">
        <v>10749</v>
      </c>
      <c r="U20" s="315">
        <v>13033</v>
      </c>
      <c r="V20" s="315">
        <v>16183</v>
      </c>
      <c r="W20" s="315">
        <v>17902</v>
      </c>
      <c r="X20" s="315">
        <v>20206</v>
      </c>
      <c r="Y20" s="315">
        <v>20688</v>
      </c>
      <c r="Z20" s="315">
        <v>21653</v>
      </c>
      <c r="AA20" s="315">
        <v>20009</v>
      </c>
      <c r="AB20" s="315">
        <v>21005</v>
      </c>
      <c r="AC20" s="315">
        <v>19286</v>
      </c>
      <c r="AD20" s="315">
        <v>18236</v>
      </c>
      <c r="AE20" s="315">
        <v>17904</v>
      </c>
      <c r="AF20" s="315">
        <v>19719</v>
      </c>
      <c r="AG20" s="315">
        <v>21188</v>
      </c>
      <c r="AH20" s="315">
        <v>22463</v>
      </c>
      <c r="AI20" s="315">
        <v>21045</v>
      </c>
      <c r="AJ20" s="311"/>
      <c r="AK20" s="311"/>
      <c r="AL20" s="311"/>
      <c r="AM20" s="311"/>
      <c r="AN20" s="311"/>
      <c r="AO20" s="311"/>
      <c r="AP20" s="311"/>
      <c r="AQ20" s="311"/>
      <c r="AR20" s="311"/>
      <c r="AS20" s="311"/>
      <c r="AT20" s="311"/>
      <c r="AU20" s="311"/>
      <c r="AV20" s="311"/>
      <c r="AW20" s="311"/>
      <c r="AX20" s="311"/>
      <c r="AY20" s="311"/>
      <c r="AZ20" s="311"/>
      <c r="BA20" s="311"/>
      <c r="BB20" s="311"/>
    </row>
    <row r="21" spans="1:54" x14ac:dyDescent="0.35">
      <c r="A21" s="315" t="s">
        <v>824</v>
      </c>
      <c r="B21" s="315">
        <v>3921</v>
      </c>
      <c r="C21" s="315">
        <v>3963</v>
      </c>
      <c r="D21" s="315">
        <v>4050</v>
      </c>
      <c r="E21" s="315">
        <v>4095</v>
      </c>
      <c r="F21" s="315">
        <v>4222</v>
      </c>
      <c r="G21" s="315">
        <v>3678</v>
      </c>
      <c r="H21" s="315">
        <v>3132</v>
      </c>
      <c r="I21" s="315">
        <v>2500</v>
      </c>
      <c r="J21" s="315">
        <v>2182</v>
      </c>
      <c r="K21" s="315">
        <v>1958</v>
      </c>
      <c r="L21" s="315">
        <v>1720</v>
      </c>
      <c r="M21" s="315">
        <v>1580</v>
      </c>
      <c r="N21" s="315">
        <v>1425</v>
      </c>
      <c r="O21" s="315">
        <v>1335</v>
      </c>
      <c r="P21" s="315">
        <v>1254</v>
      </c>
      <c r="Q21" s="315">
        <v>1176</v>
      </c>
      <c r="R21" s="315">
        <v>1060</v>
      </c>
      <c r="S21" s="315">
        <v>939</v>
      </c>
      <c r="T21" s="315">
        <v>889</v>
      </c>
      <c r="U21" s="315">
        <v>848</v>
      </c>
      <c r="V21" s="315">
        <v>824</v>
      </c>
      <c r="W21" s="315">
        <v>818</v>
      </c>
      <c r="X21" s="315">
        <v>836</v>
      </c>
      <c r="Y21" s="315">
        <v>808</v>
      </c>
      <c r="Z21" s="315">
        <v>761</v>
      </c>
      <c r="AA21" s="315">
        <v>703</v>
      </c>
      <c r="AB21" s="315">
        <v>649</v>
      </c>
      <c r="AC21" s="315">
        <v>623</v>
      </c>
      <c r="AD21" s="315">
        <v>631</v>
      </c>
      <c r="AE21" s="315">
        <v>626</v>
      </c>
      <c r="AF21" s="315">
        <v>368</v>
      </c>
      <c r="AG21" s="315">
        <v>386</v>
      </c>
      <c r="AH21" s="315">
        <v>395</v>
      </c>
      <c r="AI21" s="315">
        <v>424</v>
      </c>
      <c r="AJ21" s="311"/>
      <c r="AK21" s="311"/>
      <c r="AL21" s="311"/>
      <c r="AM21" s="311"/>
      <c r="AN21" s="311"/>
      <c r="AO21" s="311"/>
      <c r="AP21" s="311"/>
      <c r="AQ21" s="311"/>
    </row>
    <row r="22" spans="1:54" x14ac:dyDescent="0.35">
      <c r="A22" s="315" t="s">
        <v>825</v>
      </c>
      <c r="B22" s="315">
        <v>1426</v>
      </c>
      <c r="C22" s="315">
        <v>1456</v>
      </c>
      <c r="D22" s="315">
        <v>1487</v>
      </c>
      <c r="E22" s="315">
        <v>1531</v>
      </c>
      <c r="F22" s="315">
        <v>1556</v>
      </c>
      <c r="G22" s="315">
        <v>1569</v>
      </c>
      <c r="H22" s="315">
        <v>1600</v>
      </c>
      <c r="I22" s="315">
        <v>1556</v>
      </c>
      <c r="J22" s="315">
        <v>1526</v>
      </c>
      <c r="K22" s="315">
        <v>1529</v>
      </c>
      <c r="L22" s="315">
        <v>1406</v>
      </c>
      <c r="M22" s="315">
        <v>1349</v>
      </c>
      <c r="N22" s="315">
        <v>1295</v>
      </c>
      <c r="O22" s="315">
        <v>1284</v>
      </c>
      <c r="P22" s="315">
        <v>1253</v>
      </c>
      <c r="Q22" s="315">
        <v>1269</v>
      </c>
      <c r="R22" s="315">
        <v>1113</v>
      </c>
      <c r="S22" s="315">
        <v>838</v>
      </c>
      <c r="T22" s="315">
        <v>704</v>
      </c>
      <c r="U22" s="315">
        <v>620</v>
      </c>
      <c r="V22" s="315">
        <v>589</v>
      </c>
      <c r="W22" s="315">
        <v>527</v>
      </c>
      <c r="X22" s="315">
        <v>494</v>
      </c>
      <c r="Y22" s="315">
        <v>457</v>
      </c>
      <c r="Z22" s="315">
        <v>433</v>
      </c>
      <c r="AA22" s="315">
        <v>419</v>
      </c>
      <c r="AB22" s="315">
        <v>413</v>
      </c>
      <c r="AC22" s="315">
        <v>408</v>
      </c>
      <c r="AD22" s="315">
        <v>408</v>
      </c>
      <c r="AE22" s="315">
        <v>392</v>
      </c>
      <c r="AF22" s="315">
        <v>238</v>
      </c>
      <c r="AG22" s="315">
        <v>230</v>
      </c>
      <c r="AH22" s="315">
        <v>220</v>
      </c>
      <c r="AI22" s="315">
        <v>224</v>
      </c>
      <c r="AJ22" s="311"/>
      <c r="AK22" s="311"/>
      <c r="AL22" s="311"/>
      <c r="AM22" s="311"/>
      <c r="AN22" s="311"/>
      <c r="AO22" s="311"/>
      <c r="AP22" s="311"/>
      <c r="AQ22" s="311"/>
      <c r="AR22" s="311"/>
      <c r="AS22" s="311"/>
      <c r="AT22" s="311"/>
      <c r="AU22" s="311"/>
      <c r="AV22" s="311"/>
      <c r="AW22" s="311"/>
      <c r="AX22" s="290"/>
      <c r="AY22" s="290"/>
      <c r="AZ22" s="290"/>
    </row>
    <row r="23" spans="1:54" ht="16" thickBot="1" x14ac:dyDescent="0.4">
      <c r="A23" s="316" t="s">
        <v>826</v>
      </c>
      <c r="B23" s="316">
        <v>432</v>
      </c>
      <c r="C23" s="316">
        <v>445</v>
      </c>
      <c r="D23" s="316">
        <v>443</v>
      </c>
      <c r="E23" s="316">
        <v>469</v>
      </c>
      <c r="F23" s="316">
        <v>447</v>
      </c>
      <c r="G23" s="316">
        <v>433</v>
      </c>
      <c r="H23" s="316">
        <v>440</v>
      </c>
      <c r="I23" s="316">
        <v>415</v>
      </c>
      <c r="J23" s="316">
        <v>392</v>
      </c>
      <c r="K23" s="316">
        <v>364</v>
      </c>
      <c r="L23" s="316">
        <v>338</v>
      </c>
      <c r="M23" s="316">
        <v>332</v>
      </c>
      <c r="N23" s="316">
        <v>317</v>
      </c>
      <c r="O23" s="316">
        <v>304</v>
      </c>
      <c r="P23" s="316">
        <v>288</v>
      </c>
      <c r="Q23" s="316">
        <v>276</v>
      </c>
      <c r="R23" s="316">
        <v>262</v>
      </c>
      <c r="S23" s="316">
        <v>232</v>
      </c>
      <c r="T23" s="316">
        <v>206</v>
      </c>
      <c r="U23" s="316">
        <v>201</v>
      </c>
      <c r="V23" s="316">
        <v>195</v>
      </c>
      <c r="W23" s="316">
        <v>201</v>
      </c>
      <c r="X23" s="316">
        <v>200</v>
      </c>
      <c r="Y23" s="316">
        <v>197</v>
      </c>
      <c r="Z23" s="316">
        <v>190</v>
      </c>
      <c r="AA23" s="316">
        <v>189</v>
      </c>
      <c r="AB23" s="316">
        <v>183</v>
      </c>
      <c r="AC23" s="316">
        <v>181</v>
      </c>
      <c r="AD23" s="316">
        <v>179</v>
      </c>
      <c r="AE23" s="316">
        <v>190</v>
      </c>
      <c r="AF23" s="316">
        <v>87</v>
      </c>
      <c r="AG23" s="316">
        <v>88</v>
      </c>
      <c r="AH23" s="316">
        <v>90</v>
      </c>
      <c r="AI23" s="316">
        <v>91</v>
      </c>
      <c r="AJ23" s="311"/>
      <c r="AK23" s="311"/>
      <c r="AL23" s="311"/>
      <c r="AM23" s="311"/>
      <c r="AN23" s="311"/>
      <c r="AO23" s="311"/>
      <c r="AP23" s="311"/>
      <c r="AQ23" s="311"/>
      <c r="AR23" s="311"/>
      <c r="AT23" s="311"/>
      <c r="AU23" s="311"/>
      <c r="AV23" s="311"/>
      <c r="AW23" s="311"/>
    </row>
    <row r="24" spans="1:54" x14ac:dyDescent="0.35">
      <c r="A24" s="317" t="s">
        <v>1</v>
      </c>
      <c r="B24" s="317">
        <f>SUM(B20:B23)</f>
        <v>18965</v>
      </c>
      <c r="C24" s="317">
        <f t="shared" ref="C24:M24" si="0">SUM(C20:C23)</f>
        <v>18470</v>
      </c>
      <c r="D24" s="317">
        <f t="shared" si="0"/>
        <v>18253</v>
      </c>
      <c r="E24" s="317">
        <f t="shared" si="0"/>
        <v>18052</v>
      </c>
      <c r="F24" s="317">
        <f t="shared" si="0"/>
        <v>17541</v>
      </c>
      <c r="G24" s="317">
        <f t="shared" si="0"/>
        <v>17223</v>
      </c>
      <c r="H24" s="317">
        <f t="shared" si="0"/>
        <v>16478</v>
      </c>
      <c r="I24" s="317">
        <f t="shared" si="0"/>
        <v>15007</v>
      </c>
      <c r="J24" s="317">
        <f t="shared" si="0"/>
        <v>14471</v>
      </c>
      <c r="K24" s="317">
        <f t="shared" si="0"/>
        <v>14514</v>
      </c>
      <c r="L24" s="317">
        <f t="shared" si="0"/>
        <v>14291</v>
      </c>
      <c r="M24" s="317">
        <f t="shared" si="0"/>
        <v>13834</v>
      </c>
      <c r="N24" s="317">
        <v>12859</v>
      </c>
      <c r="O24" s="317">
        <v>12634</v>
      </c>
      <c r="P24" s="317">
        <v>12006</v>
      </c>
      <c r="Q24" s="317">
        <v>11966</v>
      </c>
      <c r="R24" s="317">
        <v>12002</v>
      </c>
      <c r="S24" s="317">
        <v>11533</v>
      </c>
      <c r="T24" s="317">
        <v>12548</v>
      </c>
      <c r="U24" s="317">
        <v>14702</v>
      </c>
      <c r="V24" s="317">
        <v>17791</v>
      </c>
      <c r="W24" s="317">
        <v>19448</v>
      </c>
      <c r="X24" s="317">
        <v>21736</v>
      </c>
      <c r="Y24" s="317">
        <v>22150</v>
      </c>
      <c r="Z24" s="317">
        <v>23037</v>
      </c>
      <c r="AA24" s="317">
        <v>21320</v>
      </c>
      <c r="AB24" s="317">
        <v>22250</v>
      </c>
      <c r="AC24" s="317">
        <v>20498</v>
      </c>
      <c r="AD24" s="317">
        <v>19454</v>
      </c>
      <c r="AE24" s="317">
        <v>19112</v>
      </c>
      <c r="AF24" s="317">
        <v>20412</v>
      </c>
      <c r="AG24" s="317">
        <v>21892</v>
      </c>
      <c r="AH24" s="315">
        <v>23168</v>
      </c>
      <c r="AI24" s="308">
        <v>21784</v>
      </c>
      <c r="AJ24" s="311"/>
      <c r="AK24" s="311"/>
      <c r="AL24" s="311"/>
      <c r="AM24" s="311"/>
      <c r="AN24" s="311"/>
      <c r="AO24" s="311"/>
      <c r="AP24" s="311"/>
      <c r="AQ24" s="311"/>
      <c r="AR24" s="311"/>
      <c r="AS24" s="311"/>
      <c r="AT24" s="311"/>
      <c r="AU24" s="311"/>
      <c r="AV24" s="311"/>
      <c r="AW24" s="311"/>
      <c r="AX24" s="311"/>
      <c r="AY24" s="311"/>
      <c r="AZ24" s="311"/>
      <c r="BA24" s="311"/>
      <c r="BB24" s="311"/>
    </row>
    <row r="25" spans="1:54" x14ac:dyDescent="0.35">
      <c r="A25" s="312" t="s">
        <v>819</v>
      </c>
      <c r="B25" s="313"/>
      <c r="C25" s="313"/>
      <c r="D25" s="313"/>
      <c r="E25" s="313"/>
      <c r="F25" s="313"/>
      <c r="G25" s="313"/>
      <c r="H25" s="313"/>
      <c r="I25" s="313"/>
      <c r="J25" s="313"/>
      <c r="K25" s="313"/>
      <c r="L25" s="313"/>
      <c r="M25" s="313"/>
      <c r="N25" s="313"/>
      <c r="O25" s="313"/>
      <c r="P25" s="313"/>
      <c r="Q25" s="313"/>
      <c r="R25" s="313"/>
      <c r="S25" s="313"/>
      <c r="T25" s="313"/>
      <c r="U25" s="313"/>
      <c r="V25" s="313"/>
      <c r="W25" s="313"/>
      <c r="X25" s="313"/>
      <c r="Y25" s="313"/>
      <c r="Z25" s="313"/>
      <c r="AA25" s="313"/>
      <c r="AB25" s="313"/>
      <c r="AC25" s="313"/>
      <c r="AD25" s="313"/>
      <c r="AE25" s="313"/>
      <c r="AF25" s="313"/>
      <c r="AG25" s="313"/>
      <c r="AH25" s="313"/>
      <c r="AI25" s="314"/>
      <c r="AJ25" s="311"/>
      <c r="AK25" s="311"/>
      <c r="AL25" s="311"/>
      <c r="AM25" s="311"/>
      <c r="AN25" s="311"/>
      <c r="AO25" s="311"/>
      <c r="AP25" s="311"/>
      <c r="AQ25" s="311"/>
      <c r="AR25" s="311"/>
      <c r="AT25" s="311"/>
      <c r="AU25" s="311"/>
      <c r="AV25" s="311"/>
      <c r="AW25" s="311"/>
      <c r="AX25" s="311"/>
      <c r="AY25" s="311"/>
      <c r="AZ25" s="311"/>
    </row>
    <row r="26" spans="1:54" x14ac:dyDescent="0.35">
      <c r="A26" s="315" t="s">
        <v>823</v>
      </c>
      <c r="B26" s="315">
        <v>244</v>
      </c>
      <c r="C26" s="315">
        <v>197</v>
      </c>
      <c r="D26" s="315">
        <v>99</v>
      </c>
      <c r="E26" s="315">
        <v>116</v>
      </c>
      <c r="F26" s="315">
        <v>89</v>
      </c>
      <c r="G26" s="315">
        <v>228</v>
      </c>
      <c r="H26" s="315">
        <v>209</v>
      </c>
      <c r="I26" s="315">
        <v>146</v>
      </c>
      <c r="J26" s="315">
        <v>149</v>
      </c>
      <c r="K26" s="315">
        <v>211</v>
      </c>
      <c r="L26" s="315">
        <v>153</v>
      </c>
      <c r="M26" s="315">
        <v>227</v>
      </c>
      <c r="N26" s="315">
        <v>164</v>
      </c>
      <c r="O26" s="315">
        <v>554</v>
      </c>
      <c r="P26" s="315">
        <v>416</v>
      </c>
      <c r="Q26" s="315">
        <v>257</v>
      </c>
      <c r="R26" s="315">
        <v>1051</v>
      </c>
      <c r="S26" s="315">
        <v>1225</v>
      </c>
      <c r="T26" s="315">
        <v>1016</v>
      </c>
      <c r="U26" s="315">
        <v>320</v>
      </c>
      <c r="V26" s="315">
        <v>484</v>
      </c>
      <c r="W26" s="315">
        <v>1226</v>
      </c>
      <c r="X26" s="315">
        <v>1119</v>
      </c>
      <c r="Y26" s="315">
        <v>935</v>
      </c>
      <c r="Z26" s="315">
        <v>1135</v>
      </c>
      <c r="AA26" s="315">
        <v>1092</v>
      </c>
      <c r="AB26" s="315">
        <v>1195</v>
      </c>
      <c r="AC26" s="315">
        <v>1165</v>
      </c>
      <c r="AD26" s="315">
        <v>775</v>
      </c>
      <c r="AE26" s="315">
        <v>591</v>
      </c>
      <c r="AF26" s="315">
        <v>895</v>
      </c>
      <c r="AG26" s="315">
        <v>979</v>
      </c>
      <c r="AH26" s="315">
        <v>1180</v>
      </c>
      <c r="AI26" s="315">
        <v>1442</v>
      </c>
      <c r="AJ26" s="311"/>
      <c r="AK26" s="311"/>
      <c r="AL26" s="311"/>
      <c r="AM26" s="311"/>
      <c r="AN26" s="311"/>
      <c r="AO26" s="311"/>
      <c r="AP26" s="311"/>
      <c r="AQ26" s="311"/>
      <c r="AR26" s="311"/>
      <c r="AS26" s="311"/>
      <c r="AT26" s="311"/>
      <c r="AU26" s="311"/>
      <c r="AV26" s="311"/>
      <c r="AW26" s="311"/>
    </row>
    <row r="27" spans="1:54" x14ac:dyDescent="0.35">
      <c r="A27" s="315" t="s">
        <v>824</v>
      </c>
      <c r="B27" s="315">
        <v>42</v>
      </c>
      <c r="C27" s="315">
        <v>40</v>
      </c>
      <c r="D27" s="315">
        <v>40</v>
      </c>
      <c r="E27" s="315">
        <v>26</v>
      </c>
      <c r="F27" s="315">
        <v>12</v>
      </c>
      <c r="G27" s="315">
        <v>10</v>
      </c>
      <c r="H27" s="315">
        <v>12</v>
      </c>
      <c r="I27" s="315">
        <v>2</v>
      </c>
      <c r="J27" s="315">
        <v>2</v>
      </c>
      <c r="K27" s="315">
        <v>2</v>
      </c>
      <c r="L27" s="315">
        <v>2</v>
      </c>
      <c r="M27" s="315">
        <v>0</v>
      </c>
      <c r="N27" s="315">
        <v>0</v>
      </c>
      <c r="O27" s="315">
        <v>0</v>
      </c>
      <c r="P27" s="315">
        <v>0</v>
      </c>
      <c r="Q27" s="315">
        <v>0</v>
      </c>
      <c r="R27" s="315">
        <v>0</v>
      </c>
      <c r="S27" s="315">
        <v>0</v>
      </c>
      <c r="T27" s="315">
        <v>0</v>
      </c>
      <c r="U27" s="315">
        <v>0</v>
      </c>
      <c r="V27" s="315">
        <v>0</v>
      </c>
      <c r="W27" s="315">
        <v>0</v>
      </c>
      <c r="X27" s="315">
        <v>0</v>
      </c>
      <c r="Y27" s="315">
        <v>0</v>
      </c>
      <c r="Z27" s="315">
        <v>0</v>
      </c>
      <c r="AA27" s="315">
        <v>0</v>
      </c>
      <c r="AB27" s="315">
        <v>0</v>
      </c>
      <c r="AC27" s="315">
        <v>0</v>
      </c>
      <c r="AD27" s="315">
        <v>0</v>
      </c>
      <c r="AE27" s="315"/>
      <c r="AF27" s="318">
        <v>0</v>
      </c>
      <c r="AG27" s="318">
        <v>0</v>
      </c>
      <c r="AH27" s="318">
        <v>0</v>
      </c>
      <c r="AI27" s="300" t="s">
        <v>799</v>
      </c>
      <c r="AO27" s="311"/>
      <c r="AP27" s="311"/>
      <c r="AQ27" s="311"/>
      <c r="AT27" s="311"/>
      <c r="AU27" s="311"/>
      <c r="AW27" s="311"/>
      <c r="AX27" s="311"/>
      <c r="AY27" s="311"/>
      <c r="AZ27" s="311"/>
    </row>
    <row r="28" spans="1:54" x14ac:dyDescent="0.35">
      <c r="A28" s="315" t="s">
        <v>825</v>
      </c>
      <c r="B28" s="315">
        <v>0</v>
      </c>
      <c r="C28" s="315">
        <v>0</v>
      </c>
      <c r="D28" s="315">
        <v>0</v>
      </c>
      <c r="E28" s="315">
        <v>15</v>
      </c>
      <c r="F28" s="315">
        <v>25</v>
      </c>
      <c r="G28" s="315">
        <v>25</v>
      </c>
      <c r="H28" s="315">
        <v>24</v>
      </c>
      <c r="I28" s="315">
        <v>22</v>
      </c>
      <c r="J28" s="315">
        <v>20</v>
      </c>
      <c r="K28" s="315">
        <v>20</v>
      </c>
      <c r="L28" s="315">
        <v>20</v>
      </c>
      <c r="M28" s="315">
        <v>12</v>
      </c>
      <c r="N28" s="315">
        <v>10</v>
      </c>
      <c r="O28" s="315">
        <v>10</v>
      </c>
      <c r="P28" s="315">
        <v>0</v>
      </c>
      <c r="Q28" s="315">
        <v>0</v>
      </c>
      <c r="R28" s="315">
        <v>0</v>
      </c>
      <c r="S28" s="315">
        <v>0</v>
      </c>
      <c r="T28" s="315">
        <v>0</v>
      </c>
      <c r="U28" s="315">
        <v>0</v>
      </c>
      <c r="V28" s="315">
        <v>0</v>
      </c>
      <c r="W28" s="315">
        <v>0</v>
      </c>
      <c r="X28" s="315">
        <v>0</v>
      </c>
      <c r="Y28" s="315">
        <v>0</v>
      </c>
      <c r="Z28" s="315">
        <v>0</v>
      </c>
      <c r="AA28" s="315">
        <v>0</v>
      </c>
      <c r="AB28" s="315">
        <v>0</v>
      </c>
      <c r="AC28" s="315">
        <v>0</v>
      </c>
      <c r="AD28" s="315">
        <v>0</v>
      </c>
      <c r="AE28" s="315"/>
      <c r="AF28" s="318">
        <v>0</v>
      </c>
      <c r="AG28" s="318">
        <v>0</v>
      </c>
      <c r="AH28" s="318">
        <v>0</v>
      </c>
      <c r="AI28" s="300" t="s">
        <v>799</v>
      </c>
      <c r="AJ28" s="311"/>
      <c r="AK28" s="311"/>
      <c r="AL28" s="311"/>
      <c r="AM28" s="311"/>
      <c r="AN28" s="311"/>
      <c r="AO28" s="311"/>
      <c r="AP28" s="311"/>
      <c r="AQ28" s="311"/>
      <c r="AR28" s="311"/>
      <c r="AS28" s="311"/>
      <c r="AT28" s="311"/>
      <c r="AU28" s="311"/>
      <c r="AV28" s="311"/>
      <c r="AW28" s="311"/>
      <c r="AX28" s="311"/>
      <c r="AY28" s="311"/>
      <c r="AZ28" s="311"/>
      <c r="BA28" s="311"/>
      <c r="BB28" s="311"/>
    </row>
    <row r="29" spans="1:54" ht="16" thickBot="1" x14ac:dyDescent="0.4">
      <c r="A29" s="316" t="s">
        <v>826</v>
      </c>
      <c r="B29" s="316">
        <v>0</v>
      </c>
      <c r="C29" s="316">
        <v>0</v>
      </c>
      <c r="D29" s="316">
        <v>0</v>
      </c>
      <c r="E29" s="316">
        <v>0</v>
      </c>
      <c r="F29" s="316">
        <v>0</v>
      </c>
      <c r="G29" s="316">
        <v>0</v>
      </c>
      <c r="H29" s="316">
        <v>0</v>
      </c>
      <c r="I29" s="316">
        <v>0</v>
      </c>
      <c r="J29" s="316">
        <v>0</v>
      </c>
      <c r="K29" s="316">
        <v>0</v>
      </c>
      <c r="L29" s="316">
        <v>0</v>
      </c>
      <c r="M29" s="316">
        <v>0</v>
      </c>
      <c r="N29" s="316">
        <v>0</v>
      </c>
      <c r="O29" s="316">
        <v>0</v>
      </c>
      <c r="P29" s="316">
        <v>0</v>
      </c>
      <c r="Q29" s="316">
        <v>0</v>
      </c>
      <c r="R29" s="316">
        <v>0</v>
      </c>
      <c r="S29" s="316">
        <v>0</v>
      </c>
      <c r="T29" s="316">
        <v>0</v>
      </c>
      <c r="U29" s="316">
        <v>0</v>
      </c>
      <c r="V29" s="316">
        <v>0</v>
      </c>
      <c r="W29" s="316">
        <v>0</v>
      </c>
      <c r="X29" s="316">
        <v>0</v>
      </c>
      <c r="Y29" s="316">
        <v>0</v>
      </c>
      <c r="Z29" s="316">
        <v>0</v>
      </c>
      <c r="AA29" s="316">
        <v>0</v>
      </c>
      <c r="AB29" s="316">
        <v>0</v>
      </c>
      <c r="AC29" s="316">
        <v>0</v>
      </c>
      <c r="AD29" s="316">
        <v>0</v>
      </c>
      <c r="AE29" s="316"/>
      <c r="AF29" s="319">
        <v>0</v>
      </c>
      <c r="AG29" s="319">
        <v>0</v>
      </c>
      <c r="AH29" s="319">
        <v>0</v>
      </c>
      <c r="AI29" s="304" t="s">
        <v>799</v>
      </c>
      <c r="AN29" s="311"/>
      <c r="AO29" s="311"/>
      <c r="AP29" s="311"/>
      <c r="AS29" s="311"/>
      <c r="AT29" s="311"/>
      <c r="AV29" s="311"/>
      <c r="AW29" s="311"/>
      <c r="AX29" s="311"/>
      <c r="AY29" s="311"/>
    </row>
    <row r="30" spans="1:54" x14ac:dyDescent="0.35">
      <c r="A30" s="317" t="s">
        <v>1</v>
      </c>
      <c r="B30" s="317">
        <f>SUM(B26:B29)</f>
        <v>286</v>
      </c>
      <c r="C30" s="317">
        <f t="shared" ref="C30:M30" si="1">SUM(C26:C29)</f>
        <v>237</v>
      </c>
      <c r="D30" s="317">
        <f t="shared" si="1"/>
        <v>139</v>
      </c>
      <c r="E30" s="317">
        <f t="shared" si="1"/>
        <v>157</v>
      </c>
      <c r="F30" s="317">
        <f t="shared" si="1"/>
        <v>126</v>
      </c>
      <c r="G30" s="317">
        <f t="shared" si="1"/>
        <v>263</v>
      </c>
      <c r="H30" s="317">
        <f t="shared" si="1"/>
        <v>245</v>
      </c>
      <c r="I30" s="317">
        <f t="shared" si="1"/>
        <v>170</v>
      </c>
      <c r="J30" s="317">
        <f t="shared" si="1"/>
        <v>171</v>
      </c>
      <c r="K30" s="317">
        <f t="shared" si="1"/>
        <v>233</v>
      </c>
      <c r="L30" s="317">
        <f t="shared" si="1"/>
        <v>175</v>
      </c>
      <c r="M30" s="317">
        <f t="shared" si="1"/>
        <v>239</v>
      </c>
      <c r="N30" s="317">
        <v>174</v>
      </c>
      <c r="O30" s="317">
        <v>564</v>
      </c>
      <c r="P30" s="317">
        <v>416</v>
      </c>
      <c r="Q30" s="317">
        <v>257</v>
      </c>
      <c r="R30" s="317">
        <v>1051</v>
      </c>
      <c r="S30" s="317">
        <v>1225</v>
      </c>
      <c r="T30" s="317">
        <v>1016</v>
      </c>
      <c r="U30" s="317">
        <v>320</v>
      </c>
      <c r="V30" s="317">
        <v>484</v>
      </c>
      <c r="W30" s="317">
        <v>1226</v>
      </c>
      <c r="X30" s="317">
        <v>1119</v>
      </c>
      <c r="Y30" s="317">
        <v>935</v>
      </c>
      <c r="Z30" s="317">
        <v>1135</v>
      </c>
      <c r="AA30" s="317">
        <v>1092</v>
      </c>
      <c r="AB30" s="317">
        <v>1195</v>
      </c>
      <c r="AC30" s="317">
        <v>1165</v>
      </c>
      <c r="AD30" s="317">
        <v>775</v>
      </c>
      <c r="AE30" s="317">
        <v>591</v>
      </c>
      <c r="AF30" s="317">
        <v>895</v>
      </c>
      <c r="AG30" s="317">
        <v>979</v>
      </c>
      <c r="AH30" s="317">
        <v>1180</v>
      </c>
      <c r="AI30" s="317">
        <v>1442</v>
      </c>
      <c r="AJ30" s="311"/>
      <c r="AK30" s="311"/>
      <c r="AL30" s="311"/>
      <c r="AM30" s="311"/>
      <c r="AN30" s="311"/>
      <c r="AO30" s="311"/>
      <c r="AP30" s="311"/>
      <c r="AQ30" s="311"/>
      <c r="AR30" s="311"/>
      <c r="AS30" s="311"/>
      <c r="AT30" s="311"/>
      <c r="AU30" s="311"/>
      <c r="AV30" s="311"/>
      <c r="AW30" s="311"/>
    </row>
    <row r="31" spans="1:54" x14ac:dyDescent="0.35">
      <c r="A31" s="312" t="s">
        <v>820</v>
      </c>
      <c r="B31" s="313"/>
      <c r="C31" s="313"/>
      <c r="D31" s="313"/>
      <c r="E31" s="313"/>
      <c r="F31" s="313"/>
      <c r="G31" s="313"/>
      <c r="H31" s="313"/>
      <c r="I31" s="313"/>
      <c r="J31" s="313"/>
      <c r="K31" s="313"/>
      <c r="L31" s="313"/>
      <c r="M31" s="313"/>
      <c r="N31" s="313"/>
      <c r="O31" s="313"/>
      <c r="P31" s="313"/>
      <c r="Q31" s="313"/>
      <c r="R31" s="313"/>
      <c r="S31" s="313"/>
      <c r="T31" s="313"/>
      <c r="U31" s="313"/>
      <c r="V31" s="313"/>
      <c r="W31" s="313"/>
      <c r="X31" s="313"/>
      <c r="Y31" s="313"/>
      <c r="Z31" s="313"/>
      <c r="AA31" s="313"/>
      <c r="AB31" s="313"/>
      <c r="AC31" s="313"/>
      <c r="AD31" s="313"/>
      <c r="AE31" s="313"/>
      <c r="AF31" s="313"/>
      <c r="AG31" s="313"/>
      <c r="AH31" s="313"/>
      <c r="AI31" s="314"/>
      <c r="AN31" s="311"/>
      <c r="AO31" s="311"/>
      <c r="AP31" s="311"/>
      <c r="AS31" s="311"/>
      <c r="AT31" s="311"/>
      <c r="AV31" s="311"/>
      <c r="AW31" s="311"/>
      <c r="AX31" s="311"/>
      <c r="AY31" s="311"/>
    </row>
    <row r="32" spans="1:54" x14ac:dyDescent="0.35">
      <c r="A32" s="315" t="s">
        <v>823</v>
      </c>
      <c r="B32" s="315">
        <v>1037</v>
      </c>
      <c r="C32" s="315">
        <v>855</v>
      </c>
      <c r="D32" s="315">
        <v>795</v>
      </c>
      <c r="E32" s="315">
        <v>644</v>
      </c>
      <c r="F32" s="315">
        <v>542</v>
      </c>
      <c r="G32" s="315">
        <v>502</v>
      </c>
      <c r="H32" s="315">
        <v>531</v>
      </c>
      <c r="I32" s="315">
        <v>511</v>
      </c>
      <c r="J32" s="315">
        <v>487</v>
      </c>
      <c r="K32" s="315">
        <v>519</v>
      </c>
      <c r="L32" s="315">
        <v>548</v>
      </c>
      <c r="M32" s="315">
        <v>560</v>
      </c>
      <c r="N32" s="315">
        <v>648</v>
      </c>
      <c r="O32" s="315">
        <v>637</v>
      </c>
      <c r="P32" s="315">
        <v>699</v>
      </c>
      <c r="Q32" s="315">
        <v>855</v>
      </c>
      <c r="R32" s="315">
        <v>1097</v>
      </c>
      <c r="S32" s="315">
        <v>1529</v>
      </c>
      <c r="T32" s="315">
        <v>1625</v>
      </c>
      <c r="U32" s="315">
        <v>2075</v>
      </c>
      <c r="V32" s="315">
        <v>2672</v>
      </c>
      <c r="W32" s="315">
        <v>3212</v>
      </c>
      <c r="X32" s="315">
        <v>3691</v>
      </c>
      <c r="Y32" s="315">
        <v>4359</v>
      </c>
      <c r="Z32" s="315">
        <v>3336</v>
      </c>
      <c r="AA32" s="315">
        <v>3326</v>
      </c>
      <c r="AB32" s="315">
        <v>2608</v>
      </c>
      <c r="AC32" s="315">
        <v>2484</v>
      </c>
      <c r="AD32" s="315">
        <v>2225</v>
      </c>
      <c r="AE32" s="315">
        <v>2397</v>
      </c>
      <c r="AF32" s="315">
        <v>1854</v>
      </c>
      <c r="AG32" s="315">
        <v>1247</v>
      </c>
      <c r="AH32" s="315">
        <v>836</v>
      </c>
      <c r="AI32" s="315">
        <v>412</v>
      </c>
      <c r="AJ32" s="311"/>
      <c r="AK32" s="311"/>
      <c r="AL32" s="311"/>
      <c r="AM32" s="311"/>
      <c r="AN32" s="311"/>
      <c r="AO32" s="311"/>
      <c r="AP32" s="311"/>
      <c r="AQ32" s="311"/>
      <c r="AR32" s="311"/>
      <c r="AS32" s="311"/>
      <c r="AT32" s="311"/>
      <c r="AU32" s="311"/>
      <c r="AV32" s="311"/>
      <c r="AW32" s="311"/>
      <c r="AX32" s="311"/>
      <c r="AY32" s="311"/>
      <c r="AZ32" s="311"/>
      <c r="BA32" s="311"/>
      <c r="BB32" s="311"/>
    </row>
    <row r="33" spans="1:54" x14ac:dyDescent="0.35">
      <c r="A33" s="315" t="s">
        <v>824</v>
      </c>
      <c r="B33" s="315">
        <v>1207</v>
      </c>
      <c r="C33" s="315">
        <v>1052</v>
      </c>
      <c r="D33" s="315">
        <v>1013</v>
      </c>
      <c r="E33" s="315">
        <v>879</v>
      </c>
      <c r="F33" s="315">
        <v>781</v>
      </c>
      <c r="G33" s="315">
        <v>678</v>
      </c>
      <c r="H33" s="315">
        <v>552</v>
      </c>
      <c r="I33" s="315">
        <v>428</v>
      </c>
      <c r="J33" s="315">
        <v>343</v>
      </c>
      <c r="K33" s="315">
        <v>306</v>
      </c>
      <c r="L33" s="315">
        <v>257</v>
      </c>
      <c r="M33" s="315">
        <v>210</v>
      </c>
      <c r="N33" s="315">
        <v>189</v>
      </c>
      <c r="O33" s="315">
        <v>159</v>
      </c>
      <c r="P33" s="315">
        <v>130</v>
      </c>
      <c r="Q33" s="315">
        <v>112</v>
      </c>
      <c r="R33" s="315">
        <v>87</v>
      </c>
      <c r="S33" s="315">
        <v>57</v>
      </c>
      <c r="T33" s="315">
        <v>53</v>
      </c>
      <c r="U33" s="315">
        <v>46</v>
      </c>
      <c r="V33" s="315">
        <v>45</v>
      </c>
      <c r="W33" s="315">
        <v>56</v>
      </c>
      <c r="X33" s="315">
        <v>60</v>
      </c>
      <c r="Y33" s="315">
        <v>68</v>
      </c>
      <c r="Z33" s="315">
        <v>61</v>
      </c>
      <c r="AA33" s="315">
        <v>58</v>
      </c>
      <c r="AB33" s="315">
        <v>60</v>
      </c>
      <c r="AC33" s="315">
        <v>70</v>
      </c>
      <c r="AD33" s="315">
        <v>80</v>
      </c>
      <c r="AE33" s="315">
        <v>77</v>
      </c>
      <c r="AF33" s="315">
        <v>55</v>
      </c>
      <c r="AG33" s="315">
        <v>64</v>
      </c>
      <c r="AH33" s="315">
        <v>71</v>
      </c>
      <c r="AI33" s="315">
        <v>70</v>
      </c>
    </row>
    <row r="34" spans="1:54" x14ac:dyDescent="0.35">
      <c r="A34" s="315" t="s">
        <v>825</v>
      </c>
      <c r="B34" s="315">
        <v>1127</v>
      </c>
      <c r="C34" s="315">
        <v>1220</v>
      </c>
      <c r="D34" s="315">
        <v>1214</v>
      </c>
      <c r="E34" s="315">
        <v>1268</v>
      </c>
      <c r="F34" s="315">
        <v>1278</v>
      </c>
      <c r="G34" s="315">
        <v>1245</v>
      </c>
      <c r="H34" s="315">
        <v>1188</v>
      </c>
      <c r="I34" s="315">
        <v>1150</v>
      </c>
      <c r="J34" s="315">
        <v>1098</v>
      </c>
      <c r="K34" s="315">
        <v>1029</v>
      </c>
      <c r="L34" s="315">
        <v>948</v>
      </c>
      <c r="M34" s="315">
        <v>874</v>
      </c>
      <c r="N34" s="315">
        <v>826</v>
      </c>
      <c r="O34" s="315">
        <v>755</v>
      </c>
      <c r="P34" s="315">
        <v>672</v>
      </c>
      <c r="Q34" s="315">
        <v>623</v>
      </c>
      <c r="R34" s="315">
        <v>477</v>
      </c>
      <c r="S34" s="315">
        <v>181</v>
      </c>
      <c r="T34" s="315">
        <v>84</v>
      </c>
      <c r="U34" s="315">
        <v>56</v>
      </c>
      <c r="V34" s="315">
        <v>48</v>
      </c>
      <c r="W34" s="315">
        <v>41</v>
      </c>
      <c r="X34" s="315">
        <v>40</v>
      </c>
      <c r="Y34" s="315">
        <v>41</v>
      </c>
      <c r="Z34" s="315">
        <v>36</v>
      </c>
      <c r="AA34" s="315">
        <v>40</v>
      </c>
      <c r="AB34" s="315">
        <v>36</v>
      </c>
      <c r="AC34" s="315">
        <v>32</v>
      </c>
      <c r="AD34" s="315">
        <v>30</v>
      </c>
      <c r="AE34" s="315">
        <v>30</v>
      </c>
      <c r="AF34" s="315">
        <v>12</v>
      </c>
      <c r="AG34" s="315">
        <v>15</v>
      </c>
      <c r="AH34" s="315">
        <v>16</v>
      </c>
      <c r="AI34" s="315">
        <v>16</v>
      </c>
      <c r="AJ34" s="311"/>
      <c r="AK34" s="311"/>
      <c r="AL34" s="311"/>
      <c r="AM34" s="311"/>
      <c r="AN34" s="311"/>
      <c r="AO34" s="311"/>
      <c r="AP34" s="311"/>
      <c r="AQ34" s="311"/>
      <c r="AR34" s="311"/>
      <c r="AS34" s="311"/>
      <c r="AT34" s="311"/>
      <c r="AU34" s="311"/>
      <c r="AV34" s="311"/>
      <c r="AW34" s="311"/>
    </row>
    <row r="35" spans="1:54" ht="16" thickBot="1" x14ac:dyDescent="0.4">
      <c r="A35" s="316" t="s">
        <v>826</v>
      </c>
      <c r="B35" s="316">
        <v>1</v>
      </c>
      <c r="C35" s="316">
        <v>1</v>
      </c>
      <c r="D35" s="316">
        <v>1</v>
      </c>
      <c r="E35" s="316">
        <v>1</v>
      </c>
      <c r="F35" s="316">
        <v>1</v>
      </c>
      <c r="G35" s="316">
        <v>10</v>
      </c>
      <c r="H35" s="316">
        <v>12</v>
      </c>
      <c r="I35" s="316">
        <v>17</v>
      </c>
      <c r="J35" s="316">
        <v>20</v>
      </c>
      <c r="K35" s="316">
        <v>23</v>
      </c>
      <c r="L35" s="316">
        <v>32</v>
      </c>
      <c r="M35" s="316">
        <v>38</v>
      </c>
      <c r="N35" s="316">
        <v>54</v>
      </c>
      <c r="O35" s="316">
        <v>57</v>
      </c>
      <c r="P35" s="316">
        <v>65</v>
      </c>
      <c r="Q35" s="316">
        <v>64</v>
      </c>
      <c r="R35" s="316">
        <v>60</v>
      </c>
      <c r="S35" s="316">
        <v>35</v>
      </c>
      <c r="T35" s="316">
        <v>23</v>
      </c>
      <c r="U35" s="316">
        <v>14</v>
      </c>
      <c r="V35" s="316">
        <v>11</v>
      </c>
      <c r="W35" s="316">
        <v>11</v>
      </c>
      <c r="X35" s="316">
        <v>10</v>
      </c>
      <c r="Y35" s="316">
        <v>10</v>
      </c>
      <c r="Z35" s="316">
        <v>11</v>
      </c>
      <c r="AA35" s="316">
        <v>11</v>
      </c>
      <c r="AB35" s="316">
        <v>13</v>
      </c>
      <c r="AC35" s="316">
        <v>12</v>
      </c>
      <c r="AD35" s="316">
        <v>13</v>
      </c>
      <c r="AE35" s="316">
        <v>13</v>
      </c>
      <c r="AF35" s="316">
        <v>8</v>
      </c>
      <c r="AG35" s="316">
        <v>8</v>
      </c>
      <c r="AH35" s="316">
        <v>7</v>
      </c>
      <c r="AI35" s="316">
        <v>8</v>
      </c>
    </row>
    <row r="36" spans="1:54" x14ac:dyDescent="0.35">
      <c r="A36" s="317" t="s">
        <v>1</v>
      </c>
      <c r="B36" s="317">
        <v>3372</v>
      </c>
      <c r="C36" s="317">
        <v>3128</v>
      </c>
      <c r="D36" s="317">
        <v>3023</v>
      </c>
      <c r="E36" s="317">
        <v>2792</v>
      </c>
      <c r="F36" s="317">
        <v>2602</v>
      </c>
      <c r="G36" s="317">
        <v>2435</v>
      </c>
      <c r="H36" s="317">
        <v>2283</v>
      </c>
      <c r="I36" s="317">
        <v>2106</v>
      </c>
      <c r="J36" s="317">
        <v>1948</v>
      </c>
      <c r="K36" s="317">
        <v>1877</v>
      </c>
      <c r="L36" s="317">
        <v>1785</v>
      </c>
      <c r="M36" s="317">
        <v>1682</v>
      </c>
      <c r="N36" s="317">
        <v>1717</v>
      </c>
      <c r="O36" s="317">
        <v>1608</v>
      </c>
      <c r="P36" s="317">
        <v>1566</v>
      </c>
      <c r="Q36" s="317">
        <v>1654</v>
      </c>
      <c r="R36" s="317">
        <v>1721</v>
      </c>
      <c r="S36" s="317">
        <v>1802</v>
      </c>
      <c r="T36" s="317">
        <v>1785</v>
      </c>
      <c r="U36" s="317">
        <v>2191</v>
      </c>
      <c r="V36" s="317">
        <v>2776</v>
      </c>
      <c r="W36" s="317">
        <v>3320</v>
      </c>
      <c r="X36" s="317">
        <v>3801</v>
      </c>
      <c r="Y36" s="317">
        <v>4478</v>
      </c>
      <c r="Z36" s="317">
        <v>3444</v>
      </c>
      <c r="AA36" s="317">
        <v>3435</v>
      </c>
      <c r="AB36" s="317">
        <v>2717</v>
      </c>
      <c r="AC36" s="317">
        <v>2598</v>
      </c>
      <c r="AD36" s="317">
        <v>2348</v>
      </c>
      <c r="AE36" s="317">
        <v>2517</v>
      </c>
      <c r="AF36" s="317">
        <v>1929</v>
      </c>
      <c r="AG36" s="317">
        <v>1334</v>
      </c>
      <c r="AH36" s="317">
        <v>930</v>
      </c>
      <c r="AI36" s="317">
        <v>506</v>
      </c>
      <c r="AJ36" s="311"/>
      <c r="AK36" s="311"/>
      <c r="AL36" s="311"/>
      <c r="AM36" s="311"/>
      <c r="AN36" s="311"/>
      <c r="AO36" s="311"/>
      <c r="AP36" s="311"/>
      <c r="AQ36" s="311"/>
      <c r="AR36" s="311"/>
      <c r="AS36" s="311"/>
      <c r="AT36" s="311"/>
      <c r="AU36" s="311"/>
      <c r="AV36" s="311"/>
      <c r="AW36" s="311"/>
      <c r="AX36" s="311"/>
      <c r="AY36" s="311"/>
      <c r="AZ36" s="311"/>
      <c r="BA36" s="311"/>
      <c r="BB36" s="311"/>
    </row>
    <row r="37" spans="1:54" x14ac:dyDescent="0.35">
      <c r="A37" s="312" t="s">
        <v>821</v>
      </c>
      <c r="B37" s="313"/>
      <c r="C37" s="313"/>
      <c r="D37" s="313"/>
      <c r="E37" s="313"/>
      <c r="F37" s="313"/>
      <c r="G37" s="313"/>
      <c r="H37" s="313"/>
      <c r="I37" s="313"/>
      <c r="J37" s="313"/>
      <c r="K37" s="313"/>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4"/>
      <c r="AJ37" s="311"/>
      <c r="AK37" s="311"/>
      <c r="AL37" s="311"/>
      <c r="AM37" s="311"/>
      <c r="AN37" s="311"/>
      <c r="AO37" s="311"/>
      <c r="AP37" s="311"/>
      <c r="AQ37" s="311"/>
    </row>
    <row r="38" spans="1:54" x14ac:dyDescent="0.35">
      <c r="A38" s="315" t="s">
        <v>823</v>
      </c>
      <c r="B38" s="315">
        <v>38</v>
      </c>
      <c r="C38" s="315">
        <v>54</v>
      </c>
      <c r="D38" s="315">
        <v>46</v>
      </c>
      <c r="E38" s="315">
        <v>30</v>
      </c>
      <c r="F38" s="315">
        <v>7</v>
      </c>
      <c r="G38" s="315">
        <v>13</v>
      </c>
      <c r="H38" s="315">
        <v>46</v>
      </c>
      <c r="I38" s="315">
        <v>39</v>
      </c>
      <c r="J38" s="315">
        <v>20</v>
      </c>
      <c r="K38" s="315">
        <v>64</v>
      </c>
      <c r="L38" s="315">
        <v>33</v>
      </c>
      <c r="M38" s="315">
        <v>58</v>
      </c>
      <c r="N38" s="315">
        <v>90</v>
      </c>
      <c r="O38" s="315">
        <v>76</v>
      </c>
      <c r="P38" s="315">
        <v>78</v>
      </c>
      <c r="Q38" s="315">
        <v>62</v>
      </c>
      <c r="R38" s="315">
        <v>0</v>
      </c>
      <c r="S38" s="315">
        <v>0</v>
      </c>
      <c r="T38" s="315">
        <v>0</v>
      </c>
      <c r="U38" s="315">
        <v>0</v>
      </c>
      <c r="V38" s="315">
        <v>0</v>
      </c>
      <c r="W38" s="315">
        <v>0</v>
      </c>
      <c r="X38" s="315">
        <v>0</v>
      </c>
      <c r="Y38" s="315">
        <v>0</v>
      </c>
      <c r="Z38" s="315">
        <v>0</v>
      </c>
      <c r="AA38" s="315">
        <v>5</v>
      </c>
      <c r="AB38" s="315">
        <v>0</v>
      </c>
      <c r="AC38" s="315">
        <v>0</v>
      </c>
      <c r="AD38" s="315">
        <v>0</v>
      </c>
      <c r="AE38" s="315">
        <v>0</v>
      </c>
      <c r="AF38" s="315">
        <v>0</v>
      </c>
      <c r="AG38" s="315">
        <v>0</v>
      </c>
      <c r="AH38" s="315" t="s">
        <v>799</v>
      </c>
      <c r="AI38" s="300" t="s">
        <v>799</v>
      </c>
    </row>
    <row r="39" spans="1:54" x14ac:dyDescent="0.35">
      <c r="A39" s="315" t="s">
        <v>824</v>
      </c>
      <c r="B39" s="315">
        <v>49</v>
      </c>
      <c r="C39" s="315">
        <v>52</v>
      </c>
      <c r="D39" s="315">
        <v>52</v>
      </c>
      <c r="E39" s="315">
        <v>30</v>
      </c>
      <c r="F39" s="315">
        <v>36</v>
      </c>
      <c r="G39" s="315">
        <v>22</v>
      </c>
      <c r="H39" s="315">
        <v>10</v>
      </c>
      <c r="I39" s="315">
        <v>10</v>
      </c>
      <c r="J39" s="315">
        <v>10</v>
      </c>
      <c r="K39" s="315">
        <v>10</v>
      </c>
      <c r="L39" s="315">
        <v>6</v>
      </c>
      <c r="M39" s="315">
        <v>6</v>
      </c>
      <c r="N39" s="315">
        <v>3</v>
      </c>
      <c r="O39" s="315">
        <v>0</v>
      </c>
      <c r="P39" s="315">
        <v>0</v>
      </c>
      <c r="Q39" s="315">
        <v>0</v>
      </c>
      <c r="R39" s="315">
        <v>0</v>
      </c>
      <c r="S39" s="315">
        <v>0</v>
      </c>
      <c r="T39" s="315">
        <v>0</v>
      </c>
      <c r="U39" s="315">
        <v>0</v>
      </c>
      <c r="V39" s="315">
        <v>0</v>
      </c>
      <c r="W39" s="315">
        <v>0</v>
      </c>
      <c r="X39" s="315">
        <v>0</v>
      </c>
      <c r="Y39" s="315">
        <v>0</v>
      </c>
      <c r="Z39" s="315">
        <v>0</v>
      </c>
      <c r="AA39" s="315">
        <v>0</v>
      </c>
      <c r="AB39" s="315">
        <v>0</v>
      </c>
      <c r="AC39" s="315">
        <v>0</v>
      </c>
      <c r="AD39" s="315">
        <v>0</v>
      </c>
      <c r="AE39" s="315">
        <v>0</v>
      </c>
      <c r="AF39" s="315">
        <v>0</v>
      </c>
      <c r="AG39" s="315">
        <v>0</v>
      </c>
      <c r="AH39" s="315" t="s">
        <v>799</v>
      </c>
      <c r="AI39" s="300" t="s">
        <v>799</v>
      </c>
    </row>
    <row r="40" spans="1:54" x14ac:dyDescent="0.35">
      <c r="A40" s="315" t="s">
        <v>825</v>
      </c>
      <c r="B40" s="315">
        <v>0</v>
      </c>
      <c r="C40" s="315">
        <v>0</v>
      </c>
      <c r="D40" s="315">
        <v>0</v>
      </c>
      <c r="E40" s="315">
        <v>22</v>
      </c>
      <c r="F40" s="315">
        <v>26</v>
      </c>
      <c r="G40" s="315">
        <v>30</v>
      </c>
      <c r="H40" s="315">
        <v>33</v>
      </c>
      <c r="I40" s="315">
        <v>21</v>
      </c>
      <c r="J40" s="315">
        <v>21</v>
      </c>
      <c r="K40" s="315">
        <v>21</v>
      </c>
      <c r="L40" s="315">
        <v>21</v>
      </c>
      <c r="M40" s="315">
        <v>0</v>
      </c>
      <c r="N40" s="315">
        <v>0</v>
      </c>
      <c r="O40" s="315">
        <v>0</v>
      </c>
      <c r="P40" s="315">
        <v>0</v>
      </c>
      <c r="Q40" s="315">
        <v>0</v>
      </c>
      <c r="R40" s="315">
        <v>0</v>
      </c>
      <c r="S40" s="315">
        <v>0</v>
      </c>
      <c r="T40" s="315">
        <v>0</v>
      </c>
      <c r="U40" s="315">
        <v>0</v>
      </c>
      <c r="V40" s="315">
        <v>0</v>
      </c>
      <c r="W40" s="315">
        <v>0</v>
      </c>
      <c r="X40" s="315">
        <v>0</v>
      </c>
      <c r="Y40" s="315">
        <v>0</v>
      </c>
      <c r="Z40" s="315">
        <v>0</v>
      </c>
      <c r="AA40" s="315">
        <v>0</v>
      </c>
      <c r="AB40" s="315">
        <v>0</v>
      </c>
      <c r="AC40" s="315">
        <v>0</v>
      </c>
      <c r="AD40" s="315">
        <v>0</v>
      </c>
      <c r="AE40" s="315">
        <v>0</v>
      </c>
      <c r="AF40" s="315">
        <v>0</v>
      </c>
      <c r="AG40" s="315">
        <v>0</v>
      </c>
      <c r="AH40" s="315" t="s">
        <v>799</v>
      </c>
      <c r="AI40" s="300" t="s">
        <v>799</v>
      </c>
      <c r="AJ40" s="311"/>
      <c r="AK40" s="311"/>
      <c r="AL40" s="311"/>
      <c r="AM40" s="311"/>
      <c r="AN40" s="311"/>
      <c r="AO40" s="311"/>
      <c r="AP40" s="311"/>
      <c r="AQ40" s="311"/>
      <c r="AR40" s="311"/>
      <c r="AS40" s="311"/>
      <c r="AT40" s="311"/>
      <c r="AU40" s="311"/>
      <c r="AV40" s="311"/>
      <c r="AW40" s="311"/>
      <c r="AX40" s="311"/>
      <c r="AY40" s="311"/>
      <c r="AZ40" s="311"/>
    </row>
    <row r="41" spans="1:54" ht="16" thickBot="1" x14ac:dyDescent="0.4">
      <c r="A41" s="316" t="s">
        <v>826</v>
      </c>
      <c r="B41" s="316">
        <v>0</v>
      </c>
      <c r="C41" s="316">
        <v>0</v>
      </c>
      <c r="D41" s="316">
        <v>0</v>
      </c>
      <c r="E41" s="316">
        <v>0</v>
      </c>
      <c r="F41" s="316">
        <v>0</v>
      </c>
      <c r="G41" s="316">
        <v>0</v>
      </c>
      <c r="H41" s="316">
        <v>0</v>
      </c>
      <c r="I41" s="316">
        <v>0</v>
      </c>
      <c r="J41" s="316">
        <v>0</v>
      </c>
      <c r="K41" s="316">
        <v>0</v>
      </c>
      <c r="L41" s="316">
        <v>0</v>
      </c>
      <c r="M41" s="316">
        <v>0</v>
      </c>
      <c r="N41" s="316">
        <v>0</v>
      </c>
      <c r="O41" s="316">
        <v>0</v>
      </c>
      <c r="P41" s="316">
        <v>0</v>
      </c>
      <c r="Q41" s="316">
        <v>0</v>
      </c>
      <c r="R41" s="316">
        <v>0</v>
      </c>
      <c r="S41" s="316">
        <v>0</v>
      </c>
      <c r="T41" s="316">
        <v>0</v>
      </c>
      <c r="U41" s="316">
        <v>0</v>
      </c>
      <c r="V41" s="316">
        <v>0</v>
      </c>
      <c r="W41" s="316">
        <v>0</v>
      </c>
      <c r="X41" s="316">
        <v>0</v>
      </c>
      <c r="Y41" s="316">
        <v>0</v>
      </c>
      <c r="Z41" s="316">
        <v>0</v>
      </c>
      <c r="AA41" s="316">
        <v>0</v>
      </c>
      <c r="AB41" s="316">
        <v>0</v>
      </c>
      <c r="AC41" s="316">
        <v>0</v>
      </c>
      <c r="AD41" s="316">
        <v>0</v>
      </c>
      <c r="AE41" s="316">
        <v>0</v>
      </c>
      <c r="AF41" s="316">
        <v>0</v>
      </c>
      <c r="AG41" s="316">
        <v>0</v>
      </c>
      <c r="AH41" s="316" t="s">
        <v>799</v>
      </c>
      <c r="AI41" s="304" t="s">
        <v>799</v>
      </c>
    </row>
    <row r="42" spans="1:54" x14ac:dyDescent="0.35">
      <c r="A42" s="317" t="s">
        <v>1</v>
      </c>
      <c r="B42" s="317">
        <v>87</v>
      </c>
      <c r="C42" s="317">
        <v>106</v>
      </c>
      <c r="D42" s="317">
        <v>98</v>
      </c>
      <c r="E42" s="317">
        <v>82</v>
      </c>
      <c r="F42" s="317">
        <v>69</v>
      </c>
      <c r="G42" s="317">
        <v>65</v>
      </c>
      <c r="H42" s="317">
        <v>89</v>
      </c>
      <c r="I42" s="317">
        <v>70</v>
      </c>
      <c r="J42" s="317">
        <v>51</v>
      </c>
      <c r="K42" s="317">
        <v>95</v>
      </c>
      <c r="L42" s="317">
        <v>60</v>
      </c>
      <c r="M42" s="317">
        <v>64</v>
      </c>
      <c r="N42" s="317">
        <v>93</v>
      </c>
      <c r="O42" s="317">
        <v>76</v>
      </c>
      <c r="P42" s="317">
        <v>78</v>
      </c>
      <c r="Q42" s="317">
        <v>62</v>
      </c>
      <c r="R42" s="317">
        <v>0</v>
      </c>
      <c r="S42" s="317">
        <v>0</v>
      </c>
      <c r="T42" s="317">
        <v>0</v>
      </c>
      <c r="U42" s="317">
        <v>0</v>
      </c>
      <c r="V42" s="317">
        <v>0</v>
      </c>
      <c r="W42" s="317">
        <v>0</v>
      </c>
      <c r="X42" s="317">
        <v>0</v>
      </c>
      <c r="Y42" s="317">
        <v>0</v>
      </c>
      <c r="Z42" s="317">
        <v>0</v>
      </c>
      <c r="AA42" s="317">
        <v>5</v>
      </c>
      <c r="AB42" s="317">
        <v>0</v>
      </c>
      <c r="AC42" s="317">
        <v>0</v>
      </c>
      <c r="AD42" s="317">
        <v>0</v>
      </c>
      <c r="AE42" s="317">
        <v>0</v>
      </c>
      <c r="AF42" s="317">
        <v>0</v>
      </c>
      <c r="AG42" s="317">
        <v>0</v>
      </c>
      <c r="AH42" s="317" t="s">
        <v>799</v>
      </c>
      <c r="AI42" s="308" t="s">
        <v>799</v>
      </c>
    </row>
    <row r="43" spans="1:54" x14ac:dyDescent="0.35">
      <c r="A43" s="312" t="s">
        <v>1</v>
      </c>
      <c r="B43" s="313"/>
      <c r="C43" s="313"/>
      <c r="D43" s="313"/>
      <c r="E43" s="313"/>
      <c r="F43" s="313"/>
      <c r="G43" s="313"/>
      <c r="H43" s="313"/>
      <c r="I43" s="313"/>
      <c r="J43" s="313"/>
      <c r="K43" s="313"/>
      <c r="L43" s="313"/>
      <c r="M43" s="313"/>
      <c r="N43" s="313"/>
      <c r="O43" s="313"/>
      <c r="P43" s="313"/>
      <c r="Q43" s="313"/>
      <c r="R43" s="313"/>
      <c r="S43" s="313"/>
      <c r="T43" s="313"/>
      <c r="U43" s="313"/>
      <c r="V43" s="313"/>
      <c r="W43" s="313"/>
      <c r="X43" s="313"/>
      <c r="Y43" s="313"/>
      <c r="Z43" s="313"/>
      <c r="AA43" s="313"/>
      <c r="AB43" s="313"/>
      <c r="AC43" s="313"/>
      <c r="AD43" s="313"/>
      <c r="AE43" s="313"/>
      <c r="AF43" s="313"/>
      <c r="AG43" s="313"/>
      <c r="AH43" s="313"/>
      <c r="AI43" s="314"/>
    </row>
    <row r="44" spans="1:54" x14ac:dyDescent="0.35">
      <c r="A44" s="315" t="s">
        <v>823</v>
      </c>
      <c r="B44" s="315">
        <f t="shared" ref="B44:AI47" si="2">SUM(B20,B26,B32,B38)</f>
        <v>14505</v>
      </c>
      <c r="C44" s="315">
        <f t="shared" si="2"/>
        <v>13712</v>
      </c>
      <c r="D44" s="315">
        <f t="shared" si="2"/>
        <v>13213</v>
      </c>
      <c r="E44" s="315">
        <f t="shared" si="2"/>
        <v>12747</v>
      </c>
      <c r="F44" s="315">
        <f t="shared" si="2"/>
        <v>11954</v>
      </c>
      <c r="G44" s="315">
        <f t="shared" si="2"/>
        <v>12286</v>
      </c>
      <c r="H44" s="315">
        <f>SUM(H20,H26,H32,H38)</f>
        <v>12092</v>
      </c>
      <c r="I44" s="315">
        <f t="shared" si="2"/>
        <v>11232</v>
      </c>
      <c r="J44" s="315">
        <f t="shared" si="2"/>
        <v>11027</v>
      </c>
      <c r="K44" s="315">
        <f t="shared" si="2"/>
        <v>11457</v>
      </c>
      <c r="L44" s="315">
        <f t="shared" si="2"/>
        <v>11561</v>
      </c>
      <c r="M44" s="315">
        <f t="shared" si="2"/>
        <v>11418</v>
      </c>
      <c r="N44" s="315">
        <f t="shared" si="2"/>
        <v>10724</v>
      </c>
      <c r="O44" s="315">
        <f t="shared" si="2"/>
        <v>10978</v>
      </c>
      <c r="P44" s="315">
        <f t="shared" si="2"/>
        <v>10404</v>
      </c>
      <c r="Q44" s="315">
        <f t="shared" si="2"/>
        <v>10419</v>
      </c>
      <c r="R44" s="315">
        <f t="shared" si="2"/>
        <v>11715</v>
      </c>
      <c r="S44" s="315">
        <f t="shared" si="2"/>
        <v>12278</v>
      </c>
      <c r="T44" s="315">
        <f t="shared" si="2"/>
        <v>13390</v>
      </c>
      <c r="U44" s="315">
        <f t="shared" si="2"/>
        <v>15428</v>
      </c>
      <c r="V44" s="315">
        <f t="shared" si="2"/>
        <v>19339</v>
      </c>
      <c r="W44" s="315">
        <f t="shared" si="2"/>
        <v>22340</v>
      </c>
      <c r="X44" s="315">
        <f t="shared" si="2"/>
        <v>25016</v>
      </c>
      <c r="Y44" s="315">
        <f t="shared" si="2"/>
        <v>25982</v>
      </c>
      <c r="Z44" s="315">
        <f t="shared" si="2"/>
        <v>26124</v>
      </c>
      <c r="AA44" s="315">
        <f t="shared" si="2"/>
        <v>24432</v>
      </c>
      <c r="AB44" s="315">
        <f t="shared" si="2"/>
        <v>24808</v>
      </c>
      <c r="AC44" s="315">
        <f t="shared" si="2"/>
        <v>22935</v>
      </c>
      <c r="AD44" s="315">
        <f t="shared" si="2"/>
        <v>21236</v>
      </c>
      <c r="AE44" s="315">
        <f t="shared" si="2"/>
        <v>20892</v>
      </c>
      <c r="AF44" s="315">
        <f t="shared" si="2"/>
        <v>22468</v>
      </c>
      <c r="AG44" s="315">
        <f t="shared" si="2"/>
        <v>23414</v>
      </c>
      <c r="AH44" s="315">
        <f t="shared" si="2"/>
        <v>24479</v>
      </c>
      <c r="AI44" s="315">
        <f t="shared" si="2"/>
        <v>22899</v>
      </c>
    </row>
    <row r="45" spans="1:54" x14ac:dyDescent="0.35">
      <c r="A45" s="315" t="s">
        <v>824</v>
      </c>
      <c r="B45" s="315">
        <f t="shared" si="2"/>
        <v>5219</v>
      </c>
      <c r="C45" s="315">
        <f t="shared" si="2"/>
        <v>5107</v>
      </c>
      <c r="D45" s="315">
        <f t="shared" si="2"/>
        <v>5155</v>
      </c>
      <c r="E45" s="315">
        <f t="shared" si="2"/>
        <v>5030</v>
      </c>
      <c r="F45" s="315">
        <f t="shared" si="2"/>
        <v>5051</v>
      </c>
      <c r="G45" s="315">
        <f t="shared" si="2"/>
        <v>4388</v>
      </c>
      <c r="H45" s="315">
        <f t="shared" si="2"/>
        <v>3706</v>
      </c>
      <c r="I45" s="315">
        <f t="shared" si="2"/>
        <v>2940</v>
      </c>
      <c r="J45" s="315">
        <f t="shared" si="2"/>
        <v>2537</v>
      </c>
      <c r="K45" s="315">
        <f t="shared" si="2"/>
        <v>2276</v>
      </c>
      <c r="L45" s="315">
        <f t="shared" si="2"/>
        <v>1985</v>
      </c>
      <c r="M45" s="315">
        <f t="shared" si="2"/>
        <v>1796</v>
      </c>
      <c r="N45" s="315">
        <f t="shared" si="2"/>
        <v>1617</v>
      </c>
      <c r="O45" s="315">
        <f t="shared" si="2"/>
        <v>1494</v>
      </c>
      <c r="P45" s="315">
        <f t="shared" si="2"/>
        <v>1384</v>
      </c>
      <c r="Q45" s="315">
        <f t="shared" si="2"/>
        <v>1288</v>
      </c>
      <c r="R45" s="315">
        <f t="shared" si="2"/>
        <v>1147</v>
      </c>
      <c r="S45" s="315">
        <f t="shared" si="2"/>
        <v>996</v>
      </c>
      <c r="T45" s="315">
        <f t="shared" si="2"/>
        <v>942</v>
      </c>
      <c r="U45" s="315">
        <f t="shared" si="2"/>
        <v>894</v>
      </c>
      <c r="V45" s="315">
        <f t="shared" si="2"/>
        <v>869</v>
      </c>
      <c r="W45" s="315">
        <f t="shared" si="2"/>
        <v>874</v>
      </c>
      <c r="X45" s="315">
        <f t="shared" si="2"/>
        <v>896</v>
      </c>
      <c r="Y45" s="315">
        <f t="shared" si="2"/>
        <v>876</v>
      </c>
      <c r="Z45" s="315">
        <f t="shared" si="2"/>
        <v>822</v>
      </c>
      <c r="AA45" s="315">
        <f t="shared" si="2"/>
        <v>761</v>
      </c>
      <c r="AB45" s="315">
        <f t="shared" si="2"/>
        <v>709</v>
      </c>
      <c r="AC45" s="315">
        <f t="shared" si="2"/>
        <v>693</v>
      </c>
      <c r="AD45" s="315">
        <f t="shared" si="2"/>
        <v>711</v>
      </c>
      <c r="AE45" s="315">
        <f t="shared" si="2"/>
        <v>703</v>
      </c>
      <c r="AF45" s="315">
        <f t="shared" si="2"/>
        <v>423</v>
      </c>
      <c r="AG45" s="315">
        <f t="shared" si="2"/>
        <v>450</v>
      </c>
      <c r="AH45" s="315">
        <f t="shared" si="2"/>
        <v>466</v>
      </c>
      <c r="AI45" s="315">
        <f t="shared" si="2"/>
        <v>494</v>
      </c>
    </row>
    <row r="46" spans="1:54" x14ac:dyDescent="0.35">
      <c r="A46" s="315" t="s">
        <v>825</v>
      </c>
      <c r="B46" s="315">
        <f t="shared" si="2"/>
        <v>2553</v>
      </c>
      <c r="C46" s="315">
        <f t="shared" si="2"/>
        <v>2676</v>
      </c>
      <c r="D46" s="315">
        <f t="shared" si="2"/>
        <v>2701</v>
      </c>
      <c r="E46" s="315">
        <f t="shared" si="2"/>
        <v>2836</v>
      </c>
      <c r="F46" s="315">
        <f t="shared" si="2"/>
        <v>2885</v>
      </c>
      <c r="G46" s="315">
        <f t="shared" si="2"/>
        <v>2869</v>
      </c>
      <c r="H46" s="315">
        <f t="shared" si="2"/>
        <v>2845</v>
      </c>
      <c r="I46" s="315">
        <f t="shared" si="2"/>
        <v>2749</v>
      </c>
      <c r="J46" s="315">
        <f t="shared" si="2"/>
        <v>2665</v>
      </c>
      <c r="K46" s="315">
        <f t="shared" si="2"/>
        <v>2599</v>
      </c>
      <c r="L46" s="315">
        <f t="shared" si="2"/>
        <v>2395</v>
      </c>
      <c r="M46" s="315">
        <f t="shared" si="2"/>
        <v>2235</v>
      </c>
      <c r="N46" s="315">
        <f t="shared" si="2"/>
        <v>2131</v>
      </c>
      <c r="O46" s="315">
        <f t="shared" si="2"/>
        <v>2049</v>
      </c>
      <c r="P46" s="315">
        <f t="shared" si="2"/>
        <v>1925</v>
      </c>
      <c r="Q46" s="315">
        <f t="shared" si="2"/>
        <v>1892</v>
      </c>
      <c r="R46" s="315">
        <f t="shared" si="2"/>
        <v>1590</v>
      </c>
      <c r="S46" s="315">
        <f t="shared" si="2"/>
        <v>1019</v>
      </c>
      <c r="T46" s="315">
        <f t="shared" si="2"/>
        <v>788</v>
      </c>
      <c r="U46" s="315">
        <f t="shared" si="2"/>
        <v>676</v>
      </c>
      <c r="V46" s="315">
        <f t="shared" si="2"/>
        <v>637</v>
      </c>
      <c r="W46" s="315">
        <f t="shared" si="2"/>
        <v>568</v>
      </c>
      <c r="X46" s="315">
        <f t="shared" si="2"/>
        <v>534</v>
      </c>
      <c r="Y46" s="315">
        <f t="shared" si="2"/>
        <v>498</v>
      </c>
      <c r="Z46" s="315">
        <f t="shared" si="2"/>
        <v>469</v>
      </c>
      <c r="AA46" s="315">
        <f t="shared" si="2"/>
        <v>459</v>
      </c>
      <c r="AB46" s="315">
        <f t="shared" si="2"/>
        <v>449</v>
      </c>
      <c r="AC46" s="315">
        <f t="shared" si="2"/>
        <v>440</v>
      </c>
      <c r="AD46" s="315">
        <f t="shared" si="2"/>
        <v>438</v>
      </c>
      <c r="AE46" s="315">
        <f t="shared" si="2"/>
        <v>422</v>
      </c>
      <c r="AF46" s="315">
        <f t="shared" si="2"/>
        <v>250</v>
      </c>
      <c r="AG46" s="315">
        <f t="shared" si="2"/>
        <v>245</v>
      </c>
      <c r="AH46" s="315">
        <f t="shared" si="2"/>
        <v>236</v>
      </c>
      <c r="AI46" s="315">
        <f t="shared" si="2"/>
        <v>240</v>
      </c>
    </row>
    <row r="47" spans="1:54" ht="16" thickBot="1" x14ac:dyDescent="0.4">
      <c r="A47" s="316" t="s">
        <v>826</v>
      </c>
      <c r="B47" s="316">
        <f t="shared" si="2"/>
        <v>433</v>
      </c>
      <c r="C47" s="316">
        <f t="shared" si="2"/>
        <v>446</v>
      </c>
      <c r="D47" s="316">
        <f t="shared" si="2"/>
        <v>444</v>
      </c>
      <c r="E47" s="316">
        <f t="shared" si="2"/>
        <v>470</v>
      </c>
      <c r="F47" s="316">
        <f t="shared" si="2"/>
        <v>448</v>
      </c>
      <c r="G47" s="316">
        <f t="shared" si="2"/>
        <v>443</v>
      </c>
      <c r="H47" s="316">
        <f t="shared" si="2"/>
        <v>452</v>
      </c>
      <c r="I47" s="316">
        <f t="shared" si="2"/>
        <v>432</v>
      </c>
      <c r="J47" s="316">
        <f t="shared" si="2"/>
        <v>412</v>
      </c>
      <c r="K47" s="316">
        <f t="shared" si="2"/>
        <v>387</v>
      </c>
      <c r="L47" s="316">
        <f t="shared" si="2"/>
        <v>370</v>
      </c>
      <c r="M47" s="316">
        <f t="shared" si="2"/>
        <v>370</v>
      </c>
      <c r="N47" s="316">
        <f t="shared" si="2"/>
        <v>371</v>
      </c>
      <c r="O47" s="316">
        <f t="shared" si="2"/>
        <v>361</v>
      </c>
      <c r="P47" s="316">
        <f t="shared" si="2"/>
        <v>353</v>
      </c>
      <c r="Q47" s="316">
        <f t="shared" si="2"/>
        <v>340</v>
      </c>
      <c r="R47" s="316">
        <f t="shared" si="2"/>
        <v>322</v>
      </c>
      <c r="S47" s="316">
        <f t="shared" si="2"/>
        <v>267</v>
      </c>
      <c r="T47" s="316">
        <f t="shared" si="2"/>
        <v>229</v>
      </c>
      <c r="U47" s="316">
        <f t="shared" si="2"/>
        <v>215</v>
      </c>
      <c r="V47" s="316">
        <f t="shared" si="2"/>
        <v>206</v>
      </c>
      <c r="W47" s="316">
        <f t="shared" si="2"/>
        <v>212</v>
      </c>
      <c r="X47" s="316">
        <f t="shared" si="2"/>
        <v>210</v>
      </c>
      <c r="Y47" s="316">
        <f t="shared" si="2"/>
        <v>207</v>
      </c>
      <c r="Z47" s="316">
        <f t="shared" si="2"/>
        <v>201</v>
      </c>
      <c r="AA47" s="316">
        <f t="shared" si="2"/>
        <v>200</v>
      </c>
      <c r="AB47" s="316">
        <f t="shared" si="2"/>
        <v>196</v>
      </c>
      <c r="AC47" s="316">
        <f t="shared" si="2"/>
        <v>193</v>
      </c>
      <c r="AD47" s="316">
        <f t="shared" si="2"/>
        <v>192</v>
      </c>
      <c r="AE47" s="316">
        <f t="shared" si="2"/>
        <v>203</v>
      </c>
      <c r="AF47" s="316">
        <f t="shared" si="2"/>
        <v>95</v>
      </c>
      <c r="AG47" s="316">
        <f t="shared" si="2"/>
        <v>96</v>
      </c>
      <c r="AH47" s="316">
        <f t="shared" si="2"/>
        <v>97</v>
      </c>
      <c r="AI47" s="316">
        <f t="shared" si="2"/>
        <v>99</v>
      </c>
    </row>
    <row r="48" spans="1:54" x14ac:dyDescent="0.35">
      <c r="A48" s="317" t="s">
        <v>1</v>
      </c>
      <c r="B48" s="317">
        <f t="shared" ref="B48:N48" si="3">SUM(B44:B47)</f>
        <v>22710</v>
      </c>
      <c r="C48" s="317">
        <f t="shared" si="3"/>
        <v>21941</v>
      </c>
      <c r="D48" s="317">
        <f t="shared" si="3"/>
        <v>21513</v>
      </c>
      <c r="E48" s="317">
        <f t="shared" si="3"/>
        <v>21083</v>
      </c>
      <c r="F48" s="317">
        <f t="shared" si="3"/>
        <v>20338</v>
      </c>
      <c r="G48" s="317">
        <f t="shared" si="3"/>
        <v>19986</v>
      </c>
      <c r="H48" s="317">
        <f t="shared" si="3"/>
        <v>19095</v>
      </c>
      <c r="I48" s="317">
        <f t="shared" si="3"/>
        <v>17353</v>
      </c>
      <c r="J48" s="317">
        <f t="shared" si="3"/>
        <v>16641</v>
      </c>
      <c r="K48" s="317">
        <f t="shared" si="3"/>
        <v>16719</v>
      </c>
      <c r="L48" s="317">
        <f t="shared" si="3"/>
        <v>16311</v>
      </c>
      <c r="M48" s="317">
        <f t="shared" si="3"/>
        <v>15819</v>
      </c>
      <c r="N48" s="317">
        <f t="shared" si="3"/>
        <v>14843</v>
      </c>
      <c r="O48" s="317">
        <f t="shared" ref="O48:AI48" si="4">SUM(O44:O47)</f>
        <v>14882</v>
      </c>
      <c r="P48" s="317">
        <f t="shared" si="4"/>
        <v>14066</v>
      </c>
      <c r="Q48" s="317">
        <f t="shared" si="4"/>
        <v>13939</v>
      </c>
      <c r="R48" s="317">
        <f t="shared" si="4"/>
        <v>14774</v>
      </c>
      <c r="S48" s="317">
        <f t="shared" si="4"/>
        <v>14560</v>
      </c>
      <c r="T48" s="317">
        <f t="shared" si="4"/>
        <v>15349</v>
      </c>
      <c r="U48" s="317">
        <f t="shared" si="4"/>
        <v>17213</v>
      </c>
      <c r="V48" s="317">
        <f t="shared" si="4"/>
        <v>21051</v>
      </c>
      <c r="W48" s="317">
        <f t="shared" si="4"/>
        <v>23994</v>
      </c>
      <c r="X48" s="317">
        <f t="shared" si="4"/>
        <v>26656</v>
      </c>
      <c r="Y48" s="317">
        <f t="shared" si="4"/>
        <v>27563</v>
      </c>
      <c r="Z48" s="317">
        <f t="shared" si="4"/>
        <v>27616</v>
      </c>
      <c r="AA48" s="317">
        <f t="shared" si="4"/>
        <v>25852</v>
      </c>
      <c r="AB48" s="317">
        <f t="shared" si="4"/>
        <v>26162</v>
      </c>
      <c r="AC48" s="317">
        <f t="shared" si="4"/>
        <v>24261</v>
      </c>
      <c r="AD48" s="317">
        <f t="shared" si="4"/>
        <v>22577</v>
      </c>
      <c r="AE48" s="317">
        <f t="shared" si="4"/>
        <v>22220</v>
      </c>
      <c r="AF48" s="317">
        <f t="shared" si="4"/>
        <v>23236</v>
      </c>
      <c r="AG48" s="317">
        <f t="shared" si="4"/>
        <v>24205</v>
      </c>
      <c r="AH48" s="317">
        <f t="shared" si="4"/>
        <v>25278</v>
      </c>
      <c r="AI48" s="317">
        <f t="shared" si="4"/>
        <v>23732</v>
      </c>
    </row>
    <row r="49" spans="2:31" x14ac:dyDescent="0.35">
      <c r="B49" s="311"/>
      <c r="C49" s="311"/>
      <c r="D49" s="311"/>
      <c r="E49" s="311"/>
      <c r="F49" s="311"/>
      <c r="G49" s="311"/>
      <c r="H49" s="311"/>
      <c r="I49" s="311"/>
      <c r="J49" s="311"/>
      <c r="K49" s="311"/>
      <c r="L49" s="311"/>
      <c r="M49" s="311"/>
    </row>
    <row r="50" spans="2:31" x14ac:dyDescent="0.35">
      <c r="N50" s="311"/>
      <c r="O50" s="311"/>
      <c r="P50" s="311"/>
      <c r="Q50" s="311"/>
      <c r="R50" s="311"/>
      <c r="S50" s="311"/>
      <c r="T50" s="311"/>
      <c r="U50" s="311"/>
      <c r="V50" s="311"/>
      <c r="W50" s="311"/>
      <c r="X50" s="311"/>
      <c r="Y50" s="311"/>
      <c r="Z50" s="311"/>
      <c r="AA50" s="311"/>
      <c r="AB50" s="311"/>
      <c r="AC50" s="311"/>
      <c r="AD50" s="311"/>
      <c r="AE50" s="290"/>
    </row>
    <row r="52" spans="2:31" x14ac:dyDescent="0.35">
      <c r="N52" s="311"/>
      <c r="O52" s="311"/>
      <c r="P52" s="311"/>
      <c r="Q52" s="311"/>
      <c r="R52" s="311"/>
      <c r="S52" s="311"/>
      <c r="T52" s="311"/>
      <c r="U52" s="311"/>
      <c r="V52" s="311"/>
      <c r="W52" s="311"/>
      <c r="X52" s="311"/>
      <c r="Y52" s="311"/>
      <c r="Z52" s="311"/>
      <c r="AA52" s="311"/>
      <c r="AB52" s="311"/>
      <c r="AC52" s="311"/>
      <c r="AD52" s="311"/>
      <c r="AE52" s="311"/>
    </row>
    <row r="53" spans="2:31" x14ac:dyDescent="0.35">
      <c r="N53" s="311"/>
      <c r="O53" s="311"/>
      <c r="P53" s="311"/>
      <c r="Q53" s="311"/>
      <c r="R53" s="311"/>
      <c r="S53" s="311"/>
    </row>
    <row r="54" spans="2:31" x14ac:dyDescent="0.35">
      <c r="N54" s="311"/>
      <c r="O54" s="311"/>
      <c r="P54" s="311"/>
      <c r="Q54" s="311"/>
      <c r="R54" s="311"/>
      <c r="S54" s="311"/>
      <c r="T54" s="311"/>
    </row>
    <row r="56" spans="2:31" x14ac:dyDescent="0.35">
      <c r="N56" s="311"/>
      <c r="O56" s="311"/>
      <c r="P56" s="311"/>
      <c r="Q56" s="311"/>
      <c r="R56" s="311"/>
      <c r="S56" s="311"/>
      <c r="T56" s="311"/>
      <c r="U56" s="311"/>
      <c r="V56" s="311"/>
      <c r="W56" s="311"/>
      <c r="X56" s="311"/>
      <c r="Y56" s="311"/>
      <c r="Z56" s="311"/>
      <c r="AA56" s="311"/>
      <c r="AB56" s="311"/>
      <c r="AC56" s="311"/>
      <c r="AD56" s="311"/>
      <c r="AE56" s="311"/>
    </row>
  </sheetData>
  <mergeCells count="36">
    <mergeCell ref="X17:Y17"/>
    <mergeCell ref="Z17:AA17"/>
    <mergeCell ref="AB17:AC17"/>
    <mergeCell ref="AD17:AE17"/>
    <mergeCell ref="AF17:AG17"/>
    <mergeCell ref="AH17:AI17"/>
    <mergeCell ref="L17:M17"/>
    <mergeCell ref="N17:O17"/>
    <mergeCell ref="P17:Q17"/>
    <mergeCell ref="R17:S17"/>
    <mergeCell ref="T17:U17"/>
    <mergeCell ref="V17:W17"/>
    <mergeCell ref="A16:A18"/>
    <mergeCell ref="B17:C17"/>
    <mergeCell ref="D17:E17"/>
    <mergeCell ref="F17:G17"/>
    <mergeCell ref="H17:I17"/>
    <mergeCell ref="J17:K17"/>
    <mergeCell ref="X5:Y5"/>
    <mergeCell ref="Z5:AA5"/>
    <mergeCell ref="AB5:AC5"/>
    <mergeCell ref="AD5:AE5"/>
    <mergeCell ref="AF5:AG5"/>
    <mergeCell ref="AH5:AI5"/>
    <mergeCell ref="L5:M5"/>
    <mergeCell ref="N5:O5"/>
    <mergeCell ref="P5:Q5"/>
    <mergeCell ref="R5:S5"/>
    <mergeCell ref="T5:U5"/>
    <mergeCell ref="V5:W5"/>
    <mergeCell ref="A4:A6"/>
    <mergeCell ref="B5:C5"/>
    <mergeCell ref="D5:E5"/>
    <mergeCell ref="F5:G5"/>
    <mergeCell ref="H5:I5"/>
    <mergeCell ref="J5:K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38"/>
  <sheetViews>
    <sheetView zoomScale="80" zoomScaleNormal="80" workbookViewId="0">
      <selection sqref="A1:D1"/>
    </sheetView>
  </sheetViews>
  <sheetFormatPr defaultColWidth="9.453125" defaultRowHeight="14.5" x14ac:dyDescent="0.35"/>
  <cols>
    <col min="1" max="1" width="72.54296875" customWidth="1"/>
    <col min="2" max="2" width="40.54296875" customWidth="1"/>
    <col min="3" max="3" width="27.54296875" customWidth="1"/>
    <col min="4" max="4" width="10" customWidth="1"/>
    <col min="5" max="5" width="8" customWidth="1"/>
    <col min="6" max="6" width="10.453125" customWidth="1"/>
    <col min="7" max="7" width="23.54296875" customWidth="1"/>
    <col min="8" max="8" width="14.453125" customWidth="1"/>
    <col min="9" max="9" width="23.453125" customWidth="1"/>
    <col min="10" max="10" width="17.54296875" customWidth="1"/>
    <col min="11" max="11" width="20" customWidth="1"/>
    <col min="12" max="12" width="11.54296875" customWidth="1"/>
    <col min="13" max="13" width="13.453125" customWidth="1"/>
    <col min="14" max="15" width="14.54296875" customWidth="1"/>
    <col min="16" max="19" width="13.453125" customWidth="1"/>
    <col min="20" max="21" width="12" customWidth="1"/>
    <col min="22" max="22" width="18.54296875" customWidth="1"/>
    <col min="23" max="23" width="14.54296875" customWidth="1"/>
    <col min="24" max="24" width="12.453125" customWidth="1"/>
    <col min="25" max="25" width="22.54296875" customWidth="1"/>
    <col min="26" max="26" width="23.453125" customWidth="1"/>
    <col min="27" max="27" width="16.54296875" customWidth="1"/>
    <col min="28" max="28" width="16.453125" customWidth="1"/>
    <col min="29" max="29" width="20.54296875" customWidth="1"/>
    <col min="30" max="30" width="16" customWidth="1"/>
    <col min="31" max="31" width="16.453125" customWidth="1"/>
    <col min="32" max="16384" width="9.453125" style="4"/>
  </cols>
  <sheetData>
    <row r="1" spans="1:31" s="10" customFormat="1" ht="26" x14ac:dyDescent="0.35">
      <c r="A1" s="165" t="s">
        <v>48</v>
      </c>
      <c r="B1" s="165"/>
      <c r="C1" s="165"/>
      <c r="D1" s="165"/>
      <c r="E1" s="36"/>
      <c r="F1" s="36"/>
      <c r="G1" s="36"/>
      <c r="H1" s="36"/>
      <c r="I1" s="36"/>
      <c r="J1" s="36"/>
      <c r="K1" s="36"/>
      <c r="L1" s="36"/>
      <c r="M1" s="36"/>
      <c r="N1" s="36"/>
      <c r="O1" s="36"/>
      <c r="P1" s="36"/>
      <c r="Q1" s="36"/>
      <c r="R1" s="36"/>
      <c r="S1" s="36"/>
      <c r="T1" s="36"/>
      <c r="U1" s="36"/>
      <c r="V1" s="36"/>
      <c r="W1" s="36"/>
      <c r="X1" s="36"/>
      <c r="Y1" s="36"/>
      <c r="Z1" s="36"/>
      <c r="AA1" s="36"/>
      <c r="AB1" s="36"/>
      <c r="AC1" s="36"/>
      <c r="AD1" s="36"/>
      <c r="AE1" s="36"/>
    </row>
    <row r="2" spans="1:31" s="10" customFormat="1" ht="74.25" customHeight="1" x14ac:dyDescent="0.35">
      <c r="A2" s="166" t="s">
        <v>49</v>
      </c>
      <c r="B2" s="166"/>
      <c r="C2" s="166"/>
      <c r="D2" s="166"/>
      <c r="E2" s="36"/>
      <c r="F2" s="36"/>
      <c r="G2" s="36"/>
      <c r="H2" s="36"/>
      <c r="I2" s="36"/>
      <c r="J2" s="36"/>
      <c r="K2" s="36"/>
      <c r="L2" s="36"/>
      <c r="M2" s="36"/>
      <c r="N2" s="36"/>
      <c r="O2" s="36"/>
      <c r="P2" s="36"/>
      <c r="Q2" s="36"/>
      <c r="R2" s="36"/>
      <c r="S2" s="36"/>
      <c r="T2" s="36"/>
      <c r="U2" s="36"/>
      <c r="V2" s="36"/>
      <c r="W2" s="36"/>
      <c r="X2" s="36"/>
      <c r="Y2" s="36"/>
      <c r="Z2" s="36"/>
      <c r="AA2" s="36"/>
      <c r="AB2" s="36"/>
      <c r="AC2" s="36"/>
      <c r="AD2" s="36"/>
      <c r="AE2" s="36"/>
    </row>
    <row r="3" spans="1:31" s="10" customFormat="1" ht="48.65" customHeight="1" x14ac:dyDescent="0.35">
      <c r="A3" s="164" t="s">
        <v>642</v>
      </c>
      <c r="B3" s="164"/>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4"/>
    </row>
    <row r="4" spans="1:31" s="7" customFormat="1" ht="30.75" customHeight="1" thickBot="1" x14ac:dyDescent="0.35">
      <c r="A4" s="209" t="s">
        <v>645</v>
      </c>
      <c r="B4" s="209"/>
      <c r="C4" s="209"/>
      <c r="D4" s="209"/>
      <c r="E4" s="209"/>
      <c r="F4" s="209"/>
      <c r="G4" s="209"/>
      <c r="H4" s="209"/>
      <c r="I4" s="209"/>
      <c r="J4" s="209"/>
      <c r="K4" s="209"/>
      <c r="L4" s="209"/>
      <c r="M4" s="209"/>
      <c r="N4" s="209"/>
      <c r="O4" s="209"/>
      <c r="P4" s="209"/>
      <c r="Q4" s="209"/>
      <c r="R4" s="209"/>
      <c r="S4" s="209"/>
      <c r="T4" s="209"/>
      <c r="U4" s="209"/>
      <c r="V4" s="209"/>
      <c r="W4" s="9"/>
      <c r="X4" s="9"/>
      <c r="Y4" s="9"/>
      <c r="Z4" s="9"/>
    </row>
    <row r="5" spans="1:31" s="40" customFormat="1" ht="36" customHeight="1" x14ac:dyDescent="0.25">
      <c r="A5" s="52" t="s">
        <v>151</v>
      </c>
      <c r="B5" s="11"/>
      <c r="C5" s="11"/>
      <c r="D5" s="11"/>
      <c r="E5" s="11"/>
      <c r="F5" s="11"/>
      <c r="G5" s="11"/>
      <c r="H5" s="11"/>
      <c r="I5" s="11" t="s">
        <v>152</v>
      </c>
      <c r="J5" s="210" t="s">
        <v>646</v>
      </c>
      <c r="K5" s="210"/>
      <c r="L5" s="210"/>
      <c r="M5" s="210"/>
      <c r="N5" s="211" t="s">
        <v>647</v>
      </c>
      <c r="O5" s="211"/>
      <c r="P5" s="211"/>
      <c r="Q5" s="211"/>
      <c r="R5" s="208" t="s">
        <v>648</v>
      </c>
      <c r="S5" s="208"/>
      <c r="T5" s="208"/>
      <c r="U5" s="208"/>
      <c r="V5" s="35" t="s">
        <v>649</v>
      </c>
      <c r="W5" s="208" t="s">
        <v>153</v>
      </c>
      <c r="X5" s="208"/>
      <c r="Y5" s="208"/>
      <c r="Z5" s="208"/>
      <c r="AA5" s="208"/>
      <c r="AB5" s="208"/>
      <c r="AC5" s="208"/>
      <c r="AD5" s="208"/>
      <c r="AE5" s="208"/>
    </row>
    <row r="6" spans="1:31" s="40" customFormat="1" ht="20.25" customHeight="1" x14ac:dyDescent="0.25">
      <c r="A6" s="53" t="s">
        <v>643</v>
      </c>
      <c r="B6" s="31"/>
      <c r="C6" s="31"/>
      <c r="D6" s="31"/>
      <c r="E6" s="31"/>
      <c r="F6" s="31"/>
      <c r="G6" s="31"/>
      <c r="H6" s="31"/>
      <c r="I6" s="32"/>
      <c r="J6" s="31"/>
      <c r="K6" s="31"/>
      <c r="L6" s="31"/>
      <c r="M6" s="31"/>
      <c r="N6" s="31"/>
      <c r="O6" s="31"/>
      <c r="P6" s="31"/>
      <c r="Q6" s="31"/>
      <c r="R6" s="33"/>
      <c r="S6" s="33"/>
      <c r="T6" s="33"/>
      <c r="U6" s="33"/>
      <c r="V6" s="35"/>
      <c r="W6" s="33"/>
      <c r="X6" s="33"/>
      <c r="Y6" s="33"/>
      <c r="Z6" s="33"/>
      <c r="AA6" s="33"/>
      <c r="AB6" s="33"/>
      <c r="AC6" s="33"/>
      <c r="AD6" s="33"/>
      <c r="AE6" s="33"/>
    </row>
    <row r="7" spans="1:31" s="40" customFormat="1" ht="48" customHeight="1" x14ac:dyDescent="0.3">
      <c r="A7" s="12" t="s">
        <v>154</v>
      </c>
      <c r="B7" s="13" t="s">
        <v>155</v>
      </c>
      <c r="C7" s="13" t="s">
        <v>156</v>
      </c>
      <c r="D7" s="13" t="s">
        <v>157</v>
      </c>
      <c r="E7" s="14" t="s">
        <v>158</v>
      </c>
      <c r="F7" s="13" t="s">
        <v>56</v>
      </c>
      <c r="G7" s="15" t="s">
        <v>159</v>
      </c>
      <c r="H7" s="16" t="s">
        <v>92</v>
      </c>
      <c r="I7" s="17" t="s">
        <v>644</v>
      </c>
      <c r="J7" s="18" t="s">
        <v>160</v>
      </c>
      <c r="K7" s="19" t="s">
        <v>161</v>
      </c>
      <c r="L7" s="20" t="s">
        <v>162</v>
      </c>
      <c r="M7" s="34" t="s">
        <v>163</v>
      </c>
      <c r="N7" s="18" t="s">
        <v>164</v>
      </c>
      <c r="O7" s="19" t="s">
        <v>165</v>
      </c>
      <c r="P7" s="20" t="s">
        <v>166</v>
      </c>
      <c r="Q7" s="21" t="s">
        <v>167</v>
      </c>
      <c r="R7" s="18" t="s">
        <v>168</v>
      </c>
      <c r="S7" s="19" t="s">
        <v>169</v>
      </c>
      <c r="T7" s="20" t="s">
        <v>170</v>
      </c>
      <c r="U7" s="34" t="s">
        <v>171</v>
      </c>
      <c r="V7" s="18" t="s">
        <v>172</v>
      </c>
      <c r="W7" s="19" t="s">
        <v>173</v>
      </c>
      <c r="X7" s="13" t="s">
        <v>174</v>
      </c>
      <c r="Y7" s="13" t="s">
        <v>90</v>
      </c>
      <c r="Z7" s="13" t="s">
        <v>175</v>
      </c>
      <c r="AA7" s="13" t="s">
        <v>86</v>
      </c>
      <c r="AB7" s="13" t="s">
        <v>176</v>
      </c>
      <c r="AC7" s="13" t="s">
        <v>100</v>
      </c>
      <c r="AD7" s="13" t="s">
        <v>177</v>
      </c>
      <c r="AE7" s="37" t="s">
        <v>104</v>
      </c>
    </row>
    <row r="8" spans="1:31" s="40" customFormat="1" ht="12.75" customHeight="1" x14ac:dyDescent="0.25">
      <c r="A8" s="22" t="s">
        <v>18</v>
      </c>
      <c r="B8" s="23" t="s">
        <v>193</v>
      </c>
      <c r="C8" s="23" t="s">
        <v>194</v>
      </c>
      <c r="D8" s="23" t="s">
        <v>195</v>
      </c>
      <c r="E8" s="23">
        <v>78061</v>
      </c>
      <c r="F8" s="23" t="s">
        <v>196</v>
      </c>
      <c r="G8" s="23" t="s">
        <v>197</v>
      </c>
      <c r="H8" s="23" t="s">
        <v>183</v>
      </c>
      <c r="I8" s="24">
        <v>31.031084656084701</v>
      </c>
      <c r="J8" s="25">
        <v>1005.1967213114785</v>
      </c>
      <c r="K8" s="25">
        <v>49.016393442622928</v>
      </c>
      <c r="L8" s="25">
        <v>46.065573770491795</v>
      </c>
      <c r="M8" s="25">
        <v>46.93442622950819</v>
      </c>
      <c r="N8" s="25">
        <v>125.37704918032775</v>
      </c>
      <c r="O8" s="25">
        <v>1021.8360655737737</v>
      </c>
      <c r="P8" s="25">
        <v>0</v>
      </c>
      <c r="Q8" s="25">
        <v>0</v>
      </c>
      <c r="R8" s="25">
        <v>63.311475409836099</v>
      </c>
      <c r="S8" s="25">
        <v>21.245901639344261</v>
      </c>
      <c r="T8" s="25">
        <v>31.049180327868847</v>
      </c>
      <c r="U8" s="25">
        <v>1031.6065573770584</v>
      </c>
      <c r="V8" s="25"/>
      <c r="W8" s="26">
        <v>1350</v>
      </c>
      <c r="X8" s="23" t="s">
        <v>184</v>
      </c>
      <c r="Y8" s="23" t="s">
        <v>720</v>
      </c>
      <c r="Z8" s="23" t="s">
        <v>186</v>
      </c>
      <c r="AA8" s="27" t="s">
        <v>722</v>
      </c>
      <c r="AB8" s="23" t="s">
        <v>184</v>
      </c>
      <c r="AC8" s="23" t="s">
        <v>185</v>
      </c>
      <c r="AD8" s="23" t="s">
        <v>186</v>
      </c>
      <c r="AE8" s="38">
        <v>43888</v>
      </c>
    </row>
    <row r="9" spans="1:31" ht="15.5" x14ac:dyDescent="0.35">
      <c r="A9" s="22" t="s">
        <v>188</v>
      </c>
      <c r="B9" s="23" t="s">
        <v>189</v>
      </c>
      <c r="C9" s="23" t="s">
        <v>190</v>
      </c>
      <c r="D9" s="23" t="s">
        <v>191</v>
      </c>
      <c r="E9" s="28">
        <v>31815</v>
      </c>
      <c r="F9" s="23" t="s">
        <v>192</v>
      </c>
      <c r="G9" s="23" t="s">
        <v>182</v>
      </c>
      <c r="H9" s="23" t="s">
        <v>5</v>
      </c>
      <c r="I9" s="24">
        <v>37.282511210762301</v>
      </c>
      <c r="J9" s="25">
        <v>741.39344262295015</v>
      </c>
      <c r="K9" s="25">
        <v>113.21311475409836</v>
      </c>
      <c r="L9" s="25">
        <v>115.99999999999991</v>
      </c>
      <c r="M9" s="25">
        <v>165.18032786885226</v>
      </c>
      <c r="N9" s="25">
        <v>305.0327868852462</v>
      </c>
      <c r="O9" s="25">
        <v>453.3934426229485</v>
      </c>
      <c r="P9" s="25">
        <v>17.098360655737704</v>
      </c>
      <c r="Q9" s="25">
        <v>360.26229508197036</v>
      </c>
      <c r="R9" s="25">
        <v>189.885245901639</v>
      </c>
      <c r="S9" s="25">
        <v>39.852459016393432</v>
      </c>
      <c r="T9" s="25">
        <v>38.360655737704896</v>
      </c>
      <c r="U9" s="25">
        <v>867.68852459016341</v>
      </c>
      <c r="V9" s="25"/>
      <c r="W9" s="26">
        <v>1600</v>
      </c>
      <c r="X9" s="23" t="s">
        <v>184</v>
      </c>
      <c r="Y9" s="29" t="s">
        <v>720</v>
      </c>
      <c r="Z9" s="23" t="s">
        <v>186</v>
      </c>
      <c r="AA9" s="27" t="s">
        <v>723</v>
      </c>
      <c r="AB9" s="23" t="s">
        <v>184</v>
      </c>
      <c r="AC9" s="29" t="s">
        <v>185</v>
      </c>
      <c r="AD9" s="29" t="s">
        <v>186</v>
      </c>
      <c r="AE9" s="39">
        <v>44098</v>
      </c>
    </row>
    <row r="10" spans="1:31" ht="15.5" x14ac:dyDescent="0.35">
      <c r="A10" s="22" t="s">
        <v>203</v>
      </c>
      <c r="B10" s="23" t="s">
        <v>204</v>
      </c>
      <c r="C10" s="23" t="s">
        <v>205</v>
      </c>
      <c r="D10" s="23" t="s">
        <v>206</v>
      </c>
      <c r="E10" s="28">
        <v>71483</v>
      </c>
      <c r="F10" s="23" t="s">
        <v>207</v>
      </c>
      <c r="G10" s="23" t="s">
        <v>182</v>
      </c>
      <c r="H10" s="23" t="s">
        <v>5</v>
      </c>
      <c r="I10" s="24">
        <v>41.623205741626798</v>
      </c>
      <c r="J10" s="25">
        <v>931.29508196721576</v>
      </c>
      <c r="K10" s="25">
        <v>7.0000000000000009</v>
      </c>
      <c r="L10" s="25">
        <v>9.0983606557377037</v>
      </c>
      <c r="M10" s="25">
        <v>15.885245901639346</v>
      </c>
      <c r="N10" s="25">
        <v>34.311475409836056</v>
      </c>
      <c r="O10" s="25">
        <v>928.96721311475676</v>
      </c>
      <c r="P10" s="25">
        <v>0</v>
      </c>
      <c r="Q10" s="25">
        <v>0</v>
      </c>
      <c r="R10" s="25">
        <v>18.934426229508194</v>
      </c>
      <c r="S10" s="25">
        <v>7.6885245901639347</v>
      </c>
      <c r="T10" s="25">
        <v>7.6885245901639347</v>
      </c>
      <c r="U10" s="25">
        <v>928.96721311475676</v>
      </c>
      <c r="V10" s="25"/>
      <c r="W10" s="26">
        <v>946</v>
      </c>
      <c r="X10" s="23" t="s">
        <v>184</v>
      </c>
      <c r="Y10" s="29" t="s">
        <v>720</v>
      </c>
      <c r="Z10" s="23"/>
      <c r="AA10" s="27" t="s">
        <v>724</v>
      </c>
      <c r="AB10" s="23" t="s">
        <v>184</v>
      </c>
      <c r="AC10" s="29" t="s">
        <v>720</v>
      </c>
      <c r="AD10" s="29" t="s">
        <v>186</v>
      </c>
      <c r="AE10" s="39">
        <v>44127</v>
      </c>
    </row>
    <row r="11" spans="1:31" ht="15.5" x14ac:dyDescent="0.35">
      <c r="A11" s="22" t="s">
        <v>27</v>
      </c>
      <c r="B11" s="23" t="s">
        <v>218</v>
      </c>
      <c r="C11" s="23" t="s">
        <v>219</v>
      </c>
      <c r="D11" s="23" t="s">
        <v>220</v>
      </c>
      <c r="E11" s="28">
        <v>39120</v>
      </c>
      <c r="F11" s="23" t="s">
        <v>207</v>
      </c>
      <c r="G11" s="23" t="s">
        <v>182</v>
      </c>
      <c r="H11" s="23" t="s">
        <v>183</v>
      </c>
      <c r="I11" s="24">
        <v>24.1197097944377</v>
      </c>
      <c r="J11" s="25">
        <v>862.78688524590348</v>
      </c>
      <c r="K11" s="25">
        <v>9.1639344262295079</v>
      </c>
      <c r="L11" s="25">
        <v>0.18032786885245902</v>
      </c>
      <c r="M11" s="25">
        <v>0</v>
      </c>
      <c r="N11" s="25">
        <v>5.9016393442622954</v>
      </c>
      <c r="O11" s="25">
        <v>866.22950819672394</v>
      </c>
      <c r="P11" s="25">
        <v>0</v>
      </c>
      <c r="Q11" s="25">
        <v>0</v>
      </c>
      <c r="R11" s="25">
        <v>0.93442622950819665</v>
      </c>
      <c r="S11" s="25">
        <v>0</v>
      </c>
      <c r="T11" s="25">
        <v>1.6721311475409837</v>
      </c>
      <c r="U11" s="25">
        <v>869.52459016393686</v>
      </c>
      <c r="V11" s="25"/>
      <c r="W11" s="26">
        <v>1100</v>
      </c>
      <c r="X11" s="23" t="s">
        <v>184</v>
      </c>
      <c r="Y11" s="29" t="s">
        <v>720</v>
      </c>
      <c r="Z11" s="23" t="s">
        <v>186</v>
      </c>
      <c r="AA11" s="27" t="s">
        <v>725</v>
      </c>
      <c r="AB11" s="23" t="s">
        <v>184</v>
      </c>
      <c r="AC11" s="29" t="s">
        <v>185</v>
      </c>
      <c r="AD11" s="29" t="s">
        <v>186</v>
      </c>
      <c r="AE11" s="39">
        <v>43790</v>
      </c>
    </row>
    <row r="12" spans="1:31" ht="15.5" x14ac:dyDescent="0.35">
      <c r="A12" s="22" t="s">
        <v>293</v>
      </c>
      <c r="B12" s="23" t="s">
        <v>210</v>
      </c>
      <c r="C12" s="23" t="s">
        <v>34</v>
      </c>
      <c r="D12" s="23" t="s">
        <v>211</v>
      </c>
      <c r="E12" s="28">
        <v>85131</v>
      </c>
      <c r="F12" s="23" t="s">
        <v>212</v>
      </c>
      <c r="G12" s="23" t="s">
        <v>182</v>
      </c>
      <c r="H12" s="23" t="s">
        <v>5</v>
      </c>
      <c r="I12" s="24">
        <v>32.864864864864899</v>
      </c>
      <c r="J12" s="25">
        <v>759.70491803277957</v>
      </c>
      <c r="K12" s="25">
        <v>10.26229508196721</v>
      </c>
      <c r="L12" s="25">
        <v>26.868852459016384</v>
      </c>
      <c r="M12" s="25">
        <v>40.8032786885246</v>
      </c>
      <c r="N12" s="25">
        <v>68.983606557377101</v>
      </c>
      <c r="O12" s="25">
        <v>768.65573770491096</v>
      </c>
      <c r="P12" s="25">
        <v>0</v>
      </c>
      <c r="Q12" s="25">
        <v>0</v>
      </c>
      <c r="R12" s="25">
        <v>32.459016393442603</v>
      </c>
      <c r="S12" s="25">
        <v>7.7049180327868871</v>
      </c>
      <c r="T12" s="25">
        <v>6.6393442622950829</v>
      </c>
      <c r="U12" s="25">
        <v>790.83606557376356</v>
      </c>
      <c r="V12" s="25"/>
      <c r="W12" s="26">
        <v>1800</v>
      </c>
      <c r="X12" s="23" t="s">
        <v>209</v>
      </c>
      <c r="Y12" s="29"/>
      <c r="Z12" s="23"/>
      <c r="AA12" s="27" t="s">
        <v>294</v>
      </c>
      <c r="AB12" s="23" t="s">
        <v>209</v>
      </c>
      <c r="AC12" s="29"/>
      <c r="AD12" s="29"/>
      <c r="AE12" s="39"/>
    </row>
    <row r="13" spans="1:31" ht="15.5" x14ac:dyDescent="0.35">
      <c r="A13" s="22" t="s">
        <v>15</v>
      </c>
      <c r="B13" s="23" t="s">
        <v>210</v>
      </c>
      <c r="C13" s="23" t="s">
        <v>34</v>
      </c>
      <c r="D13" s="23" t="s">
        <v>211</v>
      </c>
      <c r="E13" s="28">
        <v>85131</v>
      </c>
      <c r="F13" s="23" t="s">
        <v>212</v>
      </c>
      <c r="G13" s="23" t="s">
        <v>182</v>
      </c>
      <c r="H13" s="23" t="s">
        <v>5</v>
      </c>
      <c r="I13" s="24">
        <v>27.502574665293501</v>
      </c>
      <c r="J13" s="25">
        <v>731.22950819672917</v>
      </c>
      <c r="K13" s="25">
        <v>18.983606557377055</v>
      </c>
      <c r="L13" s="25">
        <v>9.9508196721311482</v>
      </c>
      <c r="M13" s="25">
        <v>16.032786885245901</v>
      </c>
      <c r="N13" s="25">
        <v>36.983606557377037</v>
      </c>
      <c r="O13" s="25">
        <v>738.22950819672849</v>
      </c>
      <c r="P13" s="25">
        <v>0</v>
      </c>
      <c r="Q13" s="25">
        <v>0.98360655737704916</v>
      </c>
      <c r="R13" s="25">
        <v>17.475409836065573</v>
      </c>
      <c r="S13" s="25">
        <v>4.4918032786885247</v>
      </c>
      <c r="T13" s="25">
        <v>9.2131147540983616</v>
      </c>
      <c r="U13" s="25">
        <v>745.01639344263015</v>
      </c>
      <c r="V13" s="25"/>
      <c r="W13" s="26"/>
      <c r="X13" s="23" t="s">
        <v>184</v>
      </c>
      <c r="Y13" s="29" t="s">
        <v>720</v>
      </c>
      <c r="Z13" s="23" t="s">
        <v>186</v>
      </c>
      <c r="AA13" s="27" t="s">
        <v>726</v>
      </c>
      <c r="AB13" s="23" t="s">
        <v>184</v>
      </c>
      <c r="AC13" s="29" t="s">
        <v>720</v>
      </c>
      <c r="AD13" s="29" t="s">
        <v>186</v>
      </c>
      <c r="AE13" s="39">
        <v>44140</v>
      </c>
    </row>
    <row r="14" spans="1:31" ht="15.5" x14ac:dyDescent="0.35">
      <c r="A14" s="22" t="s">
        <v>221</v>
      </c>
      <c r="B14" s="23" t="s">
        <v>222</v>
      </c>
      <c r="C14" s="23" t="s">
        <v>223</v>
      </c>
      <c r="D14" s="23" t="s">
        <v>180</v>
      </c>
      <c r="E14" s="28">
        <v>92154</v>
      </c>
      <c r="F14" s="23" t="s">
        <v>224</v>
      </c>
      <c r="G14" s="23" t="s">
        <v>197</v>
      </c>
      <c r="H14" s="23" t="s">
        <v>183</v>
      </c>
      <c r="I14" s="24">
        <v>74.274052478134095</v>
      </c>
      <c r="J14" s="25">
        <v>646.8852459016407</v>
      </c>
      <c r="K14" s="25">
        <v>17.491803278688526</v>
      </c>
      <c r="L14" s="25">
        <v>17.278688524590166</v>
      </c>
      <c r="M14" s="25">
        <v>50.327868852459041</v>
      </c>
      <c r="N14" s="25">
        <v>77.73770491803279</v>
      </c>
      <c r="O14" s="25">
        <v>579.85245901639473</v>
      </c>
      <c r="P14" s="25">
        <v>6.721311475409836</v>
      </c>
      <c r="Q14" s="25">
        <v>67.672131147540938</v>
      </c>
      <c r="R14" s="25">
        <v>61.39344262295085</v>
      </c>
      <c r="S14" s="25">
        <v>8.5901639344262293</v>
      </c>
      <c r="T14" s="25">
        <v>7.9016393442622954</v>
      </c>
      <c r="U14" s="25">
        <v>654.09836065573927</v>
      </c>
      <c r="V14" s="25"/>
      <c r="W14" s="26">
        <v>750</v>
      </c>
      <c r="X14" s="23" t="s">
        <v>184</v>
      </c>
      <c r="Y14" s="29" t="s">
        <v>720</v>
      </c>
      <c r="Z14" s="23" t="s">
        <v>186</v>
      </c>
      <c r="AA14" s="27" t="s">
        <v>727</v>
      </c>
      <c r="AB14" s="23" t="s">
        <v>184</v>
      </c>
      <c r="AC14" s="29" t="s">
        <v>185</v>
      </c>
      <c r="AD14" s="29" t="s">
        <v>186</v>
      </c>
      <c r="AE14" s="39">
        <v>43854</v>
      </c>
    </row>
    <row r="15" spans="1:31" ht="15.5" x14ac:dyDescent="0.35">
      <c r="A15" s="22" t="s">
        <v>216</v>
      </c>
      <c r="B15" s="23" t="s">
        <v>217</v>
      </c>
      <c r="C15" s="23" t="s">
        <v>34</v>
      </c>
      <c r="D15" s="23" t="s">
        <v>211</v>
      </c>
      <c r="E15" s="28">
        <v>85131</v>
      </c>
      <c r="F15" s="23" t="s">
        <v>212</v>
      </c>
      <c r="G15" s="23" t="s">
        <v>182</v>
      </c>
      <c r="H15" s="23" t="s">
        <v>183</v>
      </c>
      <c r="I15" s="24">
        <v>18.6619601328904</v>
      </c>
      <c r="J15" s="25">
        <v>678.62295081968193</v>
      </c>
      <c r="K15" s="25">
        <v>17.672131147540984</v>
      </c>
      <c r="L15" s="25">
        <v>14.885245901639344</v>
      </c>
      <c r="M15" s="25">
        <v>10.311475409836065</v>
      </c>
      <c r="N15" s="25">
        <v>24.278688524590155</v>
      </c>
      <c r="O15" s="25">
        <v>275.63934426229582</v>
      </c>
      <c r="P15" s="25">
        <v>10.60655737704918</v>
      </c>
      <c r="Q15" s="25">
        <v>410.96721311475216</v>
      </c>
      <c r="R15" s="25">
        <v>23.24590163934425</v>
      </c>
      <c r="S15" s="25">
        <v>3.8524590163934427</v>
      </c>
      <c r="T15" s="25">
        <v>4.8524590163934427</v>
      </c>
      <c r="U15" s="25">
        <v>689.54098360656792</v>
      </c>
      <c r="V15" s="25"/>
      <c r="W15" s="26"/>
      <c r="X15" s="23" t="s">
        <v>184</v>
      </c>
      <c r="Y15" s="29" t="s">
        <v>720</v>
      </c>
      <c r="Z15" s="23" t="s">
        <v>186</v>
      </c>
      <c r="AA15" s="27" t="s">
        <v>728</v>
      </c>
      <c r="AB15" s="23" t="s">
        <v>184</v>
      </c>
      <c r="AC15" s="29" t="s">
        <v>185</v>
      </c>
      <c r="AD15" s="29" t="s">
        <v>186</v>
      </c>
      <c r="AE15" s="39">
        <v>43867</v>
      </c>
    </row>
    <row r="16" spans="1:31" ht="15.5" x14ac:dyDescent="0.35">
      <c r="A16" s="22" t="s">
        <v>20</v>
      </c>
      <c r="B16" s="23" t="s">
        <v>247</v>
      </c>
      <c r="C16" s="23" t="s">
        <v>248</v>
      </c>
      <c r="D16" s="23" t="s">
        <v>206</v>
      </c>
      <c r="E16" s="28">
        <v>71251</v>
      </c>
      <c r="F16" s="23" t="s">
        <v>207</v>
      </c>
      <c r="G16" s="23" t="s">
        <v>182</v>
      </c>
      <c r="H16" s="23" t="s">
        <v>183</v>
      </c>
      <c r="I16" s="24">
        <v>52.114927344781997</v>
      </c>
      <c r="J16" s="25">
        <v>567.98360655737952</v>
      </c>
      <c r="K16" s="25">
        <v>0.37704918032786883</v>
      </c>
      <c r="L16" s="25">
        <v>1.1967213114754098</v>
      </c>
      <c r="M16" s="25">
        <v>0</v>
      </c>
      <c r="N16" s="25">
        <v>0</v>
      </c>
      <c r="O16" s="25">
        <v>0.49180327868852464</v>
      </c>
      <c r="P16" s="25">
        <v>2.180327868852459</v>
      </c>
      <c r="Q16" s="25">
        <v>566.88524590164184</v>
      </c>
      <c r="R16" s="25">
        <v>0.98360655737704916</v>
      </c>
      <c r="S16" s="25">
        <v>0.98360655737704916</v>
      </c>
      <c r="T16" s="25">
        <v>0.21311475409836064</v>
      </c>
      <c r="U16" s="25">
        <v>567.37704918033035</v>
      </c>
      <c r="V16" s="25"/>
      <c r="W16" s="26">
        <v>751</v>
      </c>
      <c r="X16" s="23" t="s">
        <v>184</v>
      </c>
      <c r="Y16" s="29" t="s">
        <v>720</v>
      </c>
      <c r="Z16" s="23"/>
      <c r="AA16" s="27" t="s">
        <v>729</v>
      </c>
      <c r="AB16" s="23" t="s">
        <v>184</v>
      </c>
      <c r="AC16" s="29" t="s">
        <v>720</v>
      </c>
      <c r="AD16" s="29" t="s">
        <v>186</v>
      </c>
      <c r="AE16" s="39">
        <v>44155</v>
      </c>
    </row>
    <row r="17" spans="1:31" ht="15.5" x14ac:dyDescent="0.35">
      <c r="A17" s="22" t="s">
        <v>650</v>
      </c>
      <c r="B17" s="23" t="s">
        <v>676</v>
      </c>
      <c r="C17" s="23" t="s">
        <v>286</v>
      </c>
      <c r="D17" s="23" t="s">
        <v>191</v>
      </c>
      <c r="E17" s="28">
        <v>31537</v>
      </c>
      <c r="F17" s="23" t="s">
        <v>192</v>
      </c>
      <c r="G17" s="23" t="s">
        <v>182</v>
      </c>
      <c r="H17" s="23" t="s">
        <v>5</v>
      </c>
      <c r="I17" s="24">
        <v>32.497517378351503</v>
      </c>
      <c r="J17" s="25">
        <v>523.27868852459039</v>
      </c>
      <c r="K17" s="25">
        <v>16.196721311475397</v>
      </c>
      <c r="L17" s="25">
        <v>9.3606557377049171</v>
      </c>
      <c r="M17" s="25">
        <v>10.704918032786882</v>
      </c>
      <c r="N17" s="25">
        <v>25.245901639344243</v>
      </c>
      <c r="O17" s="25">
        <v>534.29508196721076</v>
      </c>
      <c r="P17" s="25">
        <v>0</v>
      </c>
      <c r="Q17" s="25">
        <v>0</v>
      </c>
      <c r="R17" s="25">
        <v>4.1475409836065582</v>
      </c>
      <c r="S17" s="25">
        <v>3.377049180327869</v>
      </c>
      <c r="T17" s="25">
        <v>1.7377049180327868</v>
      </c>
      <c r="U17" s="25">
        <v>550.27868852458687</v>
      </c>
      <c r="V17" s="25"/>
      <c r="W17" s="26">
        <v>544</v>
      </c>
      <c r="X17" s="23" t="s">
        <v>209</v>
      </c>
      <c r="Y17" s="29"/>
      <c r="Z17" s="23"/>
      <c r="AA17" s="27" t="s">
        <v>294</v>
      </c>
      <c r="AB17" s="23" t="s">
        <v>209</v>
      </c>
      <c r="AC17" s="29"/>
      <c r="AD17" s="29"/>
      <c r="AE17" s="39"/>
    </row>
    <row r="18" spans="1:31" ht="15.5" x14ac:dyDescent="0.35">
      <c r="A18" s="22" t="s">
        <v>235</v>
      </c>
      <c r="B18" s="23" t="s">
        <v>236</v>
      </c>
      <c r="C18" s="23" t="s">
        <v>237</v>
      </c>
      <c r="D18" s="23" t="s">
        <v>238</v>
      </c>
      <c r="E18" s="28">
        <v>88081</v>
      </c>
      <c r="F18" s="23" t="s">
        <v>239</v>
      </c>
      <c r="G18" s="23" t="s">
        <v>182</v>
      </c>
      <c r="H18" s="23" t="s">
        <v>5</v>
      </c>
      <c r="I18" s="24">
        <v>25.7026777469991</v>
      </c>
      <c r="J18" s="25">
        <v>388.91803278688508</v>
      </c>
      <c r="K18" s="25">
        <v>145.60655737704965</v>
      </c>
      <c r="L18" s="25">
        <v>13.409836065573769</v>
      </c>
      <c r="M18" s="25">
        <v>3.5245901639344259</v>
      </c>
      <c r="N18" s="25">
        <v>42.901639344262321</v>
      </c>
      <c r="O18" s="25">
        <v>508.55737704917874</v>
      </c>
      <c r="P18" s="25">
        <v>0</v>
      </c>
      <c r="Q18" s="25">
        <v>0</v>
      </c>
      <c r="R18" s="25">
        <v>3.6721311475409841</v>
      </c>
      <c r="S18" s="25">
        <v>2.081967213114754</v>
      </c>
      <c r="T18" s="25">
        <v>26.983606557377055</v>
      </c>
      <c r="U18" s="25">
        <v>518.7213114754087</v>
      </c>
      <c r="V18" s="25"/>
      <c r="W18" s="26">
        <v>500</v>
      </c>
      <c r="X18" s="23" t="s">
        <v>184</v>
      </c>
      <c r="Y18" s="29" t="s">
        <v>720</v>
      </c>
      <c r="Z18" s="23" t="s">
        <v>186</v>
      </c>
      <c r="AA18" s="27" t="s">
        <v>730</v>
      </c>
      <c r="AB18" s="23" t="s">
        <v>184</v>
      </c>
      <c r="AC18" s="29" t="s">
        <v>185</v>
      </c>
      <c r="AD18" s="29" t="s">
        <v>186</v>
      </c>
      <c r="AE18" s="39">
        <v>43860</v>
      </c>
    </row>
    <row r="19" spans="1:31" ht="15.5" x14ac:dyDescent="0.35">
      <c r="A19" s="22" t="s">
        <v>265</v>
      </c>
      <c r="B19" s="23" t="s">
        <v>266</v>
      </c>
      <c r="C19" s="23" t="s">
        <v>267</v>
      </c>
      <c r="D19" s="23" t="s">
        <v>180</v>
      </c>
      <c r="E19" s="28">
        <v>92231</v>
      </c>
      <c r="F19" s="23" t="s">
        <v>224</v>
      </c>
      <c r="G19" s="23" t="s">
        <v>197</v>
      </c>
      <c r="H19" s="23" t="s">
        <v>183</v>
      </c>
      <c r="I19" s="24">
        <v>64.625820568927793</v>
      </c>
      <c r="J19" s="25">
        <v>506.0983606557383</v>
      </c>
      <c r="K19" s="25">
        <v>1.7704918032786885</v>
      </c>
      <c r="L19" s="25">
        <v>7.5901639344262302</v>
      </c>
      <c r="M19" s="25">
        <v>21.803278688524582</v>
      </c>
      <c r="N19" s="25">
        <v>34.508196721311464</v>
      </c>
      <c r="O19" s="25">
        <v>444.08196721311492</v>
      </c>
      <c r="P19" s="25">
        <v>0</v>
      </c>
      <c r="Q19" s="25">
        <v>58.672131147541009</v>
      </c>
      <c r="R19" s="25">
        <v>27.836065573770476</v>
      </c>
      <c r="S19" s="25">
        <v>3.3114754098360653</v>
      </c>
      <c r="T19" s="25">
        <v>1.5573770491803278</v>
      </c>
      <c r="U19" s="25">
        <v>504.55737704918096</v>
      </c>
      <c r="V19" s="25"/>
      <c r="W19" s="26">
        <v>640</v>
      </c>
      <c r="X19" s="23" t="s">
        <v>184</v>
      </c>
      <c r="Y19" s="29" t="s">
        <v>720</v>
      </c>
      <c r="Z19" s="23" t="s">
        <v>186</v>
      </c>
      <c r="AA19" s="27" t="s">
        <v>731</v>
      </c>
      <c r="AB19" s="23" t="s">
        <v>184</v>
      </c>
      <c r="AC19" s="29" t="s">
        <v>185</v>
      </c>
      <c r="AD19" s="29" t="s">
        <v>186</v>
      </c>
      <c r="AE19" s="39">
        <v>43846</v>
      </c>
    </row>
    <row r="20" spans="1:31" ht="15.5" x14ac:dyDescent="0.35">
      <c r="A20" s="22" t="s">
        <v>231</v>
      </c>
      <c r="B20" s="23" t="s">
        <v>232</v>
      </c>
      <c r="C20" s="23" t="s">
        <v>233</v>
      </c>
      <c r="D20" s="23" t="s">
        <v>195</v>
      </c>
      <c r="E20" s="28">
        <v>78566</v>
      </c>
      <c r="F20" s="23" t="s">
        <v>718</v>
      </c>
      <c r="G20" s="23" t="s">
        <v>234</v>
      </c>
      <c r="H20" s="23" t="s">
        <v>183</v>
      </c>
      <c r="I20" s="24">
        <v>4.8810741687979498</v>
      </c>
      <c r="J20" s="25">
        <v>496.73770491801321</v>
      </c>
      <c r="K20" s="25">
        <v>10.26229508196721</v>
      </c>
      <c r="L20" s="25">
        <v>0.73770491803278704</v>
      </c>
      <c r="M20" s="25">
        <v>8.1639344262295062</v>
      </c>
      <c r="N20" s="25">
        <v>34.049180327868882</v>
      </c>
      <c r="O20" s="25">
        <v>481.75409836063596</v>
      </c>
      <c r="P20" s="25">
        <v>3.2786885245901641E-2</v>
      </c>
      <c r="Q20" s="25">
        <v>6.5573770491803282E-2</v>
      </c>
      <c r="R20" s="25">
        <v>9.1147540983606561</v>
      </c>
      <c r="S20" s="25">
        <v>3.6885245901639343</v>
      </c>
      <c r="T20" s="25">
        <v>10.754098360655737</v>
      </c>
      <c r="U20" s="25">
        <v>492.34426229506209</v>
      </c>
      <c r="V20" s="25"/>
      <c r="W20" s="26">
        <v>800</v>
      </c>
      <c r="X20" s="23" t="s">
        <v>184</v>
      </c>
      <c r="Y20" s="29" t="s">
        <v>720</v>
      </c>
      <c r="Z20" s="23" t="s">
        <v>186</v>
      </c>
      <c r="AA20" s="27" t="s">
        <v>732</v>
      </c>
      <c r="AB20" s="23" t="s">
        <v>184</v>
      </c>
      <c r="AC20" s="29" t="s">
        <v>185</v>
      </c>
      <c r="AD20" s="29" t="s">
        <v>186</v>
      </c>
      <c r="AE20" s="39">
        <v>43860</v>
      </c>
    </row>
    <row r="21" spans="1:31" ht="15.5" x14ac:dyDescent="0.35">
      <c r="A21" s="22" t="s">
        <v>282</v>
      </c>
      <c r="B21" s="23" t="s">
        <v>283</v>
      </c>
      <c r="C21" s="23" t="s">
        <v>42</v>
      </c>
      <c r="D21" s="23" t="s">
        <v>284</v>
      </c>
      <c r="E21" s="28">
        <v>80010</v>
      </c>
      <c r="F21" s="23" t="s">
        <v>285</v>
      </c>
      <c r="G21" s="23" t="s">
        <v>197</v>
      </c>
      <c r="H21" s="23" t="s">
        <v>183</v>
      </c>
      <c r="I21" s="24">
        <v>36.762318840579702</v>
      </c>
      <c r="J21" s="25">
        <v>358.91803278688684</v>
      </c>
      <c r="K21" s="25">
        <v>24.934426229508208</v>
      </c>
      <c r="L21" s="25">
        <v>48.278688524590159</v>
      </c>
      <c r="M21" s="25">
        <v>66.245901639344282</v>
      </c>
      <c r="N21" s="25">
        <v>117.90163934426226</v>
      </c>
      <c r="O21" s="25">
        <v>351.4426229508212</v>
      </c>
      <c r="P21" s="25">
        <v>8.8524590163934427</v>
      </c>
      <c r="Q21" s="25">
        <v>20.180327868852469</v>
      </c>
      <c r="R21" s="25">
        <v>94.852459016393482</v>
      </c>
      <c r="S21" s="25">
        <v>13.18032786885246</v>
      </c>
      <c r="T21" s="25">
        <v>8.8196721311475397</v>
      </c>
      <c r="U21" s="25">
        <v>381.5245901639363</v>
      </c>
      <c r="V21" s="25"/>
      <c r="W21" s="26">
        <v>525</v>
      </c>
      <c r="X21" s="23" t="s">
        <v>184</v>
      </c>
      <c r="Y21" s="29" t="s">
        <v>720</v>
      </c>
      <c r="Z21" s="23" t="s">
        <v>186</v>
      </c>
      <c r="AA21" s="27" t="s">
        <v>733</v>
      </c>
      <c r="AB21" s="23" t="s">
        <v>184</v>
      </c>
      <c r="AC21" s="29" t="s">
        <v>720</v>
      </c>
      <c r="AD21" s="29" t="s">
        <v>186</v>
      </c>
      <c r="AE21" s="39">
        <v>44223</v>
      </c>
    </row>
    <row r="22" spans="1:31" ht="15.5" x14ac:dyDescent="0.35">
      <c r="A22" s="22" t="s">
        <v>213</v>
      </c>
      <c r="B22" s="23" t="s">
        <v>214</v>
      </c>
      <c r="C22" s="23" t="s">
        <v>215</v>
      </c>
      <c r="D22" s="23" t="s">
        <v>206</v>
      </c>
      <c r="E22" s="28">
        <v>71342</v>
      </c>
      <c r="F22" s="23" t="s">
        <v>207</v>
      </c>
      <c r="G22" s="23" t="s">
        <v>182</v>
      </c>
      <c r="H22" s="23" t="s">
        <v>183</v>
      </c>
      <c r="I22" s="24">
        <v>37.322091062394598</v>
      </c>
      <c r="J22" s="25">
        <v>275.78688524590297</v>
      </c>
      <c r="K22" s="25">
        <v>55.098360655737729</v>
      </c>
      <c r="L22" s="25">
        <v>104.11475409836061</v>
      </c>
      <c r="M22" s="25">
        <v>40.360655737704903</v>
      </c>
      <c r="N22" s="25">
        <v>133.99999999999989</v>
      </c>
      <c r="O22" s="25">
        <v>246.55737704917945</v>
      </c>
      <c r="P22" s="25">
        <v>38.114754098360635</v>
      </c>
      <c r="Q22" s="25">
        <v>56.688524590164086</v>
      </c>
      <c r="R22" s="25">
        <v>122.27868852459</v>
      </c>
      <c r="S22" s="25">
        <v>20.68852459016394</v>
      </c>
      <c r="T22" s="25">
        <v>20.786885245901633</v>
      </c>
      <c r="U22" s="25">
        <v>311.60655737705162</v>
      </c>
      <c r="V22" s="25"/>
      <c r="W22" s="26">
        <v>1170</v>
      </c>
      <c r="X22" s="23" t="s">
        <v>184</v>
      </c>
      <c r="Y22" s="29" t="s">
        <v>720</v>
      </c>
      <c r="Z22" s="23"/>
      <c r="AA22" s="27" t="s">
        <v>734</v>
      </c>
      <c r="AB22" s="23" t="s">
        <v>184</v>
      </c>
      <c r="AC22" s="29" t="s">
        <v>185</v>
      </c>
      <c r="AD22" s="29" t="s">
        <v>186</v>
      </c>
      <c r="AE22" s="39">
        <v>44111</v>
      </c>
    </row>
    <row r="23" spans="1:31" ht="15.5" x14ac:dyDescent="0.35">
      <c r="A23" s="22" t="s">
        <v>262</v>
      </c>
      <c r="B23" s="23" t="s">
        <v>263</v>
      </c>
      <c r="C23" s="23" t="s">
        <v>264</v>
      </c>
      <c r="D23" s="23" t="s">
        <v>206</v>
      </c>
      <c r="E23" s="28">
        <v>70515</v>
      </c>
      <c r="F23" s="23" t="s">
        <v>207</v>
      </c>
      <c r="G23" s="23" t="s">
        <v>182</v>
      </c>
      <c r="H23" s="23" t="s">
        <v>183</v>
      </c>
      <c r="I23" s="24">
        <v>42.477124183006502</v>
      </c>
      <c r="J23" s="25">
        <v>431.81967213114689</v>
      </c>
      <c r="K23" s="25">
        <v>36.45901639344261</v>
      </c>
      <c r="L23" s="25">
        <v>0.73770491803278693</v>
      </c>
      <c r="M23" s="25">
        <v>0.62295081967213117</v>
      </c>
      <c r="N23" s="25">
        <v>0</v>
      </c>
      <c r="O23" s="25">
        <v>0</v>
      </c>
      <c r="P23" s="25">
        <v>1.7868852459016398</v>
      </c>
      <c r="Q23" s="25">
        <v>467.85245901639234</v>
      </c>
      <c r="R23" s="25">
        <v>0.88524590163934425</v>
      </c>
      <c r="S23" s="25">
        <v>0.26229508196721313</v>
      </c>
      <c r="T23" s="25">
        <v>0.34426229508196721</v>
      </c>
      <c r="U23" s="25">
        <v>468.14754098360544</v>
      </c>
      <c r="V23" s="25"/>
      <c r="W23" s="26">
        <v>700</v>
      </c>
      <c r="X23" s="23" t="s">
        <v>184</v>
      </c>
      <c r="Y23" s="29" t="s">
        <v>720</v>
      </c>
      <c r="Z23" s="23"/>
      <c r="AA23" s="27" t="s">
        <v>735</v>
      </c>
      <c r="AB23" s="23" t="s">
        <v>184</v>
      </c>
      <c r="AC23" s="29" t="s">
        <v>720</v>
      </c>
      <c r="AD23" s="29" t="s">
        <v>186</v>
      </c>
      <c r="AE23" s="39">
        <v>44176</v>
      </c>
    </row>
    <row r="24" spans="1:31" ht="15.5" x14ac:dyDescent="0.35">
      <c r="A24" s="22" t="s">
        <v>244</v>
      </c>
      <c r="B24" s="23" t="s">
        <v>245</v>
      </c>
      <c r="C24" s="23" t="s">
        <v>246</v>
      </c>
      <c r="D24" s="23" t="s">
        <v>206</v>
      </c>
      <c r="E24" s="28">
        <v>71202</v>
      </c>
      <c r="F24" s="23" t="s">
        <v>207</v>
      </c>
      <c r="G24" s="23" t="s">
        <v>182</v>
      </c>
      <c r="H24" s="23" t="s">
        <v>5</v>
      </c>
      <c r="I24" s="24">
        <v>62.8032786885246</v>
      </c>
      <c r="J24" s="25">
        <v>434.83606557377055</v>
      </c>
      <c r="K24" s="25">
        <v>6.5081967213114771</v>
      </c>
      <c r="L24" s="25">
        <v>3.5081967213114753</v>
      </c>
      <c r="M24" s="25">
        <v>0.60655737704918034</v>
      </c>
      <c r="N24" s="25">
        <v>12.04918032786885</v>
      </c>
      <c r="O24" s="25">
        <v>237.80327868852353</v>
      </c>
      <c r="P24" s="25">
        <v>3.2622950819672125</v>
      </c>
      <c r="Q24" s="25">
        <v>192.34426229508199</v>
      </c>
      <c r="R24" s="25">
        <v>4.7704918032786887</v>
      </c>
      <c r="S24" s="25">
        <v>4.3934426229508201</v>
      </c>
      <c r="T24" s="25">
        <v>6.0491803278688518</v>
      </c>
      <c r="U24" s="25">
        <v>430.2459016393442</v>
      </c>
      <c r="V24" s="25"/>
      <c r="W24" s="26">
        <v>677</v>
      </c>
      <c r="X24" s="23" t="s">
        <v>184</v>
      </c>
      <c r="Y24" s="29" t="s">
        <v>720</v>
      </c>
      <c r="Z24" s="23"/>
      <c r="AA24" s="27" t="s">
        <v>734</v>
      </c>
      <c r="AB24" s="23" t="s">
        <v>184</v>
      </c>
      <c r="AC24" s="29" t="s">
        <v>720</v>
      </c>
      <c r="AD24" s="29" t="s">
        <v>186</v>
      </c>
      <c r="AE24" s="39">
        <v>44125</v>
      </c>
    </row>
    <row r="25" spans="1:31" ht="15.5" x14ac:dyDescent="0.35">
      <c r="A25" s="22" t="s">
        <v>226</v>
      </c>
      <c r="B25" s="23" t="s">
        <v>227</v>
      </c>
      <c r="C25" s="23" t="s">
        <v>228</v>
      </c>
      <c r="D25" s="23" t="s">
        <v>229</v>
      </c>
      <c r="E25" s="28">
        <v>98421</v>
      </c>
      <c r="F25" s="23" t="s">
        <v>230</v>
      </c>
      <c r="G25" s="23" t="s">
        <v>197</v>
      </c>
      <c r="H25" s="23" t="s">
        <v>183</v>
      </c>
      <c r="I25" s="24">
        <v>56.204741379310299</v>
      </c>
      <c r="J25" s="25">
        <v>266.52459016393465</v>
      </c>
      <c r="K25" s="25">
        <v>27.409836065573771</v>
      </c>
      <c r="L25" s="25">
        <v>51.836065573770497</v>
      </c>
      <c r="M25" s="25">
        <v>87.39344262295073</v>
      </c>
      <c r="N25" s="25">
        <v>158.72131147540961</v>
      </c>
      <c r="O25" s="25">
        <v>265.85245901639371</v>
      </c>
      <c r="P25" s="25">
        <v>6.8196721311475406</v>
      </c>
      <c r="Q25" s="25">
        <v>1.7704918032786885</v>
      </c>
      <c r="R25" s="25">
        <v>122.18032786885229</v>
      </c>
      <c r="S25" s="25">
        <v>15.34426229508197</v>
      </c>
      <c r="T25" s="25">
        <v>10.901639344262295</v>
      </c>
      <c r="U25" s="25">
        <v>284.73770491803305</v>
      </c>
      <c r="V25" s="25"/>
      <c r="W25" s="26">
        <v>1181</v>
      </c>
      <c r="X25" s="23" t="s">
        <v>184</v>
      </c>
      <c r="Y25" s="29" t="s">
        <v>720</v>
      </c>
      <c r="Z25" s="23" t="s">
        <v>186</v>
      </c>
      <c r="AA25" s="27" t="s">
        <v>736</v>
      </c>
      <c r="AB25" s="23" t="s">
        <v>184</v>
      </c>
      <c r="AC25" s="29" t="s">
        <v>720</v>
      </c>
      <c r="AD25" s="29" t="s">
        <v>186</v>
      </c>
      <c r="AE25" s="39">
        <v>44182</v>
      </c>
    </row>
    <row r="26" spans="1:31" ht="15.5" x14ac:dyDescent="0.35">
      <c r="A26" s="22" t="s">
        <v>308</v>
      </c>
      <c r="B26" s="23" t="s">
        <v>309</v>
      </c>
      <c r="C26" s="23" t="s">
        <v>310</v>
      </c>
      <c r="D26" s="23" t="s">
        <v>195</v>
      </c>
      <c r="E26" s="28">
        <v>77351</v>
      </c>
      <c r="F26" s="23" t="s">
        <v>243</v>
      </c>
      <c r="G26" s="23" t="s">
        <v>208</v>
      </c>
      <c r="H26" s="23" t="s">
        <v>5</v>
      </c>
      <c r="I26" s="24">
        <v>15.3304785894207</v>
      </c>
      <c r="J26" s="25">
        <v>429.36065573770151</v>
      </c>
      <c r="K26" s="25">
        <v>2.5737704918032787</v>
      </c>
      <c r="L26" s="25">
        <v>0.22950819672131148</v>
      </c>
      <c r="M26" s="25">
        <v>0.88524590163934436</v>
      </c>
      <c r="N26" s="25">
        <v>14.754098360655741</v>
      </c>
      <c r="O26" s="25">
        <v>418.29508196721054</v>
      </c>
      <c r="P26" s="25">
        <v>0</v>
      </c>
      <c r="Q26" s="25">
        <v>0</v>
      </c>
      <c r="R26" s="25">
        <v>6.3770491803278695</v>
      </c>
      <c r="S26" s="25">
        <v>2.6393442622950816</v>
      </c>
      <c r="T26" s="25">
        <v>3.7868852459016393</v>
      </c>
      <c r="U26" s="25">
        <v>420.24590163934158</v>
      </c>
      <c r="V26" s="25"/>
      <c r="W26" s="26">
        <v>350</v>
      </c>
      <c r="X26" s="23" t="s">
        <v>184</v>
      </c>
      <c r="Y26" s="29" t="s">
        <v>721</v>
      </c>
      <c r="Z26" s="23" t="s">
        <v>302</v>
      </c>
      <c r="AA26" s="27" t="s">
        <v>737</v>
      </c>
      <c r="AB26" s="23" t="s">
        <v>184</v>
      </c>
      <c r="AC26" s="29" t="s">
        <v>289</v>
      </c>
      <c r="AD26" s="29" t="s">
        <v>302</v>
      </c>
      <c r="AE26" s="39">
        <v>43839</v>
      </c>
    </row>
    <row r="27" spans="1:31" ht="15.5" x14ac:dyDescent="0.35">
      <c r="A27" s="22" t="s">
        <v>254</v>
      </c>
      <c r="B27" s="23" t="s">
        <v>255</v>
      </c>
      <c r="C27" s="23" t="s">
        <v>256</v>
      </c>
      <c r="D27" s="23" t="s">
        <v>195</v>
      </c>
      <c r="E27" s="28">
        <v>79925</v>
      </c>
      <c r="F27" s="23" t="s">
        <v>239</v>
      </c>
      <c r="G27" s="23" t="s">
        <v>234</v>
      </c>
      <c r="H27" s="23" t="s">
        <v>183</v>
      </c>
      <c r="I27" s="24">
        <v>13.5141776937618</v>
      </c>
      <c r="J27" s="25">
        <v>360.85245901639121</v>
      </c>
      <c r="K27" s="25">
        <v>19.573770491803288</v>
      </c>
      <c r="L27" s="25">
        <v>20.68852459016394</v>
      </c>
      <c r="M27" s="25">
        <v>25.442622950819668</v>
      </c>
      <c r="N27" s="25">
        <v>68.426229508196698</v>
      </c>
      <c r="O27" s="25">
        <v>258.37704918032813</v>
      </c>
      <c r="P27" s="25">
        <v>8.311475409836067</v>
      </c>
      <c r="Q27" s="25">
        <v>91.442622950819867</v>
      </c>
      <c r="R27" s="25">
        <v>29.344262295081961</v>
      </c>
      <c r="S27" s="25">
        <v>12.688524590163937</v>
      </c>
      <c r="T27" s="25">
        <v>6.3934426229508192</v>
      </c>
      <c r="U27" s="25">
        <v>378.13114754098115</v>
      </c>
      <c r="V27" s="25"/>
      <c r="W27" s="26">
        <v>600</v>
      </c>
      <c r="X27" s="23" t="s">
        <v>184</v>
      </c>
      <c r="Y27" s="29" t="s">
        <v>720</v>
      </c>
      <c r="Z27" s="23" t="s">
        <v>186</v>
      </c>
      <c r="AA27" s="27" t="s">
        <v>725</v>
      </c>
      <c r="AB27" s="23" t="s">
        <v>184</v>
      </c>
      <c r="AC27" s="29" t="s">
        <v>185</v>
      </c>
      <c r="AD27" s="29" t="s">
        <v>186</v>
      </c>
      <c r="AE27" s="39">
        <v>43811</v>
      </c>
    </row>
    <row r="28" spans="1:31" ht="15.5" x14ac:dyDescent="0.35">
      <c r="A28" s="22" t="s">
        <v>198</v>
      </c>
      <c r="B28" s="23" t="s">
        <v>677</v>
      </c>
      <c r="C28" s="23" t="s">
        <v>199</v>
      </c>
      <c r="D28" s="23" t="s">
        <v>195</v>
      </c>
      <c r="E28" s="28">
        <v>78017</v>
      </c>
      <c r="F28" s="23" t="s">
        <v>196</v>
      </c>
      <c r="G28" s="23" t="s">
        <v>200</v>
      </c>
      <c r="H28" s="23" t="s">
        <v>183</v>
      </c>
      <c r="I28" s="24">
        <v>5.15794009911657</v>
      </c>
      <c r="J28" s="25">
        <v>384.96721311474607</v>
      </c>
      <c r="K28" s="25">
        <v>4.5901639344262293</v>
      </c>
      <c r="L28" s="25">
        <v>0</v>
      </c>
      <c r="M28" s="25">
        <v>0</v>
      </c>
      <c r="N28" s="25">
        <v>0.14754098360655737</v>
      </c>
      <c r="O28" s="25">
        <v>168.26229508196704</v>
      </c>
      <c r="P28" s="25">
        <v>0</v>
      </c>
      <c r="Q28" s="25">
        <v>221.14754098360356</v>
      </c>
      <c r="R28" s="25">
        <v>0</v>
      </c>
      <c r="S28" s="25">
        <v>0</v>
      </c>
      <c r="T28" s="25">
        <v>0.14754098360655737</v>
      </c>
      <c r="U28" s="25">
        <v>389.40983606556665</v>
      </c>
      <c r="V28" s="25"/>
      <c r="W28" s="26">
        <v>2400</v>
      </c>
      <c r="X28" s="23" t="s">
        <v>184</v>
      </c>
      <c r="Y28" s="29" t="s">
        <v>201</v>
      </c>
      <c r="Z28" s="23"/>
      <c r="AA28" s="27" t="s">
        <v>738</v>
      </c>
      <c r="AB28" s="23" t="s">
        <v>184</v>
      </c>
      <c r="AC28" s="29" t="s">
        <v>201</v>
      </c>
      <c r="AD28" s="29"/>
      <c r="AE28" s="39">
        <v>44427</v>
      </c>
    </row>
    <row r="29" spans="1:31" ht="15.5" x14ac:dyDescent="0.35">
      <c r="A29" s="22" t="s">
        <v>268</v>
      </c>
      <c r="B29" s="23" t="s">
        <v>269</v>
      </c>
      <c r="C29" s="23" t="s">
        <v>41</v>
      </c>
      <c r="D29" s="23" t="s">
        <v>195</v>
      </c>
      <c r="E29" s="28">
        <v>76009</v>
      </c>
      <c r="F29" s="23" t="s">
        <v>270</v>
      </c>
      <c r="G29" s="23" t="s">
        <v>182</v>
      </c>
      <c r="H29" s="23" t="s">
        <v>183</v>
      </c>
      <c r="I29" s="24">
        <v>22.743091095189399</v>
      </c>
      <c r="J29" s="25">
        <v>190.37704918032779</v>
      </c>
      <c r="K29" s="25">
        <v>47.967213114754095</v>
      </c>
      <c r="L29" s="25">
        <v>52.934426229508205</v>
      </c>
      <c r="M29" s="25">
        <v>52.032786885245926</v>
      </c>
      <c r="N29" s="25">
        <v>148.639344262295</v>
      </c>
      <c r="O29" s="25">
        <v>174.34426229508182</v>
      </c>
      <c r="P29" s="25">
        <v>5.1639344262295079</v>
      </c>
      <c r="Q29" s="25">
        <v>15.163934426229508</v>
      </c>
      <c r="R29" s="25">
        <v>102.93442622950832</v>
      </c>
      <c r="S29" s="25">
        <v>24.803278688524589</v>
      </c>
      <c r="T29" s="25">
        <v>17.934426229508194</v>
      </c>
      <c r="U29" s="25">
        <v>197.63934426229486</v>
      </c>
      <c r="V29" s="25"/>
      <c r="W29" s="26">
        <v>525</v>
      </c>
      <c r="X29" s="23" t="s">
        <v>184</v>
      </c>
      <c r="Y29" s="29" t="s">
        <v>720</v>
      </c>
      <c r="Z29" s="23" t="s">
        <v>186</v>
      </c>
      <c r="AA29" s="27" t="s">
        <v>739</v>
      </c>
      <c r="AB29" s="23" t="s">
        <v>184</v>
      </c>
      <c r="AC29" s="29" t="s">
        <v>185</v>
      </c>
      <c r="AD29" s="29" t="s">
        <v>186</v>
      </c>
      <c r="AE29" s="39">
        <v>43874</v>
      </c>
    </row>
    <row r="30" spans="1:31" ht="15.5" x14ac:dyDescent="0.35">
      <c r="A30" s="22" t="s">
        <v>40</v>
      </c>
      <c r="B30" s="23" t="s">
        <v>260</v>
      </c>
      <c r="C30" s="23" t="s">
        <v>261</v>
      </c>
      <c r="D30" s="23" t="s">
        <v>206</v>
      </c>
      <c r="E30" s="28">
        <v>70576</v>
      </c>
      <c r="F30" s="23" t="s">
        <v>207</v>
      </c>
      <c r="G30" s="23" t="s">
        <v>208</v>
      </c>
      <c r="H30" s="23" t="s">
        <v>5</v>
      </c>
      <c r="I30" s="24">
        <v>42.8594249201278</v>
      </c>
      <c r="J30" s="25">
        <v>286.77049180327936</v>
      </c>
      <c r="K30" s="25">
        <v>18.852459016393443</v>
      </c>
      <c r="L30" s="25">
        <v>13.409836065573769</v>
      </c>
      <c r="M30" s="25">
        <v>12</v>
      </c>
      <c r="N30" s="25">
        <v>41.032786885245891</v>
      </c>
      <c r="O30" s="25">
        <v>290.00000000000063</v>
      </c>
      <c r="P30" s="25">
        <v>0</v>
      </c>
      <c r="Q30" s="25">
        <v>0</v>
      </c>
      <c r="R30" s="25">
        <v>23.229508196721302</v>
      </c>
      <c r="S30" s="25">
        <v>6</v>
      </c>
      <c r="T30" s="25">
        <v>10.655737704918034</v>
      </c>
      <c r="U30" s="25">
        <v>291.14754098360726</v>
      </c>
      <c r="V30" s="25"/>
      <c r="W30" s="26"/>
      <c r="X30" s="23" t="s">
        <v>184</v>
      </c>
      <c r="Y30" s="29" t="s">
        <v>720</v>
      </c>
      <c r="Z30" s="23" t="s">
        <v>186</v>
      </c>
      <c r="AA30" s="27" t="s">
        <v>740</v>
      </c>
      <c r="AB30" s="23" t="s">
        <v>184</v>
      </c>
      <c r="AC30" s="29" t="s">
        <v>720</v>
      </c>
      <c r="AD30" s="29" t="s">
        <v>186</v>
      </c>
      <c r="AE30" s="39">
        <v>44140</v>
      </c>
    </row>
    <row r="31" spans="1:31" ht="15.5" x14ac:dyDescent="0.35">
      <c r="A31" s="22" t="s">
        <v>10</v>
      </c>
      <c r="B31" s="23" t="s">
        <v>249</v>
      </c>
      <c r="C31" s="23" t="s">
        <v>250</v>
      </c>
      <c r="D31" s="23" t="s">
        <v>195</v>
      </c>
      <c r="E31" s="28">
        <v>78580</v>
      </c>
      <c r="F31" s="23" t="s">
        <v>718</v>
      </c>
      <c r="G31" s="23" t="s">
        <v>208</v>
      </c>
      <c r="H31" s="23" t="s">
        <v>183</v>
      </c>
      <c r="I31" s="24">
        <v>15.2711234911792</v>
      </c>
      <c r="J31" s="25">
        <v>322.31147540983255</v>
      </c>
      <c r="K31" s="25">
        <v>2.3442622950819674</v>
      </c>
      <c r="L31" s="25">
        <v>1.5737704918032787</v>
      </c>
      <c r="M31" s="25">
        <v>1.8196721311475408</v>
      </c>
      <c r="N31" s="25">
        <v>10.393442622950818</v>
      </c>
      <c r="O31" s="25">
        <v>228.09836065573847</v>
      </c>
      <c r="P31" s="25">
        <v>0.80327868852459017</v>
      </c>
      <c r="Q31" s="25">
        <v>88.754098360655732</v>
      </c>
      <c r="R31" s="25">
        <v>1.6065573770491803</v>
      </c>
      <c r="S31" s="25">
        <v>3.901639344262295</v>
      </c>
      <c r="T31" s="25">
        <v>3.9836065573770498</v>
      </c>
      <c r="U31" s="25">
        <v>318.55737704917686</v>
      </c>
      <c r="V31" s="25"/>
      <c r="W31" s="26">
        <v>750</v>
      </c>
      <c r="X31" s="23" t="s">
        <v>184</v>
      </c>
      <c r="Y31" s="29" t="s">
        <v>720</v>
      </c>
      <c r="Z31" s="23"/>
      <c r="AA31" s="27" t="s">
        <v>738</v>
      </c>
      <c r="AB31" s="23" t="s">
        <v>184</v>
      </c>
      <c r="AC31" s="29" t="s">
        <v>720</v>
      </c>
      <c r="AD31" s="29" t="s">
        <v>186</v>
      </c>
      <c r="AE31" s="39">
        <v>44175</v>
      </c>
    </row>
    <row r="32" spans="1:31" ht="15.5" x14ac:dyDescent="0.35">
      <c r="A32" s="22" t="s">
        <v>651</v>
      </c>
      <c r="B32" s="23" t="s">
        <v>292</v>
      </c>
      <c r="C32" s="23" t="s">
        <v>35</v>
      </c>
      <c r="D32" s="23" t="s">
        <v>195</v>
      </c>
      <c r="E32" s="28">
        <v>76574</v>
      </c>
      <c r="F32" s="23" t="s">
        <v>196</v>
      </c>
      <c r="G32" s="23" t="s">
        <v>182</v>
      </c>
      <c r="H32" s="23" t="s">
        <v>9</v>
      </c>
      <c r="I32" s="24">
        <v>17.710428305400399</v>
      </c>
      <c r="J32" s="25">
        <v>319.93442622950704</v>
      </c>
      <c r="K32" s="25">
        <v>1.5245901639344261</v>
      </c>
      <c r="L32" s="25">
        <v>0</v>
      </c>
      <c r="M32" s="25">
        <v>0</v>
      </c>
      <c r="N32" s="25">
        <v>0</v>
      </c>
      <c r="O32" s="25">
        <v>1.4098360655737705</v>
      </c>
      <c r="P32" s="25">
        <v>3.1803278688524586</v>
      </c>
      <c r="Q32" s="25">
        <v>316.86885245901522</v>
      </c>
      <c r="R32" s="25">
        <v>0.98360655737704916</v>
      </c>
      <c r="S32" s="25">
        <v>1.2622950819672132</v>
      </c>
      <c r="T32" s="25">
        <v>0.93442622950819676</v>
      </c>
      <c r="U32" s="25">
        <v>318.27868852458903</v>
      </c>
      <c r="V32" s="25"/>
      <c r="W32" s="26">
        <v>461</v>
      </c>
      <c r="X32" s="23" t="s">
        <v>184</v>
      </c>
      <c r="Y32" s="29" t="s">
        <v>720</v>
      </c>
      <c r="Z32" s="23" t="s">
        <v>186</v>
      </c>
      <c r="AA32" s="27" t="s">
        <v>741</v>
      </c>
      <c r="AB32" s="23" t="s">
        <v>184</v>
      </c>
      <c r="AC32" s="29" t="s">
        <v>201</v>
      </c>
      <c r="AD32" s="29" t="s">
        <v>187</v>
      </c>
      <c r="AE32" s="39">
        <v>43706</v>
      </c>
    </row>
    <row r="33" spans="1:31" ht="15.5" x14ac:dyDescent="0.35">
      <c r="A33" s="22" t="s">
        <v>240</v>
      </c>
      <c r="B33" s="23" t="s">
        <v>241</v>
      </c>
      <c r="C33" s="23" t="s">
        <v>242</v>
      </c>
      <c r="D33" s="23" t="s">
        <v>195</v>
      </c>
      <c r="E33" s="28">
        <v>77301</v>
      </c>
      <c r="F33" s="23" t="s">
        <v>243</v>
      </c>
      <c r="G33" s="23" t="s">
        <v>197</v>
      </c>
      <c r="H33" s="23" t="s">
        <v>183</v>
      </c>
      <c r="I33" s="24">
        <v>27.873284054910201</v>
      </c>
      <c r="J33" s="25">
        <v>136.19672131147556</v>
      </c>
      <c r="K33" s="25">
        <v>77.606557377049313</v>
      </c>
      <c r="L33" s="25">
        <v>25.327868852459009</v>
      </c>
      <c r="M33" s="25">
        <v>78.672131147540966</v>
      </c>
      <c r="N33" s="25">
        <v>155.639344262295</v>
      </c>
      <c r="O33" s="25">
        <v>120.6229508196726</v>
      </c>
      <c r="P33" s="25">
        <v>7.0819672131147531</v>
      </c>
      <c r="Q33" s="25">
        <v>34.459016393442603</v>
      </c>
      <c r="R33" s="25">
        <v>131.47540983606569</v>
      </c>
      <c r="S33" s="25">
        <v>21.868852459016388</v>
      </c>
      <c r="T33" s="25">
        <v>8.4098360655737707</v>
      </c>
      <c r="U33" s="25">
        <v>156.04918032786904</v>
      </c>
      <c r="V33" s="25"/>
      <c r="W33" s="26">
        <v>750</v>
      </c>
      <c r="X33" s="23" t="s">
        <v>184</v>
      </c>
      <c r="Y33" s="29" t="s">
        <v>720</v>
      </c>
      <c r="Z33" s="23"/>
      <c r="AA33" s="27" t="s">
        <v>742</v>
      </c>
      <c r="AB33" s="23" t="s">
        <v>184</v>
      </c>
      <c r="AC33" s="29" t="s">
        <v>185</v>
      </c>
      <c r="AD33" s="29" t="s">
        <v>186</v>
      </c>
      <c r="AE33" s="39">
        <v>43818</v>
      </c>
    </row>
    <row r="34" spans="1:31" ht="15.5" x14ac:dyDescent="0.35">
      <c r="A34" s="22" t="s">
        <v>305</v>
      </c>
      <c r="B34" s="23" t="s">
        <v>306</v>
      </c>
      <c r="C34" s="23" t="s">
        <v>307</v>
      </c>
      <c r="D34" s="23" t="s">
        <v>206</v>
      </c>
      <c r="E34" s="28">
        <v>71334</v>
      </c>
      <c r="F34" s="23" t="s">
        <v>207</v>
      </c>
      <c r="G34" s="23" t="s">
        <v>182</v>
      </c>
      <c r="H34" s="23" t="s">
        <v>5</v>
      </c>
      <c r="I34" s="24">
        <v>70.718487394958004</v>
      </c>
      <c r="J34" s="25">
        <v>315.96721311475335</v>
      </c>
      <c r="K34" s="25">
        <v>1.5737704918032787</v>
      </c>
      <c r="L34" s="25">
        <v>0</v>
      </c>
      <c r="M34" s="25">
        <v>0</v>
      </c>
      <c r="N34" s="25">
        <v>7.557377049180328</v>
      </c>
      <c r="O34" s="25">
        <v>309.98360655737645</v>
      </c>
      <c r="P34" s="25">
        <v>0</v>
      </c>
      <c r="Q34" s="25">
        <v>0</v>
      </c>
      <c r="R34" s="25">
        <v>0</v>
      </c>
      <c r="S34" s="25">
        <v>3.1475409836065573</v>
      </c>
      <c r="T34" s="25">
        <v>4.4098360655737707</v>
      </c>
      <c r="U34" s="25">
        <v>309.98360655737645</v>
      </c>
      <c r="V34" s="25"/>
      <c r="W34" s="26">
        <v>361</v>
      </c>
      <c r="X34" s="23" t="s">
        <v>184</v>
      </c>
      <c r="Y34" s="29" t="s">
        <v>720</v>
      </c>
      <c r="Z34" s="23"/>
      <c r="AA34" s="27" t="s">
        <v>743</v>
      </c>
      <c r="AB34" s="23" t="s">
        <v>184</v>
      </c>
      <c r="AC34" s="29" t="s">
        <v>721</v>
      </c>
      <c r="AD34" s="29" t="s">
        <v>302</v>
      </c>
      <c r="AE34" s="39">
        <v>44272</v>
      </c>
    </row>
    <row r="35" spans="1:31" ht="15.5" x14ac:dyDescent="0.35">
      <c r="A35" s="22" t="s">
        <v>7</v>
      </c>
      <c r="B35" s="23" t="s">
        <v>287</v>
      </c>
      <c r="C35" s="23" t="s">
        <v>288</v>
      </c>
      <c r="D35" s="23" t="s">
        <v>281</v>
      </c>
      <c r="E35" s="28">
        <v>33073</v>
      </c>
      <c r="F35" s="23" t="s">
        <v>30</v>
      </c>
      <c r="G35" s="23" t="s">
        <v>197</v>
      </c>
      <c r="H35" s="23" t="s">
        <v>183</v>
      </c>
      <c r="I35" s="24">
        <v>26.836870026525201</v>
      </c>
      <c r="J35" s="25">
        <v>293.93442622950874</v>
      </c>
      <c r="K35" s="25">
        <v>20.180327868852462</v>
      </c>
      <c r="L35" s="25">
        <v>0</v>
      </c>
      <c r="M35" s="25">
        <v>0</v>
      </c>
      <c r="N35" s="25">
        <v>12.721311475409838</v>
      </c>
      <c r="O35" s="25">
        <v>239.3606557377035</v>
      </c>
      <c r="P35" s="25">
        <v>0.54098360655737709</v>
      </c>
      <c r="Q35" s="25">
        <v>61.491803278688636</v>
      </c>
      <c r="R35" s="25">
        <v>0.36065573770491804</v>
      </c>
      <c r="S35" s="25">
        <v>2.9180327868852456</v>
      </c>
      <c r="T35" s="25">
        <v>7.163934426229507</v>
      </c>
      <c r="U35" s="25">
        <v>303.67213114754162</v>
      </c>
      <c r="V35" s="25"/>
      <c r="W35" s="26">
        <v>700</v>
      </c>
      <c r="X35" s="23" t="s">
        <v>184</v>
      </c>
      <c r="Y35" s="29" t="s">
        <v>720</v>
      </c>
      <c r="Z35" s="23" t="s">
        <v>186</v>
      </c>
      <c r="AA35" s="27" t="s">
        <v>744</v>
      </c>
      <c r="AB35" s="23" t="s">
        <v>184</v>
      </c>
      <c r="AC35" s="29" t="s">
        <v>185</v>
      </c>
      <c r="AD35" s="29" t="s">
        <v>186</v>
      </c>
      <c r="AE35" s="39">
        <v>44098</v>
      </c>
    </row>
    <row r="36" spans="1:31" ht="15.5" x14ac:dyDescent="0.35">
      <c r="A36" s="22" t="s">
        <v>295</v>
      </c>
      <c r="B36" s="23" t="s">
        <v>296</v>
      </c>
      <c r="C36" s="23" t="s">
        <v>297</v>
      </c>
      <c r="D36" s="23" t="s">
        <v>298</v>
      </c>
      <c r="E36" s="28">
        <v>14020</v>
      </c>
      <c r="F36" s="23" t="s">
        <v>299</v>
      </c>
      <c r="G36" s="23" t="s">
        <v>234</v>
      </c>
      <c r="H36" s="23" t="s">
        <v>183</v>
      </c>
      <c r="I36" s="24">
        <v>72.413223140495901</v>
      </c>
      <c r="J36" s="25">
        <v>76.508196721311407</v>
      </c>
      <c r="K36" s="25">
        <v>24.360655737704921</v>
      </c>
      <c r="L36" s="25">
        <v>88.032786885245898</v>
      </c>
      <c r="M36" s="25">
        <v>120.95081967213106</v>
      </c>
      <c r="N36" s="25">
        <v>180.90163934426204</v>
      </c>
      <c r="O36" s="25">
        <v>128.95081967213082</v>
      </c>
      <c r="P36" s="25">
        <v>0</v>
      </c>
      <c r="Q36" s="25">
        <v>0</v>
      </c>
      <c r="R36" s="25">
        <v>123.54098360655721</v>
      </c>
      <c r="S36" s="25">
        <v>18.114754098360653</v>
      </c>
      <c r="T36" s="25">
        <v>11.508196721311476</v>
      </c>
      <c r="U36" s="25">
        <v>156.68852459016412</v>
      </c>
      <c r="V36" s="25"/>
      <c r="W36" s="26">
        <v>400</v>
      </c>
      <c r="X36" s="23" t="s">
        <v>184</v>
      </c>
      <c r="Y36" s="29" t="s">
        <v>720</v>
      </c>
      <c r="Z36" s="23"/>
      <c r="AA36" s="27" t="s">
        <v>745</v>
      </c>
      <c r="AB36" s="23" t="s">
        <v>184</v>
      </c>
      <c r="AC36" s="29" t="s">
        <v>720</v>
      </c>
      <c r="AD36" s="29" t="s">
        <v>186</v>
      </c>
      <c r="AE36" s="39">
        <v>44266</v>
      </c>
    </row>
    <row r="37" spans="1:31" ht="15.5" x14ac:dyDescent="0.35">
      <c r="A37" s="22" t="s">
        <v>278</v>
      </c>
      <c r="B37" s="23" t="s">
        <v>279</v>
      </c>
      <c r="C37" s="23" t="s">
        <v>280</v>
      </c>
      <c r="D37" s="23" t="s">
        <v>281</v>
      </c>
      <c r="E37" s="28">
        <v>33194</v>
      </c>
      <c r="F37" s="23" t="s">
        <v>30</v>
      </c>
      <c r="G37" s="23" t="s">
        <v>234</v>
      </c>
      <c r="H37" s="23" t="s">
        <v>5</v>
      </c>
      <c r="I37" s="24">
        <v>35.8847926267281</v>
      </c>
      <c r="J37" s="25">
        <v>0.26229508196721313</v>
      </c>
      <c r="K37" s="25">
        <v>0</v>
      </c>
      <c r="L37" s="25">
        <v>109.88524590163934</v>
      </c>
      <c r="M37" s="25">
        <v>176.11475409836063</v>
      </c>
      <c r="N37" s="25">
        <v>224.21311475409809</v>
      </c>
      <c r="O37" s="25">
        <v>62.049180327868896</v>
      </c>
      <c r="P37" s="25">
        <v>0</v>
      </c>
      <c r="Q37" s="25">
        <v>0</v>
      </c>
      <c r="R37" s="25">
        <v>113.4590163934426</v>
      </c>
      <c r="S37" s="25">
        <v>24.999999999999986</v>
      </c>
      <c r="T37" s="25">
        <v>14.196721311475413</v>
      </c>
      <c r="U37" s="25">
        <v>133.60655737704926</v>
      </c>
      <c r="V37" s="25"/>
      <c r="W37" s="26">
        <v>450</v>
      </c>
      <c r="X37" s="23" t="s">
        <v>184</v>
      </c>
      <c r="Y37" s="29" t="s">
        <v>720</v>
      </c>
      <c r="Z37" s="23" t="s">
        <v>186</v>
      </c>
      <c r="AA37" s="27" t="s">
        <v>746</v>
      </c>
      <c r="AB37" s="23" t="s">
        <v>184</v>
      </c>
      <c r="AC37" s="29" t="s">
        <v>720</v>
      </c>
      <c r="AD37" s="29" t="s">
        <v>428</v>
      </c>
      <c r="AE37" s="39">
        <v>44237</v>
      </c>
    </row>
    <row r="38" spans="1:31" ht="15.5" x14ac:dyDescent="0.35">
      <c r="A38" s="22" t="s">
        <v>14</v>
      </c>
      <c r="B38" s="23" t="s">
        <v>303</v>
      </c>
      <c r="C38" s="23" t="s">
        <v>304</v>
      </c>
      <c r="D38" s="23" t="s">
        <v>195</v>
      </c>
      <c r="E38" s="28">
        <v>78046</v>
      </c>
      <c r="F38" s="23" t="s">
        <v>718</v>
      </c>
      <c r="G38" s="23" t="s">
        <v>225</v>
      </c>
      <c r="H38" s="23" t="s">
        <v>5</v>
      </c>
      <c r="I38" s="24">
        <v>25.078282828282799</v>
      </c>
      <c r="J38" s="25">
        <v>279.73770491803214</v>
      </c>
      <c r="K38" s="25">
        <v>4.4754098360655741</v>
      </c>
      <c r="L38" s="25">
        <v>0</v>
      </c>
      <c r="M38" s="25">
        <v>0</v>
      </c>
      <c r="N38" s="25">
        <v>6.5901639344262293</v>
      </c>
      <c r="O38" s="25">
        <v>277.62295081967153</v>
      </c>
      <c r="P38" s="25">
        <v>0</v>
      </c>
      <c r="Q38" s="25">
        <v>0</v>
      </c>
      <c r="R38" s="25">
        <v>0.27868852459016391</v>
      </c>
      <c r="S38" s="25">
        <v>1.5245901639344264</v>
      </c>
      <c r="T38" s="25">
        <v>3.262295081967213</v>
      </c>
      <c r="U38" s="25">
        <v>279.14754098360595</v>
      </c>
      <c r="V38" s="25"/>
      <c r="W38" s="26">
        <v>275</v>
      </c>
      <c r="X38" s="23" t="s">
        <v>184</v>
      </c>
      <c r="Y38" s="29" t="s">
        <v>253</v>
      </c>
      <c r="Z38" s="23" t="s">
        <v>186</v>
      </c>
      <c r="AA38" s="27" t="s">
        <v>747</v>
      </c>
      <c r="AB38" s="23" t="s">
        <v>184</v>
      </c>
      <c r="AC38" s="29" t="s">
        <v>253</v>
      </c>
      <c r="AD38" s="29" t="s">
        <v>186</v>
      </c>
      <c r="AE38" s="39">
        <v>43902</v>
      </c>
    </row>
    <row r="39" spans="1:31" ht="15.5" x14ac:dyDescent="0.35">
      <c r="A39" s="22" t="s">
        <v>380</v>
      </c>
      <c r="B39" s="23" t="s">
        <v>381</v>
      </c>
      <c r="C39" s="23" t="s">
        <v>382</v>
      </c>
      <c r="D39" s="23" t="s">
        <v>195</v>
      </c>
      <c r="E39" s="28">
        <v>79501</v>
      </c>
      <c r="F39" s="23" t="s">
        <v>270</v>
      </c>
      <c r="G39" s="23" t="s">
        <v>208</v>
      </c>
      <c r="H39" s="23" t="s">
        <v>5</v>
      </c>
      <c r="I39" s="24">
        <v>23.339816933638399</v>
      </c>
      <c r="J39" s="25">
        <v>185.573770491803</v>
      </c>
      <c r="K39" s="25">
        <v>76.918032786885377</v>
      </c>
      <c r="L39" s="25">
        <v>3.7213114754098355</v>
      </c>
      <c r="M39" s="25">
        <v>13.885245901639346</v>
      </c>
      <c r="N39" s="25">
        <v>27.311475409836056</v>
      </c>
      <c r="O39" s="25">
        <v>154.9508196721311</v>
      </c>
      <c r="P39" s="25">
        <v>2.3442622950819669</v>
      </c>
      <c r="Q39" s="25">
        <v>95.491803278688806</v>
      </c>
      <c r="R39" s="25">
        <v>14.688524590163935</v>
      </c>
      <c r="S39" s="25">
        <v>4.5245901639344259</v>
      </c>
      <c r="T39" s="25">
        <v>3.5901639344262297</v>
      </c>
      <c r="U39" s="25">
        <v>257.29508196721389</v>
      </c>
      <c r="V39" s="25"/>
      <c r="W39" s="26">
        <v>750</v>
      </c>
      <c r="X39" s="23" t="s">
        <v>184</v>
      </c>
      <c r="Y39" s="29" t="s">
        <v>720</v>
      </c>
      <c r="Z39" s="23" t="s">
        <v>186</v>
      </c>
      <c r="AA39" s="27" t="s">
        <v>748</v>
      </c>
      <c r="AB39" s="23" t="s">
        <v>184</v>
      </c>
      <c r="AC39" s="29" t="s">
        <v>720</v>
      </c>
      <c r="AD39" s="29" t="s">
        <v>186</v>
      </c>
      <c r="AE39" s="39">
        <v>44378</v>
      </c>
    </row>
    <row r="40" spans="1:31" ht="15.5" x14ac:dyDescent="0.35">
      <c r="A40" s="22" t="s">
        <v>257</v>
      </c>
      <c r="B40" s="23" t="s">
        <v>258</v>
      </c>
      <c r="C40" s="23" t="s">
        <v>259</v>
      </c>
      <c r="D40" s="23" t="s">
        <v>195</v>
      </c>
      <c r="E40" s="28">
        <v>77032</v>
      </c>
      <c r="F40" s="23" t="s">
        <v>243</v>
      </c>
      <c r="G40" s="23" t="s">
        <v>197</v>
      </c>
      <c r="H40" s="23" t="s">
        <v>183</v>
      </c>
      <c r="I40" s="24">
        <v>14.6546830652791</v>
      </c>
      <c r="J40" s="25">
        <v>227.09836065573799</v>
      </c>
      <c r="K40" s="25">
        <v>29.327868852459016</v>
      </c>
      <c r="L40" s="25">
        <v>0.21311475409836067</v>
      </c>
      <c r="M40" s="25">
        <v>2.360655737704918</v>
      </c>
      <c r="N40" s="25">
        <v>3.5737704918032787</v>
      </c>
      <c r="O40" s="25">
        <v>205.99999999999952</v>
      </c>
      <c r="P40" s="25">
        <v>0.19672131147540983</v>
      </c>
      <c r="Q40" s="25">
        <v>49.229508196721582</v>
      </c>
      <c r="R40" s="25">
        <v>1.8688524590163933</v>
      </c>
      <c r="S40" s="25">
        <v>0.29508196721311475</v>
      </c>
      <c r="T40" s="25">
        <v>0.90163934426229519</v>
      </c>
      <c r="U40" s="25">
        <v>255.93442622950846</v>
      </c>
      <c r="V40" s="25"/>
      <c r="W40" s="26">
        <v>750</v>
      </c>
      <c r="X40" s="23" t="s">
        <v>184</v>
      </c>
      <c r="Y40" s="29" t="s">
        <v>720</v>
      </c>
      <c r="Z40" s="23" t="s">
        <v>186</v>
      </c>
      <c r="AA40" s="27" t="s">
        <v>737</v>
      </c>
      <c r="AB40" s="23" t="s">
        <v>184</v>
      </c>
      <c r="AC40" s="29" t="s">
        <v>185</v>
      </c>
      <c r="AD40" s="29" t="s">
        <v>186</v>
      </c>
      <c r="AE40" s="39">
        <v>43839</v>
      </c>
    </row>
    <row r="41" spans="1:31" ht="15.5" x14ac:dyDescent="0.35">
      <c r="A41" s="22" t="s">
        <v>331</v>
      </c>
      <c r="B41" s="23" t="s">
        <v>332</v>
      </c>
      <c r="C41" s="23" t="s">
        <v>333</v>
      </c>
      <c r="D41" s="23" t="s">
        <v>238</v>
      </c>
      <c r="E41" s="28">
        <v>87016</v>
      </c>
      <c r="F41" s="23" t="s">
        <v>239</v>
      </c>
      <c r="G41" s="23" t="s">
        <v>208</v>
      </c>
      <c r="H41" s="23" t="s">
        <v>5</v>
      </c>
      <c r="I41" s="24">
        <v>50.244514106583097</v>
      </c>
      <c r="J41" s="25">
        <v>175.55737704917996</v>
      </c>
      <c r="K41" s="25">
        <v>68.721311475409891</v>
      </c>
      <c r="L41" s="25">
        <v>4.6557377049180326</v>
      </c>
      <c r="M41" s="25">
        <v>1.1311475409836065</v>
      </c>
      <c r="N41" s="25">
        <v>24.524590163934427</v>
      </c>
      <c r="O41" s="25">
        <v>225.54098360655649</v>
      </c>
      <c r="P41" s="25">
        <v>0</v>
      </c>
      <c r="Q41" s="25">
        <v>0</v>
      </c>
      <c r="R41" s="25">
        <v>8.2131147540983616</v>
      </c>
      <c r="S41" s="25">
        <v>3.3606557377049175</v>
      </c>
      <c r="T41" s="25">
        <v>9.4098360655737707</v>
      </c>
      <c r="U41" s="25">
        <v>229.08196721311381</v>
      </c>
      <c r="V41" s="25"/>
      <c r="W41" s="26">
        <v>714</v>
      </c>
      <c r="X41" s="23" t="s">
        <v>184</v>
      </c>
      <c r="Y41" s="29" t="s">
        <v>720</v>
      </c>
      <c r="Z41" s="23"/>
      <c r="AA41" s="27" t="s">
        <v>748</v>
      </c>
      <c r="AB41" s="23" t="s">
        <v>184</v>
      </c>
      <c r="AC41" s="29" t="s">
        <v>720</v>
      </c>
      <c r="AD41" s="29" t="s">
        <v>428</v>
      </c>
      <c r="AE41" s="39">
        <v>44406</v>
      </c>
    </row>
    <row r="42" spans="1:31" ht="15.5" x14ac:dyDescent="0.35">
      <c r="A42" s="22" t="s">
        <v>24</v>
      </c>
      <c r="B42" s="23" t="s">
        <v>678</v>
      </c>
      <c r="C42" s="23" t="s">
        <v>368</v>
      </c>
      <c r="D42" s="23" t="s">
        <v>195</v>
      </c>
      <c r="E42" s="28">
        <v>78118</v>
      </c>
      <c r="F42" s="23" t="s">
        <v>196</v>
      </c>
      <c r="G42" s="23" t="s">
        <v>182</v>
      </c>
      <c r="H42" s="23" t="s">
        <v>183</v>
      </c>
      <c r="I42" s="24">
        <v>3.93649868919313</v>
      </c>
      <c r="J42" s="25">
        <v>230.47540983606387</v>
      </c>
      <c r="K42" s="25">
        <v>14.622950819672075</v>
      </c>
      <c r="L42" s="25">
        <v>0.36065573770491799</v>
      </c>
      <c r="M42" s="25">
        <v>0</v>
      </c>
      <c r="N42" s="25">
        <v>0.16393442622950821</v>
      </c>
      <c r="O42" s="25">
        <v>198.22950819671971</v>
      </c>
      <c r="P42" s="25">
        <v>0</v>
      </c>
      <c r="Q42" s="25">
        <v>47.065573770491859</v>
      </c>
      <c r="R42" s="25">
        <v>0</v>
      </c>
      <c r="S42" s="25">
        <v>4.9180327868852458E-2</v>
      </c>
      <c r="T42" s="25">
        <v>0.11475409836065574</v>
      </c>
      <c r="U42" s="25">
        <v>245.2950819672111</v>
      </c>
      <c r="V42" s="25"/>
      <c r="W42" s="26">
        <v>830</v>
      </c>
      <c r="X42" s="23" t="s">
        <v>184</v>
      </c>
      <c r="Y42" s="29" t="s">
        <v>201</v>
      </c>
      <c r="Z42" s="23"/>
      <c r="AA42" s="27" t="s">
        <v>749</v>
      </c>
      <c r="AB42" s="23" t="s">
        <v>184</v>
      </c>
      <c r="AC42" s="29" t="s">
        <v>201</v>
      </c>
      <c r="AD42" s="29"/>
      <c r="AE42" s="39">
        <v>44358</v>
      </c>
    </row>
    <row r="43" spans="1:31" ht="15.5" x14ac:dyDescent="0.35">
      <c r="A43" s="22" t="s">
        <v>346</v>
      </c>
      <c r="B43" s="23" t="s">
        <v>347</v>
      </c>
      <c r="C43" s="23" t="s">
        <v>286</v>
      </c>
      <c r="D43" s="23" t="s">
        <v>191</v>
      </c>
      <c r="E43" s="28">
        <v>31537</v>
      </c>
      <c r="F43" s="23" t="s">
        <v>192</v>
      </c>
      <c r="G43" s="23" t="s">
        <v>182</v>
      </c>
      <c r="H43" s="23" t="s">
        <v>5</v>
      </c>
      <c r="I43" s="24">
        <v>23.8979591836735</v>
      </c>
      <c r="J43" s="25">
        <v>124.08196721311455</v>
      </c>
      <c r="K43" s="25">
        <v>20.983606557377048</v>
      </c>
      <c r="L43" s="25">
        <v>28.852459016393428</v>
      </c>
      <c r="M43" s="25">
        <v>37.524590163934413</v>
      </c>
      <c r="N43" s="25">
        <v>66.278688524590208</v>
      </c>
      <c r="O43" s="25">
        <v>145.16393442622982</v>
      </c>
      <c r="P43" s="25">
        <v>0</v>
      </c>
      <c r="Q43" s="25">
        <v>0</v>
      </c>
      <c r="R43" s="25">
        <v>33.950819672131125</v>
      </c>
      <c r="S43" s="25">
        <v>10.262295081967215</v>
      </c>
      <c r="T43" s="25">
        <v>8.4918032786885238</v>
      </c>
      <c r="U43" s="25">
        <v>158.73770491803299</v>
      </c>
      <c r="V43" s="25"/>
      <c r="W43" s="26"/>
      <c r="X43" s="23" t="s">
        <v>184</v>
      </c>
      <c r="Y43" s="29" t="s">
        <v>720</v>
      </c>
      <c r="Z43" s="23" t="s">
        <v>186</v>
      </c>
      <c r="AA43" s="27" t="s">
        <v>750</v>
      </c>
      <c r="AB43" s="23" t="s">
        <v>184</v>
      </c>
      <c r="AC43" s="29" t="s">
        <v>185</v>
      </c>
      <c r="AD43" s="29" t="s">
        <v>186</v>
      </c>
      <c r="AE43" s="39">
        <v>44113</v>
      </c>
    </row>
    <row r="44" spans="1:31" ht="15.5" x14ac:dyDescent="0.35">
      <c r="A44" s="22" t="s">
        <v>652</v>
      </c>
      <c r="B44" s="23" t="s">
        <v>679</v>
      </c>
      <c r="C44" s="23" t="s">
        <v>315</v>
      </c>
      <c r="D44" s="23" t="s">
        <v>211</v>
      </c>
      <c r="E44" s="28">
        <v>85132</v>
      </c>
      <c r="F44" s="23" t="s">
        <v>212</v>
      </c>
      <c r="G44" s="23" t="s">
        <v>252</v>
      </c>
      <c r="H44" s="23" t="s">
        <v>5</v>
      </c>
      <c r="I44" s="24">
        <v>20.086242299794701</v>
      </c>
      <c r="J44" s="25">
        <v>183.54098360655757</v>
      </c>
      <c r="K44" s="25">
        <v>5.4590163934426226</v>
      </c>
      <c r="L44" s="25">
        <v>7.9016393442622954</v>
      </c>
      <c r="M44" s="25">
        <v>11.852459016393441</v>
      </c>
      <c r="N44" s="25">
        <v>23.786885245901633</v>
      </c>
      <c r="O44" s="25">
        <v>168.18032786885252</v>
      </c>
      <c r="P44" s="25">
        <v>1.2786885245901638</v>
      </c>
      <c r="Q44" s="25">
        <v>15.508196721311476</v>
      </c>
      <c r="R44" s="25">
        <v>10.196721311475409</v>
      </c>
      <c r="S44" s="25">
        <v>2.1475409836065573</v>
      </c>
      <c r="T44" s="25">
        <v>4.1803278688524586</v>
      </c>
      <c r="U44" s="25">
        <v>192.22950819672164</v>
      </c>
      <c r="V44" s="25"/>
      <c r="W44" s="26"/>
      <c r="X44" s="23" t="s">
        <v>184</v>
      </c>
      <c r="Y44" s="29" t="s">
        <v>253</v>
      </c>
      <c r="Z44" s="23" t="s">
        <v>186</v>
      </c>
      <c r="AA44" s="27" t="s">
        <v>745</v>
      </c>
      <c r="AB44" s="23" t="s">
        <v>184</v>
      </c>
      <c r="AC44" s="29" t="s">
        <v>253</v>
      </c>
      <c r="AD44" s="29"/>
      <c r="AE44" s="39">
        <v>44141</v>
      </c>
    </row>
    <row r="45" spans="1:31" ht="15.5" x14ac:dyDescent="0.35">
      <c r="A45" s="22" t="s">
        <v>336</v>
      </c>
      <c r="B45" s="23" t="s">
        <v>337</v>
      </c>
      <c r="C45" s="23" t="s">
        <v>338</v>
      </c>
      <c r="D45" s="23" t="s">
        <v>276</v>
      </c>
      <c r="E45" s="28">
        <v>22427</v>
      </c>
      <c r="F45" s="23" t="s">
        <v>277</v>
      </c>
      <c r="G45" s="23" t="s">
        <v>182</v>
      </c>
      <c r="H45" s="23" t="s">
        <v>183</v>
      </c>
      <c r="I45" s="24">
        <v>55.255681818181799</v>
      </c>
      <c r="J45" s="25">
        <v>33.737704918032783</v>
      </c>
      <c r="K45" s="25">
        <v>30.885245901639337</v>
      </c>
      <c r="L45" s="25">
        <v>47.983606557377058</v>
      </c>
      <c r="M45" s="25">
        <v>81.885245901639308</v>
      </c>
      <c r="N45" s="25">
        <v>128.72131147540983</v>
      </c>
      <c r="O45" s="25">
        <v>65.770491803278745</v>
      </c>
      <c r="P45" s="25">
        <v>0</v>
      </c>
      <c r="Q45" s="25">
        <v>0</v>
      </c>
      <c r="R45" s="25">
        <v>64.295081967213136</v>
      </c>
      <c r="S45" s="25">
        <v>22.688524590163929</v>
      </c>
      <c r="T45" s="25">
        <v>10.295081967213115</v>
      </c>
      <c r="U45" s="25">
        <v>97.213114754098385</v>
      </c>
      <c r="V45" s="25"/>
      <c r="W45" s="26">
        <v>224</v>
      </c>
      <c r="X45" s="23" t="s">
        <v>184</v>
      </c>
      <c r="Y45" s="29" t="s">
        <v>720</v>
      </c>
      <c r="Z45" s="23" t="s">
        <v>186</v>
      </c>
      <c r="AA45" s="27" t="s">
        <v>751</v>
      </c>
      <c r="AB45" s="23" t="s">
        <v>184</v>
      </c>
      <c r="AC45" s="29" t="s">
        <v>185</v>
      </c>
      <c r="AD45" s="29" t="s">
        <v>186</v>
      </c>
      <c r="AE45" s="39">
        <v>44091</v>
      </c>
    </row>
    <row r="46" spans="1:31" ht="15.5" x14ac:dyDescent="0.35">
      <c r="A46" s="22" t="s">
        <v>16</v>
      </c>
      <c r="B46" s="23" t="s">
        <v>348</v>
      </c>
      <c r="C46" s="23" t="s">
        <v>304</v>
      </c>
      <c r="D46" s="23" t="s">
        <v>195</v>
      </c>
      <c r="E46" s="28">
        <v>78041</v>
      </c>
      <c r="F46" s="23" t="s">
        <v>718</v>
      </c>
      <c r="G46" s="23" t="s">
        <v>182</v>
      </c>
      <c r="H46" s="23" t="s">
        <v>183</v>
      </c>
      <c r="I46" s="24">
        <v>15.6385135135135</v>
      </c>
      <c r="J46" s="25">
        <v>177.31147540983559</v>
      </c>
      <c r="K46" s="25">
        <v>4.9180327868852458E-2</v>
      </c>
      <c r="L46" s="25">
        <v>9.8360655737704916E-2</v>
      </c>
      <c r="M46" s="25">
        <v>0</v>
      </c>
      <c r="N46" s="25">
        <v>0</v>
      </c>
      <c r="O46" s="25">
        <v>0.57377049180327866</v>
      </c>
      <c r="P46" s="25">
        <v>2.3934426229508197</v>
      </c>
      <c r="Q46" s="25">
        <v>174.49180327868802</v>
      </c>
      <c r="R46" s="25">
        <v>0.31147540983606559</v>
      </c>
      <c r="S46" s="25">
        <v>0.73770491803278682</v>
      </c>
      <c r="T46" s="25">
        <v>0.98360655737704916</v>
      </c>
      <c r="U46" s="25">
        <v>175.42622950819623</v>
      </c>
      <c r="V46" s="25"/>
      <c r="W46" s="26"/>
      <c r="X46" s="23" t="s">
        <v>184</v>
      </c>
      <c r="Y46" s="29" t="s">
        <v>721</v>
      </c>
      <c r="Z46" s="23" t="s">
        <v>302</v>
      </c>
      <c r="AA46" s="27" t="s">
        <v>752</v>
      </c>
      <c r="AB46" s="23" t="s">
        <v>184</v>
      </c>
      <c r="AC46" s="29" t="s">
        <v>289</v>
      </c>
      <c r="AD46" s="29" t="s">
        <v>302</v>
      </c>
      <c r="AE46" s="39">
        <v>44127</v>
      </c>
    </row>
    <row r="47" spans="1:31" ht="15.5" x14ac:dyDescent="0.35">
      <c r="A47" s="22" t="s">
        <v>26</v>
      </c>
      <c r="B47" s="23" t="s">
        <v>402</v>
      </c>
      <c r="C47" s="23" t="s">
        <v>304</v>
      </c>
      <c r="D47" s="23" t="s">
        <v>195</v>
      </c>
      <c r="E47" s="28">
        <v>78046</v>
      </c>
      <c r="F47" s="23" t="s">
        <v>718</v>
      </c>
      <c r="G47" s="23" t="s">
        <v>182</v>
      </c>
      <c r="H47" s="23" t="s">
        <v>183</v>
      </c>
      <c r="I47" s="24">
        <v>20.3037037037037</v>
      </c>
      <c r="J47" s="25">
        <v>142.39344262295077</v>
      </c>
      <c r="K47" s="25">
        <v>1.5737704918032787</v>
      </c>
      <c r="L47" s="25">
        <v>9.3770491803278713</v>
      </c>
      <c r="M47" s="25">
        <v>22.475409836065573</v>
      </c>
      <c r="N47" s="25">
        <v>25.57377049180328</v>
      </c>
      <c r="O47" s="25">
        <v>57.475409836065531</v>
      </c>
      <c r="P47" s="25">
        <v>3.2295081967213113</v>
      </c>
      <c r="Q47" s="25">
        <v>89.540983606557461</v>
      </c>
      <c r="R47" s="25">
        <v>10.114754098360658</v>
      </c>
      <c r="S47" s="25">
        <v>5.4262295081967213</v>
      </c>
      <c r="T47" s="25">
        <v>2.2459016393442623</v>
      </c>
      <c r="U47" s="25">
        <v>158.03278688524557</v>
      </c>
      <c r="V47" s="25"/>
      <c r="W47" s="26"/>
      <c r="X47" s="23" t="s">
        <v>184</v>
      </c>
      <c r="Y47" s="29" t="s">
        <v>720</v>
      </c>
      <c r="Z47" s="23" t="s">
        <v>186</v>
      </c>
      <c r="AA47" s="27" t="s">
        <v>727</v>
      </c>
      <c r="AB47" s="23" t="s">
        <v>184</v>
      </c>
      <c r="AC47" s="29" t="s">
        <v>185</v>
      </c>
      <c r="AD47" s="29" t="s">
        <v>186</v>
      </c>
      <c r="AE47" s="39">
        <v>43867</v>
      </c>
    </row>
    <row r="48" spans="1:31" ht="15.5" x14ac:dyDescent="0.35">
      <c r="A48" s="22" t="s">
        <v>357</v>
      </c>
      <c r="B48" s="23" t="s">
        <v>358</v>
      </c>
      <c r="C48" s="23" t="s">
        <v>42</v>
      </c>
      <c r="D48" s="23" t="s">
        <v>284</v>
      </c>
      <c r="E48" s="28">
        <v>80010</v>
      </c>
      <c r="F48" s="23" t="s">
        <v>285</v>
      </c>
      <c r="G48" s="23" t="s">
        <v>197</v>
      </c>
      <c r="H48" s="23" t="s">
        <v>183</v>
      </c>
      <c r="I48" s="24">
        <v>37.5540838852097</v>
      </c>
      <c r="J48" s="25">
        <v>141.81967213114766</v>
      </c>
      <c r="K48" s="25">
        <v>10.442622950819668</v>
      </c>
      <c r="L48" s="25">
        <v>7.4262295081967222</v>
      </c>
      <c r="M48" s="25">
        <v>9.1147540983606561</v>
      </c>
      <c r="N48" s="25">
        <v>13.819672131147545</v>
      </c>
      <c r="O48" s="25">
        <v>127.2622950819671</v>
      </c>
      <c r="P48" s="25">
        <v>9.6229508196721305</v>
      </c>
      <c r="Q48" s="25">
        <v>18.098360655737707</v>
      </c>
      <c r="R48" s="25">
        <v>2.7540983606557372</v>
      </c>
      <c r="S48" s="25">
        <v>0.90163934426229508</v>
      </c>
      <c r="T48" s="25">
        <v>1.3114754098360655</v>
      </c>
      <c r="U48" s="25">
        <v>163.83606557377107</v>
      </c>
      <c r="V48" s="25"/>
      <c r="W48" s="26">
        <v>432</v>
      </c>
      <c r="X48" s="23" t="s">
        <v>184</v>
      </c>
      <c r="Y48" s="29" t="s">
        <v>720</v>
      </c>
      <c r="Z48" s="23"/>
      <c r="AA48" s="27" t="s">
        <v>753</v>
      </c>
      <c r="AB48" s="23" t="s">
        <v>184</v>
      </c>
      <c r="AC48" s="29" t="s">
        <v>720</v>
      </c>
      <c r="AD48" s="29" t="s">
        <v>186</v>
      </c>
      <c r="AE48" s="39">
        <v>44225</v>
      </c>
    </row>
    <row r="49" spans="1:31" ht="15.5" x14ac:dyDescent="0.35">
      <c r="A49" s="22" t="s">
        <v>322</v>
      </c>
      <c r="B49" s="23" t="s">
        <v>323</v>
      </c>
      <c r="C49" s="23" t="s">
        <v>324</v>
      </c>
      <c r="D49" s="23" t="s">
        <v>29</v>
      </c>
      <c r="E49" s="28">
        <v>2360</v>
      </c>
      <c r="F49" s="23" t="s">
        <v>325</v>
      </c>
      <c r="G49" s="23" t="s">
        <v>208</v>
      </c>
      <c r="H49" s="23" t="s">
        <v>5</v>
      </c>
      <c r="I49" s="24">
        <v>65.087500000000006</v>
      </c>
      <c r="J49" s="25">
        <v>0.63934426229508201</v>
      </c>
      <c r="K49" s="25">
        <v>0</v>
      </c>
      <c r="L49" s="25">
        <v>50.934426229508212</v>
      </c>
      <c r="M49" s="25">
        <v>111.85245901639333</v>
      </c>
      <c r="N49" s="25">
        <v>137.22950819672107</v>
      </c>
      <c r="O49" s="25">
        <v>26.196721311475407</v>
      </c>
      <c r="P49" s="25">
        <v>0</v>
      </c>
      <c r="Q49" s="25">
        <v>0</v>
      </c>
      <c r="R49" s="25">
        <v>100.93442622950812</v>
      </c>
      <c r="S49" s="25">
        <v>9.9672131147540988</v>
      </c>
      <c r="T49" s="25">
        <v>6.1147540983606561</v>
      </c>
      <c r="U49" s="25">
        <v>46.409836065573778</v>
      </c>
      <c r="V49" s="25"/>
      <c r="W49" s="26"/>
      <c r="X49" s="23" t="s">
        <v>184</v>
      </c>
      <c r="Y49" s="29" t="s">
        <v>721</v>
      </c>
      <c r="Z49" s="23" t="s">
        <v>302</v>
      </c>
      <c r="AA49" s="27" t="s">
        <v>754</v>
      </c>
      <c r="AB49" s="23" t="s">
        <v>184</v>
      </c>
      <c r="AC49" s="29" t="s">
        <v>721</v>
      </c>
      <c r="AD49" s="29" t="s">
        <v>302</v>
      </c>
      <c r="AE49" s="39">
        <v>44195</v>
      </c>
    </row>
    <row r="50" spans="1:31" ht="15.5" x14ac:dyDescent="0.35">
      <c r="A50" s="22" t="s">
        <v>17</v>
      </c>
      <c r="B50" s="23" t="s">
        <v>300</v>
      </c>
      <c r="C50" s="23" t="s">
        <v>301</v>
      </c>
      <c r="D50" s="23" t="s">
        <v>281</v>
      </c>
      <c r="E50" s="28">
        <v>33471</v>
      </c>
      <c r="F50" s="23" t="s">
        <v>30</v>
      </c>
      <c r="G50" s="23" t="s">
        <v>208</v>
      </c>
      <c r="H50" s="23" t="s">
        <v>183</v>
      </c>
      <c r="I50" s="24">
        <v>81.314285714285703</v>
      </c>
      <c r="J50" s="25">
        <v>0</v>
      </c>
      <c r="K50" s="25">
        <v>0</v>
      </c>
      <c r="L50" s="25">
        <v>51.475409836065566</v>
      </c>
      <c r="M50" s="25">
        <v>108</v>
      </c>
      <c r="N50" s="25">
        <v>116.11475409836068</v>
      </c>
      <c r="O50" s="25">
        <v>18.606557377049182</v>
      </c>
      <c r="P50" s="25">
        <v>19.262295081967213</v>
      </c>
      <c r="Q50" s="25">
        <v>5.4918032786885238</v>
      </c>
      <c r="R50" s="25">
        <v>59.540983606557404</v>
      </c>
      <c r="S50" s="25">
        <v>4.3934426229508201</v>
      </c>
      <c r="T50" s="25">
        <v>4.918032786885246</v>
      </c>
      <c r="U50" s="25">
        <v>90.622950819672226</v>
      </c>
      <c r="V50" s="25"/>
      <c r="W50" s="26">
        <v>300</v>
      </c>
      <c r="X50" s="23" t="s">
        <v>184</v>
      </c>
      <c r="Y50" s="29" t="s">
        <v>721</v>
      </c>
      <c r="Z50" s="23" t="s">
        <v>302</v>
      </c>
      <c r="AA50" s="27" t="s">
        <v>755</v>
      </c>
      <c r="AB50" s="23" t="s">
        <v>184</v>
      </c>
      <c r="AC50" s="29" t="s">
        <v>289</v>
      </c>
      <c r="AD50" s="29" t="s">
        <v>302</v>
      </c>
      <c r="AE50" s="39">
        <v>43895</v>
      </c>
    </row>
    <row r="51" spans="1:31" ht="15.5" x14ac:dyDescent="0.35">
      <c r="A51" s="22" t="s">
        <v>28</v>
      </c>
      <c r="B51" s="23" t="s">
        <v>393</v>
      </c>
      <c r="C51" s="23" t="s">
        <v>394</v>
      </c>
      <c r="D51" s="23" t="s">
        <v>298</v>
      </c>
      <c r="E51" s="28">
        <v>10924</v>
      </c>
      <c r="F51" s="23" t="s">
        <v>330</v>
      </c>
      <c r="G51" s="23" t="s">
        <v>208</v>
      </c>
      <c r="H51" s="23" t="s">
        <v>183</v>
      </c>
      <c r="I51" s="24">
        <v>39.246753246753201</v>
      </c>
      <c r="J51" s="25">
        <v>15.819672131147536</v>
      </c>
      <c r="K51" s="25">
        <v>27.131147540983605</v>
      </c>
      <c r="L51" s="25">
        <v>63.245901639344282</v>
      </c>
      <c r="M51" s="25">
        <v>42.180327868852451</v>
      </c>
      <c r="N51" s="25">
        <v>111.68852459016387</v>
      </c>
      <c r="O51" s="25">
        <v>30.655737704918032</v>
      </c>
      <c r="P51" s="25">
        <v>4.7213114754098369</v>
      </c>
      <c r="Q51" s="25">
        <v>1.3114754098360657</v>
      </c>
      <c r="R51" s="25">
        <v>53.032786885245905</v>
      </c>
      <c r="S51" s="25">
        <v>32.950819672131125</v>
      </c>
      <c r="T51" s="25">
        <v>19.540983606557376</v>
      </c>
      <c r="U51" s="25">
        <v>42.852459016393453</v>
      </c>
      <c r="V51" s="25"/>
      <c r="W51" s="26"/>
      <c r="X51" s="23" t="s">
        <v>184</v>
      </c>
      <c r="Y51" s="29" t="s">
        <v>721</v>
      </c>
      <c r="Z51" s="23" t="s">
        <v>302</v>
      </c>
      <c r="AA51" s="27" t="s">
        <v>756</v>
      </c>
      <c r="AB51" s="23" t="s">
        <v>184</v>
      </c>
      <c r="AC51" s="29" t="s">
        <v>721</v>
      </c>
      <c r="AD51" s="29" t="s">
        <v>302</v>
      </c>
      <c r="AE51" s="39">
        <v>44134</v>
      </c>
    </row>
    <row r="52" spans="1:31" ht="15.5" x14ac:dyDescent="0.35">
      <c r="A52" s="22" t="s">
        <v>339</v>
      </c>
      <c r="B52" s="23" t="s">
        <v>340</v>
      </c>
      <c r="C52" s="23" t="s">
        <v>341</v>
      </c>
      <c r="D52" s="23" t="s">
        <v>281</v>
      </c>
      <c r="E52" s="28">
        <v>32063</v>
      </c>
      <c r="F52" s="23" t="s">
        <v>30</v>
      </c>
      <c r="G52" s="23" t="s">
        <v>208</v>
      </c>
      <c r="H52" s="23" t="s">
        <v>183</v>
      </c>
      <c r="I52" s="24">
        <v>44.786885245901601</v>
      </c>
      <c r="J52" s="25">
        <v>5.7377049180327875</v>
      </c>
      <c r="K52" s="25">
        <v>20.9016393442623</v>
      </c>
      <c r="L52" s="25">
        <v>56.442622950819676</v>
      </c>
      <c r="M52" s="25">
        <v>55.360655737704931</v>
      </c>
      <c r="N52" s="25">
        <v>110.75409836065563</v>
      </c>
      <c r="O52" s="25">
        <v>24.459016393442631</v>
      </c>
      <c r="P52" s="25">
        <v>2.0327868852459021</v>
      </c>
      <c r="Q52" s="25">
        <v>1.1967213114754101</v>
      </c>
      <c r="R52" s="25">
        <v>55.918032786885256</v>
      </c>
      <c r="S52" s="25">
        <v>12.950819672131146</v>
      </c>
      <c r="T52" s="25">
        <v>9.1639344262295079</v>
      </c>
      <c r="U52" s="25">
        <v>60.409836065573785</v>
      </c>
      <c r="V52" s="25"/>
      <c r="W52" s="26">
        <v>192</v>
      </c>
      <c r="X52" s="23" t="s">
        <v>184</v>
      </c>
      <c r="Y52" s="29" t="s">
        <v>721</v>
      </c>
      <c r="Z52" s="23" t="s">
        <v>302</v>
      </c>
      <c r="AA52" s="27" t="s">
        <v>757</v>
      </c>
      <c r="AB52" s="23" t="s">
        <v>184</v>
      </c>
      <c r="AC52" s="29" t="s">
        <v>721</v>
      </c>
      <c r="AD52" s="29" t="s">
        <v>302</v>
      </c>
      <c r="AE52" s="39">
        <v>44140</v>
      </c>
    </row>
    <row r="53" spans="1:31" ht="15.5" x14ac:dyDescent="0.35">
      <c r="A53" s="22" t="s">
        <v>313</v>
      </c>
      <c r="B53" s="23" t="s">
        <v>314</v>
      </c>
      <c r="C53" s="23" t="s">
        <v>315</v>
      </c>
      <c r="D53" s="23" t="s">
        <v>211</v>
      </c>
      <c r="E53" s="28">
        <v>85132</v>
      </c>
      <c r="F53" s="23" t="s">
        <v>212</v>
      </c>
      <c r="G53" s="23" t="s">
        <v>234</v>
      </c>
      <c r="H53" s="23" t="s">
        <v>5</v>
      </c>
      <c r="I53" s="24">
        <v>3.5018556701030898</v>
      </c>
      <c r="J53" s="25">
        <v>128.54098360655772</v>
      </c>
      <c r="K53" s="25">
        <v>1.9508196721311482</v>
      </c>
      <c r="L53" s="25">
        <v>1.1639344262295084</v>
      </c>
      <c r="M53" s="25">
        <v>0.65573770491803318</v>
      </c>
      <c r="N53" s="25">
        <v>4.3934426229508157</v>
      </c>
      <c r="O53" s="25">
        <v>127.78688524590189</v>
      </c>
      <c r="P53" s="25">
        <v>9.836065573770493E-2</v>
      </c>
      <c r="Q53" s="25">
        <v>3.2786885245901641E-2</v>
      </c>
      <c r="R53" s="25">
        <v>1.2786885245901642</v>
      </c>
      <c r="S53" s="25">
        <v>0.59016393442622961</v>
      </c>
      <c r="T53" s="25">
        <v>0.52459016393442626</v>
      </c>
      <c r="U53" s="25">
        <v>129.91803278688556</v>
      </c>
      <c r="V53" s="25"/>
      <c r="W53" s="26">
        <v>392</v>
      </c>
      <c r="X53" s="23" t="s">
        <v>184</v>
      </c>
      <c r="Y53" s="29" t="s">
        <v>720</v>
      </c>
      <c r="Z53" s="23"/>
      <c r="AA53" s="27" t="s">
        <v>758</v>
      </c>
      <c r="AB53" s="23" t="s">
        <v>184</v>
      </c>
      <c r="AC53" s="29" t="s">
        <v>720</v>
      </c>
      <c r="AD53" s="29" t="s">
        <v>186</v>
      </c>
      <c r="AE53" s="39">
        <v>44139</v>
      </c>
    </row>
    <row r="54" spans="1:31" ht="15.5" x14ac:dyDescent="0.35">
      <c r="A54" s="22" t="s">
        <v>6</v>
      </c>
      <c r="B54" s="23" t="s">
        <v>395</v>
      </c>
      <c r="C54" s="23" t="s">
        <v>396</v>
      </c>
      <c r="D54" s="23" t="s">
        <v>206</v>
      </c>
      <c r="E54" s="28">
        <v>70655</v>
      </c>
      <c r="F54" s="23" t="s">
        <v>207</v>
      </c>
      <c r="G54" s="23" t="s">
        <v>208</v>
      </c>
      <c r="H54" s="23" t="s">
        <v>5</v>
      </c>
      <c r="I54" s="24">
        <v>48.260273972602697</v>
      </c>
      <c r="J54" s="25">
        <v>126.70491803278696</v>
      </c>
      <c r="K54" s="25">
        <v>3</v>
      </c>
      <c r="L54" s="25">
        <v>0</v>
      </c>
      <c r="M54" s="25">
        <v>0.54098360655737709</v>
      </c>
      <c r="N54" s="25">
        <v>3.639344262295082</v>
      </c>
      <c r="O54" s="25">
        <v>126.60655737704923</v>
      </c>
      <c r="P54" s="25">
        <v>0</v>
      </c>
      <c r="Q54" s="25">
        <v>0</v>
      </c>
      <c r="R54" s="25">
        <v>2.8688524590163933</v>
      </c>
      <c r="S54" s="25">
        <v>0</v>
      </c>
      <c r="T54" s="25">
        <v>0.77049180327868849</v>
      </c>
      <c r="U54" s="25">
        <v>126.60655737704923</v>
      </c>
      <c r="V54" s="25"/>
      <c r="W54" s="26">
        <v>170</v>
      </c>
      <c r="X54" s="23" t="s">
        <v>184</v>
      </c>
      <c r="Y54" s="29" t="s">
        <v>720</v>
      </c>
      <c r="Z54" s="23" t="s">
        <v>186</v>
      </c>
      <c r="AA54" s="27" t="s">
        <v>743</v>
      </c>
      <c r="AB54" s="23" t="s">
        <v>184</v>
      </c>
      <c r="AC54" s="29" t="s">
        <v>720</v>
      </c>
      <c r="AD54" s="29" t="s">
        <v>186</v>
      </c>
      <c r="AE54" s="39">
        <v>44174</v>
      </c>
    </row>
    <row r="55" spans="1:31" ht="15.5" x14ac:dyDescent="0.35">
      <c r="A55" s="22" t="s">
        <v>653</v>
      </c>
      <c r="B55" s="23" t="s">
        <v>680</v>
      </c>
      <c r="C55" s="23" t="s">
        <v>681</v>
      </c>
      <c r="D55" s="23" t="s">
        <v>180</v>
      </c>
      <c r="E55" s="28">
        <v>93250</v>
      </c>
      <c r="F55" s="23" t="s">
        <v>318</v>
      </c>
      <c r="G55" s="23" t="s">
        <v>197</v>
      </c>
      <c r="H55" s="23" t="s">
        <v>183</v>
      </c>
      <c r="I55" s="24">
        <v>46.707317073170699</v>
      </c>
      <c r="J55" s="25">
        <v>0</v>
      </c>
      <c r="K55" s="25">
        <v>0.73770491803278693</v>
      </c>
      <c r="L55" s="25">
        <v>39.688524590163922</v>
      </c>
      <c r="M55" s="25">
        <v>89.213114754098299</v>
      </c>
      <c r="N55" s="25">
        <v>128.65573770491784</v>
      </c>
      <c r="O55" s="25">
        <v>0.98360655737704916</v>
      </c>
      <c r="P55" s="25">
        <v>0</v>
      </c>
      <c r="Q55" s="25">
        <v>0</v>
      </c>
      <c r="R55" s="25">
        <v>94.442622950819569</v>
      </c>
      <c r="S55" s="25">
        <v>7.0819672131147549</v>
      </c>
      <c r="T55" s="25">
        <v>0.98360655737704916</v>
      </c>
      <c r="U55" s="25">
        <v>27.131147540983601</v>
      </c>
      <c r="V55" s="25"/>
      <c r="W55" s="26">
        <v>560</v>
      </c>
      <c r="X55" s="23" t="s">
        <v>184</v>
      </c>
      <c r="Y55" s="29" t="s">
        <v>720</v>
      </c>
      <c r="Z55" s="23" t="s">
        <v>186</v>
      </c>
      <c r="AA55" s="27" t="s">
        <v>744</v>
      </c>
      <c r="AB55" s="23" t="s">
        <v>184</v>
      </c>
      <c r="AC55" s="29" t="s">
        <v>720</v>
      </c>
      <c r="AD55" s="29" t="s">
        <v>186</v>
      </c>
      <c r="AE55" s="39">
        <v>44272</v>
      </c>
    </row>
    <row r="56" spans="1:31" ht="15.5" x14ac:dyDescent="0.35">
      <c r="A56" s="22" t="s">
        <v>349</v>
      </c>
      <c r="B56" s="23" t="s">
        <v>350</v>
      </c>
      <c r="C56" s="23" t="s">
        <v>351</v>
      </c>
      <c r="D56" s="23" t="s">
        <v>44</v>
      </c>
      <c r="E56" s="28">
        <v>35901</v>
      </c>
      <c r="F56" s="23" t="s">
        <v>207</v>
      </c>
      <c r="G56" s="23" t="s">
        <v>252</v>
      </c>
      <c r="H56" s="23" t="s">
        <v>5</v>
      </c>
      <c r="I56" s="24">
        <v>59.843478260869603</v>
      </c>
      <c r="J56" s="25">
        <v>89.278688524590237</v>
      </c>
      <c r="K56" s="25">
        <v>2.0819672131147544</v>
      </c>
      <c r="L56" s="25">
        <v>13.60655737704918</v>
      </c>
      <c r="M56" s="25">
        <v>13.704918032786889</v>
      </c>
      <c r="N56" s="25">
        <v>25.196721311475422</v>
      </c>
      <c r="O56" s="25">
        <v>93.213114754098413</v>
      </c>
      <c r="P56" s="25">
        <v>0</v>
      </c>
      <c r="Q56" s="25">
        <v>0.26229508196721307</v>
      </c>
      <c r="R56" s="25">
        <v>13.180327868852459</v>
      </c>
      <c r="S56" s="25">
        <v>4.5081967213114744</v>
      </c>
      <c r="T56" s="25">
        <v>1.4754098360655739</v>
      </c>
      <c r="U56" s="25">
        <v>99.508196721311535</v>
      </c>
      <c r="V56" s="25"/>
      <c r="W56" s="26"/>
      <c r="X56" s="23" t="s">
        <v>184</v>
      </c>
      <c r="Y56" s="29" t="s">
        <v>721</v>
      </c>
      <c r="Z56" s="23"/>
      <c r="AA56" s="27" t="s">
        <v>759</v>
      </c>
      <c r="AB56" s="23" t="s">
        <v>184</v>
      </c>
      <c r="AC56" s="29" t="s">
        <v>289</v>
      </c>
      <c r="AD56" s="29" t="s">
        <v>302</v>
      </c>
      <c r="AE56" s="39">
        <v>44127</v>
      </c>
    </row>
    <row r="57" spans="1:31" ht="15.5" x14ac:dyDescent="0.35">
      <c r="A57" s="22" t="s">
        <v>8</v>
      </c>
      <c r="B57" s="23" t="s">
        <v>334</v>
      </c>
      <c r="C57" s="23" t="s">
        <v>31</v>
      </c>
      <c r="D57" s="23" t="s">
        <v>206</v>
      </c>
      <c r="E57" s="28">
        <v>71303</v>
      </c>
      <c r="F57" s="23" t="s">
        <v>207</v>
      </c>
      <c r="G57" s="23" t="s">
        <v>335</v>
      </c>
      <c r="H57" s="23" t="s">
        <v>5</v>
      </c>
      <c r="I57" s="24">
        <v>4.0943627450980404</v>
      </c>
      <c r="J57" s="25">
        <v>50.000000000000107</v>
      </c>
      <c r="K57" s="25">
        <v>6.786885245901634</v>
      </c>
      <c r="L57" s="25">
        <v>22.180327868852419</v>
      </c>
      <c r="M57" s="25">
        <v>27.311475409836063</v>
      </c>
      <c r="N57" s="25">
        <v>50.688524590164228</v>
      </c>
      <c r="O57" s="25">
        <v>55.590163934426378</v>
      </c>
      <c r="P57" s="25">
        <v>0</v>
      </c>
      <c r="Q57" s="25">
        <v>0</v>
      </c>
      <c r="R57" s="25">
        <v>31.803278688524628</v>
      </c>
      <c r="S57" s="25">
        <v>8.6557377049180175</v>
      </c>
      <c r="T57" s="25">
        <v>6.2622950819672072</v>
      </c>
      <c r="U57" s="25">
        <v>59.557377049180531</v>
      </c>
      <c r="V57" s="25"/>
      <c r="W57" s="26"/>
      <c r="X57" s="23" t="s">
        <v>209</v>
      </c>
      <c r="Y57" s="29"/>
      <c r="Z57" s="23"/>
      <c r="AA57" s="27"/>
      <c r="AB57" s="23" t="s">
        <v>209</v>
      </c>
      <c r="AC57" s="29"/>
      <c r="AD57" s="29"/>
      <c r="AE57" s="39"/>
    </row>
    <row r="58" spans="1:31" ht="15.5" x14ac:dyDescent="0.35">
      <c r="A58" s="22" t="s">
        <v>654</v>
      </c>
      <c r="B58" s="23" t="s">
        <v>682</v>
      </c>
      <c r="C58" s="23" t="s">
        <v>179</v>
      </c>
      <c r="D58" s="23" t="s">
        <v>180</v>
      </c>
      <c r="E58" s="28">
        <v>92301</v>
      </c>
      <c r="F58" s="23" t="s">
        <v>181</v>
      </c>
      <c r="G58" s="23" t="s">
        <v>197</v>
      </c>
      <c r="H58" s="23" t="s">
        <v>183</v>
      </c>
      <c r="I58" s="24">
        <v>47.424242424242401</v>
      </c>
      <c r="J58" s="25">
        <v>2.6393442622950825</v>
      </c>
      <c r="K58" s="25">
        <v>6.9344262295081966</v>
      </c>
      <c r="L58" s="25">
        <v>25.426229508196709</v>
      </c>
      <c r="M58" s="25">
        <v>67.311475409836078</v>
      </c>
      <c r="N58" s="25">
        <v>88.737704918032733</v>
      </c>
      <c r="O58" s="25">
        <v>7.5409836065573774</v>
      </c>
      <c r="P58" s="25">
        <v>3.7377049180327866</v>
      </c>
      <c r="Q58" s="25">
        <v>2.2950819672131146</v>
      </c>
      <c r="R58" s="25">
        <v>69.950819672131161</v>
      </c>
      <c r="S58" s="25">
        <v>10.540983606557377</v>
      </c>
      <c r="T58" s="25">
        <v>3.6065573770491803</v>
      </c>
      <c r="U58" s="25">
        <v>18.21311475409836</v>
      </c>
      <c r="V58" s="25"/>
      <c r="W58" s="26">
        <v>120</v>
      </c>
      <c r="X58" s="23" t="s">
        <v>184</v>
      </c>
      <c r="Y58" s="29" t="s">
        <v>720</v>
      </c>
      <c r="Z58" s="23" t="s">
        <v>186</v>
      </c>
      <c r="AA58" s="27" t="s">
        <v>760</v>
      </c>
      <c r="AB58" s="23" t="s">
        <v>184</v>
      </c>
      <c r="AC58" s="29" t="s">
        <v>720</v>
      </c>
      <c r="AD58" s="29"/>
      <c r="AE58" s="39">
        <v>44133</v>
      </c>
    </row>
    <row r="59" spans="1:31" ht="15.5" x14ac:dyDescent="0.35">
      <c r="A59" s="22" t="s">
        <v>319</v>
      </c>
      <c r="B59" s="23" t="s">
        <v>320</v>
      </c>
      <c r="C59" s="23" t="s">
        <v>321</v>
      </c>
      <c r="D59" s="23" t="s">
        <v>195</v>
      </c>
      <c r="E59" s="28">
        <v>76642</v>
      </c>
      <c r="F59" s="23" t="s">
        <v>243</v>
      </c>
      <c r="G59" s="23" t="s">
        <v>252</v>
      </c>
      <c r="H59" s="23" t="s">
        <v>5</v>
      </c>
      <c r="I59" s="24">
        <v>37.764084507042298</v>
      </c>
      <c r="J59" s="25">
        <v>96.393442622951071</v>
      </c>
      <c r="K59" s="25">
        <v>1.180327868852459</v>
      </c>
      <c r="L59" s="25">
        <v>1.9672131147540983</v>
      </c>
      <c r="M59" s="25">
        <v>0.34426229508196721</v>
      </c>
      <c r="N59" s="25">
        <v>3.4590163934426226</v>
      </c>
      <c r="O59" s="25">
        <v>96.426229508196982</v>
      </c>
      <c r="P59" s="25">
        <v>0</v>
      </c>
      <c r="Q59" s="25">
        <v>0</v>
      </c>
      <c r="R59" s="25">
        <v>2.3114754098360653</v>
      </c>
      <c r="S59" s="25">
        <v>0.5901639344262295</v>
      </c>
      <c r="T59" s="25">
        <v>0.55737704918032782</v>
      </c>
      <c r="U59" s="25">
        <v>96.426229508196982</v>
      </c>
      <c r="V59" s="25"/>
      <c r="W59" s="26"/>
      <c r="X59" s="23" t="s">
        <v>184</v>
      </c>
      <c r="Y59" s="29" t="s">
        <v>289</v>
      </c>
      <c r="Z59" s="23" t="s">
        <v>302</v>
      </c>
      <c r="AA59" s="27" t="s">
        <v>738</v>
      </c>
      <c r="AB59" s="23" t="s">
        <v>184</v>
      </c>
      <c r="AC59" s="29" t="s">
        <v>289</v>
      </c>
      <c r="AD59" s="29" t="s">
        <v>302</v>
      </c>
      <c r="AE59" s="39">
        <v>44105</v>
      </c>
    </row>
    <row r="60" spans="1:31" ht="15.5" x14ac:dyDescent="0.35">
      <c r="A60" s="22" t="s">
        <v>342</v>
      </c>
      <c r="B60" s="23" t="s">
        <v>343</v>
      </c>
      <c r="C60" s="23" t="s">
        <v>344</v>
      </c>
      <c r="D60" s="23" t="s">
        <v>345</v>
      </c>
      <c r="E60" s="28">
        <v>60098</v>
      </c>
      <c r="F60" s="23" t="s">
        <v>36</v>
      </c>
      <c r="G60" s="23" t="s">
        <v>252</v>
      </c>
      <c r="H60" s="23" t="s">
        <v>183</v>
      </c>
      <c r="I60" s="24">
        <v>57.057851239669397</v>
      </c>
      <c r="J60" s="25">
        <v>27.213114754098342</v>
      </c>
      <c r="K60" s="25">
        <v>13.442622950819674</v>
      </c>
      <c r="L60" s="25">
        <v>26.770491803278688</v>
      </c>
      <c r="M60" s="25">
        <v>26.0983606557377</v>
      </c>
      <c r="N60" s="25">
        <v>62.524590163934455</v>
      </c>
      <c r="O60" s="25">
        <v>25.081967213114741</v>
      </c>
      <c r="P60" s="25">
        <v>3.5081967213114749</v>
      </c>
      <c r="Q60" s="25">
        <v>2.4098360655737703</v>
      </c>
      <c r="R60" s="25">
        <v>34.327868852459005</v>
      </c>
      <c r="S60" s="25">
        <v>9.3606557377049189</v>
      </c>
      <c r="T60" s="25">
        <v>9.0163934426229524</v>
      </c>
      <c r="U60" s="25">
        <v>40.819672131147527</v>
      </c>
      <c r="V60" s="25"/>
      <c r="W60" s="26"/>
      <c r="X60" s="23" t="s">
        <v>184</v>
      </c>
      <c r="Y60" s="29" t="s">
        <v>721</v>
      </c>
      <c r="Z60" s="23" t="s">
        <v>302</v>
      </c>
      <c r="AA60" s="27" t="s">
        <v>754</v>
      </c>
      <c r="AB60" s="23" t="s">
        <v>184</v>
      </c>
      <c r="AC60" s="29" t="s">
        <v>289</v>
      </c>
      <c r="AD60" s="29" t="s">
        <v>302</v>
      </c>
      <c r="AE60" s="39">
        <v>44105</v>
      </c>
    </row>
    <row r="61" spans="1:31" ht="15.5" x14ac:dyDescent="0.35">
      <c r="A61" s="22" t="s">
        <v>352</v>
      </c>
      <c r="B61" s="23" t="s">
        <v>353</v>
      </c>
      <c r="C61" s="23" t="s">
        <v>22</v>
      </c>
      <c r="D61" s="23" t="s">
        <v>271</v>
      </c>
      <c r="E61" s="28">
        <v>7201</v>
      </c>
      <c r="F61" s="23" t="s">
        <v>272</v>
      </c>
      <c r="G61" s="23" t="s">
        <v>197</v>
      </c>
      <c r="H61" s="23" t="s">
        <v>183</v>
      </c>
      <c r="I61" s="24">
        <v>12.148148148148101</v>
      </c>
      <c r="J61" s="25">
        <v>77.688524590163951</v>
      </c>
      <c r="K61" s="25">
        <v>8.6885245901639347</v>
      </c>
      <c r="L61" s="25">
        <v>4.131147540983604</v>
      </c>
      <c r="M61" s="25">
        <v>2.7213114754098351</v>
      </c>
      <c r="N61" s="25">
        <v>8.737704918032783</v>
      </c>
      <c r="O61" s="25">
        <v>78.098360655737721</v>
      </c>
      <c r="P61" s="25">
        <v>0.55737704918032793</v>
      </c>
      <c r="Q61" s="25">
        <v>5.8360655737704912</v>
      </c>
      <c r="R61" s="25">
        <v>2.9508196721311473</v>
      </c>
      <c r="S61" s="25">
        <v>2.3606557377049175</v>
      </c>
      <c r="T61" s="25">
        <v>1</v>
      </c>
      <c r="U61" s="25">
        <v>86.918032786885234</v>
      </c>
      <c r="V61" s="25"/>
      <c r="W61" s="26">
        <v>285</v>
      </c>
      <c r="X61" s="23" t="s">
        <v>184</v>
      </c>
      <c r="Y61" s="29" t="s">
        <v>720</v>
      </c>
      <c r="Z61" s="23" t="s">
        <v>186</v>
      </c>
      <c r="AA61" s="27" t="s">
        <v>724</v>
      </c>
      <c r="AB61" s="23" t="s">
        <v>184</v>
      </c>
      <c r="AC61" s="29" t="s">
        <v>185</v>
      </c>
      <c r="AD61" s="29" t="s">
        <v>186</v>
      </c>
      <c r="AE61" s="39">
        <v>44091</v>
      </c>
    </row>
    <row r="62" spans="1:31" ht="15.5" x14ac:dyDescent="0.35">
      <c r="A62" s="22" t="s">
        <v>655</v>
      </c>
      <c r="B62" s="23" t="s">
        <v>683</v>
      </c>
      <c r="C62" s="23" t="s">
        <v>684</v>
      </c>
      <c r="D62" s="23" t="s">
        <v>195</v>
      </c>
      <c r="E62" s="28">
        <v>78040</v>
      </c>
      <c r="F62" s="23" t="s">
        <v>196</v>
      </c>
      <c r="G62" s="23" t="s">
        <v>719</v>
      </c>
      <c r="H62" s="23" t="s">
        <v>183</v>
      </c>
      <c r="I62" s="24">
        <v>2.3088729016786602</v>
      </c>
      <c r="J62" s="25">
        <v>92.245901639343458</v>
      </c>
      <c r="K62" s="25">
        <v>6.5573770491803282E-2</v>
      </c>
      <c r="L62" s="25">
        <v>6.5573770491803282E-2</v>
      </c>
      <c r="M62" s="25">
        <v>0</v>
      </c>
      <c r="N62" s="25">
        <v>0.27868852459016397</v>
      </c>
      <c r="O62" s="25">
        <v>42.278688524590542</v>
      </c>
      <c r="P62" s="25">
        <v>0</v>
      </c>
      <c r="Q62" s="25">
        <v>49.8196721311486</v>
      </c>
      <c r="R62" s="25">
        <v>0</v>
      </c>
      <c r="S62" s="25">
        <v>4.9180327868852458E-2</v>
      </c>
      <c r="T62" s="25">
        <v>0.22950819672131151</v>
      </c>
      <c r="U62" s="25">
        <v>92.098360655736911</v>
      </c>
      <c r="V62" s="25"/>
      <c r="W62" s="26"/>
      <c r="X62" s="23" t="s">
        <v>209</v>
      </c>
      <c r="Y62" s="29"/>
      <c r="Z62" s="23"/>
      <c r="AA62" s="27"/>
      <c r="AB62" s="23" t="s">
        <v>209</v>
      </c>
      <c r="AC62" s="29"/>
      <c r="AD62" s="29"/>
      <c r="AE62" s="39"/>
    </row>
    <row r="63" spans="1:31" ht="15.5" x14ac:dyDescent="0.35">
      <c r="A63" s="22" t="s">
        <v>656</v>
      </c>
      <c r="B63" s="23" t="s">
        <v>685</v>
      </c>
      <c r="C63" s="23" t="s">
        <v>686</v>
      </c>
      <c r="D63" s="23" t="s">
        <v>211</v>
      </c>
      <c r="E63" s="28">
        <v>85253</v>
      </c>
      <c r="F63" s="23" t="s">
        <v>212</v>
      </c>
      <c r="G63" s="23" t="s">
        <v>719</v>
      </c>
      <c r="H63" s="23" t="s">
        <v>183</v>
      </c>
      <c r="I63" s="24">
        <v>2.7712655601659799</v>
      </c>
      <c r="J63" s="25">
        <v>88.737704918035291</v>
      </c>
      <c r="K63" s="25">
        <v>0</v>
      </c>
      <c r="L63" s="25">
        <v>0</v>
      </c>
      <c r="M63" s="25">
        <v>0</v>
      </c>
      <c r="N63" s="25">
        <v>0.42622950819672129</v>
      </c>
      <c r="O63" s="25">
        <v>41.459016393442631</v>
      </c>
      <c r="P63" s="25">
        <v>0.11475409836065575</v>
      </c>
      <c r="Q63" s="25">
        <v>46.73770491803301</v>
      </c>
      <c r="R63" s="25">
        <v>0</v>
      </c>
      <c r="S63" s="25">
        <v>9.8360655737704916E-2</v>
      </c>
      <c r="T63" s="25">
        <v>0.42622950819672123</v>
      </c>
      <c r="U63" s="25">
        <v>88.213114754100914</v>
      </c>
      <c r="V63" s="25"/>
      <c r="W63" s="26"/>
      <c r="X63" s="23" t="s">
        <v>184</v>
      </c>
      <c r="Y63" s="29" t="s">
        <v>201</v>
      </c>
      <c r="Z63" s="23"/>
      <c r="AA63" s="27" t="s">
        <v>761</v>
      </c>
      <c r="AB63" s="23" t="s">
        <v>209</v>
      </c>
      <c r="AC63" s="29"/>
      <c r="AD63" s="29"/>
      <c r="AE63" s="39"/>
    </row>
    <row r="64" spans="1:31" ht="15.5" x14ac:dyDescent="0.35">
      <c r="A64" s="22" t="s">
        <v>657</v>
      </c>
      <c r="B64" s="23" t="s">
        <v>687</v>
      </c>
      <c r="C64" s="23" t="s">
        <v>242</v>
      </c>
      <c r="D64" s="23" t="s">
        <v>195</v>
      </c>
      <c r="E64" s="28">
        <v>77301</v>
      </c>
      <c r="F64" s="23" t="s">
        <v>243</v>
      </c>
      <c r="G64" s="23" t="s">
        <v>208</v>
      </c>
      <c r="H64" s="23" t="s">
        <v>183</v>
      </c>
      <c r="I64" s="24">
        <v>38.272727272727302</v>
      </c>
      <c r="J64" s="25">
        <v>64.426229508196684</v>
      </c>
      <c r="K64" s="25">
        <v>16.639344262295086</v>
      </c>
      <c r="L64" s="25">
        <v>4.9672131147540979</v>
      </c>
      <c r="M64" s="25">
        <v>2.360655737704918</v>
      </c>
      <c r="N64" s="25">
        <v>13.803278688524591</v>
      </c>
      <c r="O64" s="25">
        <v>74.590163934426243</v>
      </c>
      <c r="P64" s="25">
        <v>0</v>
      </c>
      <c r="Q64" s="25">
        <v>0</v>
      </c>
      <c r="R64" s="25">
        <v>9.7377049180327866</v>
      </c>
      <c r="S64" s="25">
        <v>1.0655737704918034</v>
      </c>
      <c r="T64" s="25">
        <v>2.3114754098360653</v>
      </c>
      <c r="U64" s="25">
        <v>75.278688524590166</v>
      </c>
      <c r="V64" s="25"/>
      <c r="W64" s="26"/>
      <c r="X64" s="23" t="s">
        <v>184</v>
      </c>
      <c r="Y64" s="29" t="s">
        <v>721</v>
      </c>
      <c r="Z64" s="23" t="s">
        <v>302</v>
      </c>
      <c r="AA64" s="27" t="s">
        <v>733</v>
      </c>
      <c r="AB64" s="23" t="s">
        <v>184</v>
      </c>
      <c r="AC64" s="29" t="s">
        <v>721</v>
      </c>
      <c r="AD64" s="29" t="s">
        <v>302</v>
      </c>
      <c r="AE64" s="39">
        <v>44183</v>
      </c>
    </row>
    <row r="65" spans="1:31" ht="15.5" x14ac:dyDescent="0.35">
      <c r="A65" s="22" t="s">
        <v>25</v>
      </c>
      <c r="B65" s="23" t="s">
        <v>397</v>
      </c>
      <c r="C65" s="23" t="s">
        <v>37</v>
      </c>
      <c r="D65" s="23" t="s">
        <v>238</v>
      </c>
      <c r="E65" s="28">
        <v>87021</v>
      </c>
      <c r="F65" s="23" t="s">
        <v>239</v>
      </c>
      <c r="G65" s="23" t="s">
        <v>208</v>
      </c>
      <c r="H65" s="23" t="s">
        <v>5</v>
      </c>
      <c r="I65" s="24">
        <v>45.271428571428601</v>
      </c>
      <c r="J65" s="25">
        <v>77.819672131147669</v>
      </c>
      <c r="K65" s="25">
        <v>8.3770491803278695</v>
      </c>
      <c r="L65" s="25">
        <v>0.98360655737704916</v>
      </c>
      <c r="M65" s="25">
        <v>0</v>
      </c>
      <c r="N65" s="25">
        <v>8.7540983606557372</v>
      </c>
      <c r="O65" s="25">
        <v>78.42622950819684</v>
      </c>
      <c r="P65" s="25">
        <v>0</v>
      </c>
      <c r="Q65" s="25">
        <v>0</v>
      </c>
      <c r="R65" s="25">
        <v>0</v>
      </c>
      <c r="S65" s="25">
        <v>0</v>
      </c>
      <c r="T65" s="25">
        <v>7.2622950819672143</v>
      </c>
      <c r="U65" s="25">
        <v>79.918032786885362</v>
      </c>
      <c r="V65" s="25"/>
      <c r="W65" s="26"/>
      <c r="X65" s="23" t="s">
        <v>184</v>
      </c>
      <c r="Y65" s="29" t="s">
        <v>720</v>
      </c>
      <c r="Z65" s="23" t="s">
        <v>186</v>
      </c>
      <c r="AA65" s="27" t="s">
        <v>723</v>
      </c>
      <c r="AB65" s="23" t="s">
        <v>184</v>
      </c>
      <c r="AC65" s="29" t="s">
        <v>720</v>
      </c>
      <c r="AD65" s="29" t="s">
        <v>186</v>
      </c>
      <c r="AE65" s="39">
        <v>44168</v>
      </c>
    </row>
    <row r="66" spans="1:31" ht="15.5" x14ac:dyDescent="0.35">
      <c r="A66" s="22" t="s">
        <v>386</v>
      </c>
      <c r="B66" s="23" t="s">
        <v>387</v>
      </c>
      <c r="C66" s="23" t="s">
        <v>388</v>
      </c>
      <c r="D66" s="23" t="s">
        <v>389</v>
      </c>
      <c r="E66" s="28">
        <v>41005</v>
      </c>
      <c r="F66" s="23" t="s">
        <v>36</v>
      </c>
      <c r="G66" s="23" t="s">
        <v>252</v>
      </c>
      <c r="H66" s="23" t="s">
        <v>183</v>
      </c>
      <c r="I66" s="24">
        <v>61.082474226804102</v>
      </c>
      <c r="J66" s="25">
        <v>14.901639344262296</v>
      </c>
      <c r="K66" s="25">
        <v>13.278688524590164</v>
      </c>
      <c r="L66" s="25">
        <v>28.754098360655732</v>
      </c>
      <c r="M66" s="25">
        <v>28.426229508196716</v>
      </c>
      <c r="N66" s="25">
        <v>64.262295081967196</v>
      </c>
      <c r="O66" s="25">
        <v>18.491803278688522</v>
      </c>
      <c r="P66" s="25">
        <v>2.3934426229508197</v>
      </c>
      <c r="Q66" s="25">
        <v>0.21311475409836064</v>
      </c>
      <c r="R66" s="25">
        <v>27.032786885245901</v>
      </c>
      <c r="S66" s="25">
        <v>14.491803278688524</v>
      </c>
      <c r="T66" s="25">
        <v>8.6393442622950847</v>
      </c>
      <c r="U66" s="25">
        <v>35.196721311475414</v>
      </c>
      <c r="V66" s="25"/>
      <c r="W66" s="26"/>
      <c r="X66" s="23" t="s">
        <v>184</v>
      </c>
      <c r="Y66" s="29" t="s">
        <v>289</v>
      </c>
      <c r="Z66" s="23" t="s">
        <v>302</v>
      </c>
      <c r="AA66" s="27" t="s">
        <v>762</v>
      </c>
      <c r="AB66" s="23" t="s">
        <v>184</v>
      </c>
      <c r="AC66" s="29" t="s">
        <v>289</v>
      </c>
      <c r="AD66" s="29" t="s">
        <v>302</v>
      </c>
      <c r="AE66" s="39">
        <v>43895</v>
      </c>
    </row>
    <row r="67" spans="1:31" ht="15.5" x14ac:dyDescent="0.35">
      <c r="A67" s="22" t="s">
        <v>311</v>
      </c>
      <c r="B67" s="23" t="s">
        <v>312</v>
      </c>
      <c r="C67" s="23" t="s">
        <v>38</v>
      </c>
      <c r="D67" s="23" t="s">
        <v>195</v>
      </c>
      <c r="E67" s="28">
        <v>76837</v>
      </c>
      <c r="F67" s="23" t="s">
        <v>270</v>
      </c>
      <c r="G67" s="23" t="s">
        <v>252</v>
      </c>
      <c r="H67" s="23" t="s">
        <v>5</v>
      </c>
      <c r="I67" s="24">
        <v>29.6624203821656</v>
      </c>
      <c r="J67" s="25">
        <v>4.9836065573770494</v>
      </c>
      <c r="K67" s="25">
        <v>23.377049180327866</v>
      </c>
      <c r="L67" s="25">
        <v>17.688524590163929</v>
      </c>
      <c r="M67" s="25">
        <v>33.295081967213115</v>
      </c>
      <c r="N67" s="25">
        <v>73.344262295081975</v>
      </c>
      <c r="O67" s="25">
        <v>5.704918032786888</v>
      </c>
      <c r="P67" s="25">
        <v>0.29508196721311475</v>
      </c>
      <c r="Q67" s="25">
        <v>0</v>
      </c>
      <c r="R67" s="25">
        <v>44.967213114754109</v>
      </c>
      <c r="S67" s="25">
        <v>9.1147540983606561</v>
      </c>
      <c r="T67" s="25">
        <v>1.9672131147540983</v>
      </c>
      <c r="U67" s="25">
        <v>23.295081967213125</v>
      </c>
      <c r="V67" s="25"/>
      <c r="W67" s="26"/>
      <c r="X67" s="23" t="s">
        <v>184</v>
      </c>
      <c r="Y67" s="29" t="s">
        <v>289</v>
      </c>
      <c r="Z67" s="23" t="s">
        <v>302</v>
      </c>
      <c r="AA67" s="27" t="s">
        <v>725</v>
      </c>
      <c r="AB67" s="23" t="s">
        <v>184</v>
      </c>
      <c r="AC67" s="29" t="s">
        <v>289</v>
      </c>
      <c r="AD67" s="29" t="s">
        <v>302</v>
      </c>
      <c r="AE67" s="39">
        <v>43818</v>
      </c>
    </row>
    <row r="68" spans="1:31" ht="15.5" x14ac:dyDescent="0.35">
      <c r="A68" s="22" t="s">
        <v>658</v>
      </c>
      <c r="B68" s="23" t="s">
        <v>178</v>
      </c>
      <c r="C68" s="23" t="s">
        <v>179</v>
      </c>
      <c r="D68" s="23" t="s">
        <v>180</v>
      </c>
      <c r="E68" s="28">
        <v>92301</v>
      </c>
      <c r="F68" s="23" t="s">
        <v>181</v>
      </c>
      <c r="G68" s="23" t="s">
        <v>197</v>
      </c>
      <c r="H68" s="23" t="s">
        <v>183</v>
      </c>
      <c r="I68" s="24">
        <v>468.33333333333297</v>
      </c>
      <c r="J68" s="25">
        <v>4.918032786885246</v>
      </c>
      <c r="K68" s="25">
        <v>2.9508196721311473</v>
      </c>
      <c r="L68" s="25">
        <v>16.721311475409838</v>
      </c>
      <c r="M68" s="25">
        <v>54.262295081967231</v>
      </c>
      <c r="N68" s="25">
        <v>66.000000000000028</v>
      </c>
      <c r="O68" s="25">
        <v>3.9344262295081966</v>
      </c>
      <c r="P68" s="25">
        <v>7.9344262295081975</v>
      </c>
      <c r="Q68" s="25">
        <v>0.98360655737704916</v>
      </c>
      <c r="R68" s="25">
        <v>59.803278688524621</v>
      </c>
      <c r="S68" s="25">
        <v>9.9508196721311482</v>
      </c>
      <c r="T68" s="25">
        <v>1.9672131147540983</v>
      </c>
      <c r="U68" s="25">
        <v>7.1311475409836067</v>
      </c>
      <c r="V68" s="25"/>
      <c r="W68" s="26">
        <v>1455</v>
      </c>
      <c r="X68" s="23" t="s">
        <v>184</v>
      </c>
      <c r="Y68" s="29" t="s">
        <v>720</v>
      </c>
      <c r="Z68" s="23" t="s">
        <v>186</v>
      </c>
      <c r="AA68" s="27" t="s">
        <v>763</v>
      </c>
      <c r="AB68" s="23" t="s">
        <v>184</v>
      </c>
      <c r="AC68" s="29" t="s">
        <v>720</v>
      </c>
      <c r="AD68" s="29" t="s">
        <v>186</v>
      </c>
      <c r="AE68" s="39">
        <v>44155</v>
      </c>
    </row>
    <row r="69" spans="1:31" ht="15.5" x14ac:dyDescent="0.35">
      <c r="A69" s="22" t="s">
        <v>659</v>
      </c>
      <c r="B69" s="23" t="s">
        <v>688</v>
      </c>
      <c r="C69" s="23" t="s">
        <v>689</v>
      </c>
      <c r="D69" s="23" t="s">
        <v>211</v>
      </c>
      <c r="E69" s="28">
        <v>85044</v>
      </c>
      <c r="F69" s="23" t="s">
        <v>212</v>
      </c>
      <c r="G69" s="23" t="s">
        <v>719</v>
      </c>
      <c r="H69" s="23" t="s">
        <v>183</v>
      </c>
      <c r="I69" s="24">
        <v>2.6704208654416099</v>
      </c>
      <c r="J69" s="25">
        <v>74.967213114755268</v>
      </c>
      <c r="K69" s="25">
        <v>0</v>
      </c>
      <c r="L69" s="25">
        <v>0</v>
      </c>
      <c r="M69" s="25">
        <v>0</v>
      </c>
      <c r="N69" s="25">
        <v>6.5573770491803282E-2</v>
      </c>
      <c r="O69" s="25">
        <v>36.360655737705038</v>
      </c>
      <c r="P69" s="25">
        <v>0</v>
      </c>
      <c r="Q69" s="25">
        <v>38.54098360655761</v>
      </c>
      <c r="R69" s="25">
        <v>3.2786885245901641E-2</v>
      </c>
      <c r="S69" s="25">
        <v>0</v>
      </c>
      <c r="T69" s="25">
        <v>3.2786885245901641E-2</v>
      </c>
      <c r="U69" s="25">
        <v>74.901639344263458</v>
      </c>
      <c r="V69" s="25"/>
      <c r="W69" s="26"/>
      <c r="X69" s="23" t="s">
        <v>184</v>
      </c>
      <c r="Y69" s="29" t="s">
        <v>201</v>
      </c>
      <c r="Z69" s="23"/>
      <c r="AA69" s="27" t="s">
        <v>764</v>
      </c>
      <c r="AB69" s="23" t="s">
        <v>184</v>
      </c>
      <c r="AC69" s="29" t="s">
        <v>201</v>
      </c>
      <c r="AD69" s="29"/>
      <c r="AE69" s="39">
        <v>44314</v>
      </c>
    </row>
    <row r="70" spans="1:31" ht="15.5" x14ac:dyDescent="0.35">
      <c r="A70" s="22" t="s">
        <v>660</v>
      </c>
      <c r="B70" s="23" t="s">
        <v>690</v>
      </c>
      <c r="C70" s="23" t="s">
        <v>691</v>
      </c>
      <c r="D70" s="23" t="s">
        <v>211</v>
      </c>
      <c r="E70" s="28">
        <v>85365</v>
      </c>
      <c r="F70" s="23" t="s">
        <v>212</v>
      </c>
      <c r="G70" s="23" t="s">
        <v>719</v>
      </c>
      <c r="H70" s="23" t="s">
        <v>183</v>
      </c>
      <c r="I70" s="24">
        <v>2.8309475119291099</v>
      </c>
      <c r="J70" s="25">
        <v>0.68852459016393452</v>
      </c>
      <c r="K70" s="25">
        <v>69.967213114754799</v>
      </c>
      <c r="L70" s="25">
        <v>0.27868852459016391</v>
      </c>
      <c r="M70" s="25">
        <v>0</v>
      </c>
      <c r="N70" s="25">
        <v>9.8360655737704916E-2</v>
      </c>
      <c r="O70" s="25">
        <v>34.524590163934654</v>
      </c>
      <c r="P70" s="25">
        <v>0</v>
      </c>
      <c r="Q70" s="25">
        <v>36.311475409836305</v>
      </c>
      <c r="R70" s="25">
        <v>4.9180327868852458E-2</v>
      </c>
      <c r="S70" s="25">
        <v>0</v>
      </c>
      <c r="T70" s="25">
        <v>0</v>
      </c>
      <c r="U70" s="25">
        <v>70.885245901640118</v>
      </c>
      <c r="V70" s="25"/>
      <c r="W70" s="26"/>
      <c r="X70" s="23" t="s">
        <v>184</v>
      </c>
      <c r="Y70" s="29" t="s">
        <v>201</v>
      </c>
      <c r="Z70" s="23"/>
      <c r="AA70" s="27" t="s">
        <v>746</v>
      </c>
      <c r="AB70" s="23" t="s">
        <v>209</v>
      </c>
      <c r="AC70" s="29"/>
      <c r="AD70" s="29"/>
      <c r="AE70" s="39"/>
    </row>
    <row r="71" spans="1:31" ht="15.5" x14ac:dyDescent="0.35">
      <c r="A71" s="22" t="s">
        <v>398</v>
      </c>
      <c r="B71" s="23" t="s">
        <v>399</v>
      </c>
      <c r="C71" s="23" t="s">
        <v>400</v>
      </c>
      <c r="D71" s="23" t="s">
        <v>401</v>
      </c>
      <c r="E71" s="28">
        <v>2863</v>
      </c>
      <c r="F71" s="23" t="s">
        <v>325</v>
      </c>
      <c r="G71" s="23" t="s">
        <v>252</v>
      </c>
      <c r="H71" s="23" t="s">
        <v>5</v>
      </c>
      <c r="I71" s="24">
        <v>75.518987341772103</v>
      </c>
      <c r="J71" s="25">
        <v>53.803278688524621</v>
      </c>
      <c r="K71" s="25">
        <v>16.770491803278688</v>
      </c>
      <c r="L71" s="25">
        <v>0</v>
      </c>
      <c r="M71" s="25">
        <v>0</v>
      </c>
      <c r="N71" s="25">
        <v>15.819672131147543</v>
      </c>
      <c r="O71" s="25">
        <v>54.754098360655775</v>
      </c>
      <c r="P71" s="25">
        <v>0</v>
      </c>
      <c r="Q71" s="25">
        <v>0</v>
      </c>
      <c r="R71" s="25">
        <v>4.3278688524590168</v>
      </c>
      <c r="S71" s="25">
        <v>7.393442622950821</v>
      </c>
      <c r="T71" s="25">
        <v>3.0491803278688518</v>
      </c>
      <c r="U71" s="25">
        <v>55.803278688524628</v>
      </c>
      <c r="V71" s="25"/>
      <c r="W71" s="26"/>
      <c r="X71" s="23" t="s">
        <v>184</v>
      </c>
      <c r="Y71" s="29" t="s">
        <v>721</v>
      </c>
      <c r="Z71" s="23" t="s">
        <v>302</v>
      </c>
      <c r="AA71" s="27" t="s">
        <v>758</v>
      </c>
      <c r="AB71" s="23" t="s">
        <v>184</v>
      </c>
      <c r="AC71" s="29" t="s">
        <v>721</v>
      </c>
      <c r="AD71" s="29" t="s">
        <v>302</v>
      </c>
      <c r="AE71" s="39">
        <v>44155</v>
      </c>
    </row>
    <row r="72" spans="1:31" ht="15.5" x14ac:dyDescent="0.35">
      <c r="A72" s="22" t="s">
        <v>413</v>
      </c>
      <c r="B72" s="23" t="s">
        <v>414</v>
      </c>
      <c r="C72" s="23" t="s">
        <v>367</v>
      </c>
      <c r="D72" s="23" t="s">
        <v>361</v>
      </c>
      <c r="E72" s="28">
        <v>89060</v>
      </c>
      <c r="F72" s="23" t="s">
        <v>362</v>
      </c>
      <c r="G72" s="23" t="s">
        <v>208</v>
      </c>
      <c r="H72" s="23" t="s">
        <v>183</v>
      </c>
      <c r="I72" s="24">
        <v>29.4444444444444</v>
      </c>
      <c r="J72" s="25">
        <v>10.262295081967212</v>
      </c>
      <c r="K72" s="25">
        <v>9.1803278688524603</v>
      </c>
      <c r="L72" s="25">
        <v>19.983606557377048</v>
      </c>
      <c r="M72" s="25">
        <v>30.163934426229496</v>
      </c>
      <c r="N72" s="25">
        <v>58.327868852459012</v>
      </c>
      <c r="O72" s="25">
        <v>11.262295081967212</v>
      </c>
      <c r="P72" s="25">
        <v>0</v>
      </c>
      <c r="Q72" s="25">
        <v>0</v>
      </c>
      <c r="R72" s="25">
        <v>43.540983606557361</v>
      </c>
      <c r="S72" s="25">
        <v>5.639344262295082</v>
      </c>
      <c r="T72" s="25">
        <v>3.4098360655737703</v>
      </c>
      <c r="U72" s="25">
        <v>16.999999999999993</v>
      </c>
      <c r="V72" s="25"/>
      <c r="W72" s="26"/>
      <c r="X72" s="23" t="s">
        <v>184</v>
      </c>
      <c r="Y72" s="29" t="s">
        <v>721</v>
      </c>
      <c r="Z72" s="23" t="s">
        <v>302</v>
      </c>
      <c r="AA72" s="27" t="s">
        <v>757</v>
      </c>
      <c r="AB72" s="23" t="s">
        <v>184</v>
      </c>
      <c r="AC72" s="29" t="s">
        <v>721</v>
      </c>
      <c r="AD72" s="29" t="s">
        <v>302</v>
      </c>
      <c r="AE72" s="39">
        <v>44139</v>
      </c>
    </row>
    <row r="73" spans="1:31" ht="15.5" x14ac:dyDescent="0.35">
      <c r="A73" s="22" t="s">
        <v>32</v>
      </c>
      <c r="B73" s="23" t="s">
        <v>366</v>
      </c>
      <c r="C73" s="23" t="s">
        <v>367</v>
      </c>
      <c r="D73" s="23" t="s">
        <v>361</v>
      </c>
      <c r="E73" s="28">
        <v>89060</v>
      </c>
      <c r="F73" s="23" t="s">
        <v>362</v>
      </c>
      <c r="G73" s="23" t="s">
        <v>252</v>
      </c>
      <c r="H73" s="23" t="s">
        <v>183</v>
      </c>
      <c r="I73" s="24">
        <v>61.494252873563198</v>
      </c>
      <c r="J73" s="25">
        <v>54.737704918032819</v>
      </c>
      <c r="K73" s="25">
        <v>5.7049180327868854</v>
      </c>
      <c r="L73" s="25">
        <v>4.6885245901639347</v>
      </c>
      <c r="M73" s="25">
        <v>0</v>
      </c>
      <c r="N73" s="25">
        <v>9.4098360655737725</v>
      </c>
      <c r="O73" s="25">
        <v>17.885245901639344</v>
      </c>
      <c r="P73" s="25">
        <v>0.98360655737704916</v>
      </c>
      <c r="Q73" s="25">
        <v>36.852459016393432</v>
      </c>
      <c r="R73" s="25">
        <v>5.9672131147540988</v>
      </c>
      <c r="S73" s="25">
        <v>0.98360655737704916</v>
      </c>
      <c r="T73" s="25">
        <v>1.9672131147540983</v>
      </c>
      <c r="U73" s="25">
        <v>56.213114754098392</v>
      </c>
      <c r="V73" s="25"/>
      <c r="W73" s="26"/>
      <c r="X73" s="23" t="s">
        <v>184</v>
      </c>
      <c r="Y73" s="29" t="s">
        <v>253</v>
      </c>
      <c r="Z73" s="23" t="s">
        <v>186</v>
      </c>
      <c r="AA73" s="27" t="s">
        <v>765</v>
      </c>
      <c r="AB73" s="23" t="s">
        <v>184</v>
      </c>
      <c r="AC73" s="29" t="s">
        <v>253</v>
      </c>
      <c r="AD73" s="29" t="s">
        <v>186</v>
      </c>
      <c r="AE73" s="39">
        <v>44154</v>
      </c>
    </row>
    <row r="74" spans="1:31" ht="15.5" x14ac:dyDescent="0.35">
      <c r="A74" s="22" t="s">
        <v>661</v>
      </c>
      <c r="B74" s="23" t="s">
        <v>692</v>
      </c>
      <c r="C74" s="23" t="s">
        <v>693</v>
      </c>
      <c r="D74" s="23" t="s">
        <v>195</v>
      </c>
      <c r="E74" s="28">
        <v>78014</v>
      </c>
      <c r="F74" s="23" t="s">
        <v>196</v>
      </c>
      <c r="G74" s="23" t="s">
        <v>719</v>
      </c>
      <c r="H74" s="23" t="s">
        <v>183</v>
      </c>
      <c r="I74" s="24">
        <v>2.76738794435858</v>
      </c>
      <c r="J74" s="25">
        <v>60.180327868853496</v>
      </c>
      <c r="K74" s="25">
        <v>6.5573770491803282E-2</v>
      </c>
      <c r="L74" s="25">
        <v>0</v>
      </c>
      <c r="M74" s="25">
        <v>0</v>
      </c>
      <c r="N74" s="25">
        <v>3.2786885245901641E-2</v>
      </c>
      <c r="O74" s="25">
        <v>34.393442622950815</v>
      </c>
      <c r="P74" s="25">
        <v>0</v>
      </c>
      <c r="Q74" s="25">
        <v>25.819672131147495</v>
      </c>
      <c r="R74" s="25">
        <v>0</v>
      </c>
      <c r="S74" s="25">
        <v>0</v>
      </c>
      <c r="T74" s="25">
        <v>3.2786885245901641E-2</v>
      </c>
      <c r="U74" s="25">
        <v>60.213114754099401</v>
      </c>
      <c r="V74" s="25"/>
      <c r="W74" s="26"/>
      <c r="X74" s="23" t="s">
        <v>209</v>
      </c>
      <c r="Y74" s="29"/>
      <c r="Z74" s="23"/>
      <c r="AA74" s="27"/>
      <c r="AB74" s="23" t="s">
        <v>209</v>
      </c>
      <c r="AC74" s="29"/>
      <c r="AD74" s="29"/>
      <c r="AE74" s="39"/>
    </row>
    <row r="75" spans="1:31" ht="15.5" x14ac:dyDescent="0.35">
      <c r="A75" s="22" t="s">
        <v>445</v>
      </c>
      <c r="B75" s="23" t="s">
        <v>446</v>
      </c>
      <c r="C75" s="23" t="s">
        <v>11</v>
      </c>
      <c r="D75" s="23" t="s">
        <v>447</v>
      </c>
      <c r="E75" s="28">
        <v>47834</v>
      </c>
      <c r="F75" s="23" t="s">
        <v>36</v>
      </c>
      <c r="G75" s="23" t="s">
        <v>252</v>
      </c>
      <c r="H75" s="23" t="s">
        <v>183</v>
      </c>
      <c r="I75" s="24">
        <v>17.254716981132098</v>
      </c>
      <c r="J75" s="25">
        <v>11.704918032786884</v>
      </c>
      <c r="K75" s="25">
        <v>10.754098360655732</v>
      </c>
      <c r="L75" s="25">
        <v>19.819672131147538</v>
      </c>
      <c r="M75" s="25">
        <v>16.229508196721309</v>
      </c>
      <c r="N75" s="25">
        <v>36.590163934426251</v>
      </c>
      <c r="O75" s="25">
        <v>20.540983606557379</v>
      </c>
      <c r="P75" s="25">
        <v>0.55737704918032793</v>
      </c>
      <c r="Q75" s="25">
        <v>0.81967213114754101</v>
      </c>
      <c r="R75" s="25">
        <v>4.8852459016393448</v>
      </c>
      <c r="S75" s="25">
        <v>3.1967213114754092</v>
      </c>
      <c r="T75" s="25">
        <v>10.360655737704915</v>
      </c>
      <c r="U75" s="25">
        <v>40.065573770491802</v>
      </c>
      <c r="V75" s="25"/>
      <c r="W75" s="26"/>
      <c r="X75" s="23" t="s">
        <v>184</v>
      </c>
      <c r="Y75" s="29" t="s">
        <v>253</v>
      </c>
      <c r="Z75" s="23" t="s">
        <v>186</v>
      </c>
      <c r="AA75" s="27" t="s">
        <v>766</v>
      </c>
      <c r="AB75" s="23" t="s">
        <v>184</v>
      </c>
      <c r="AC75" s="29" t="s">
        <v>253</v>
      </c>
      <c r="AD75" s="29" t="s">
        <v>428</v>
      </c>
      <c r="AE75" s="39">
        <v>44336</v>
      </c>
    </row>
    <row r="76" spans="1:31" ht="15.5" x14ac:dyDescent="0.35">
      <c r="A76" s="22" t="s">
        <v>403</v>
      </c>
      <c r="B76" s="23" t="s">
        <v>404</v>
      </c>
      <c r="C76" s="23" t="s">
        <v>405</v>
      </c>
      <c r="D76" s="23" t="s">
        <v>356</v>
      </c>
      <c r="E76" s="28">
        <v>74647</v>
      </c>
      <c r="F76" s="23" t="s">
        <v>36</v>
      </c>
      <c r="G76" s="23" t="s">
        <v>208</v>
      </c>
      <c r="H76" s="23" t="s">
        <v>183</v>
      </c>
      <c r="I76" s="24">
        <v>43.453488372092998</v>
      </c>
      <c r="J76" s="25">
        <v>38.44262295081964</v>
      </c>
      <c r="K76" s="25">
        <v>4.5901639344262293</v>
      </c>
      <c r="L76" s="25">
        <v>9.9180327868852469</v>
      </c>
      <c r="M76" s="25">
        <v>4.6885245901639347</v>
      </c>
      <c r="N76" s="25">
        <v>14.999999999999998</v>
      </c>
      <c r="O76" s="25">
        <v>28.704918032786839</v>
      </c>
      <c r="P76" s="25">
        <v>1.278688524590164</v>
      </c>
      <c r="Q76" s="25">
        <v>12.65573770491803</v>
      </c>
      <c r="R76" s="25">
        <v>8.9016393442622945</v>
      </c>
      <c r="S76" s="25">
        <v>2.0655737704918034</v>
      </c>
      <c r="T76" s="25">
        <v>2.721311475409836</v>
      </c>
      <c r="U76" s="25">
        <v>43.950819672131111</v>
      </c>
      <c r="V76" s="25"/>
      <c r="W76" s="26"/>
      <c r="X76" s="23" t="s">
        <v>184</v>
      </c>
      <c r="Y76" s="29" t="s">
        <v>720</v>
      </c>
      <c r="Z76" s="23" t="s">
        <v>186</v>
      </c>
      <c r="AA76" s="27" t="s">
        <v>767</v>
      </c>
      <c r="AB76" s="23" t="s">
        <v>184</v>
      </c>
      <c r="AC76" s="29" t="s">
        <v>185</v>
      </c>
      <c r="AD76" s="29" t="s">
        <v>186</v>
      </c>
      <c r="AE76" s="39">
        <v>44119</v>
      </c>
    </row>
    <row r="77" spans="1:31" ht="15.5" x14ac:dyDescent="0.35">
      <c r="A77" s="22" t="s">
        <v>421</v>
      </c>
      <c r="B77" s="23" t="s">
        <v>422</v>
      </c>
      <c r="C77" s="23" t="s">
        <v>423</v>
      </c>
      <c r="D77" s="23" t="s">
        <v>424</v>
      </c>
      <c r="E77" s="28">
        <v>66845</v>
      </c>
      <c r="F77" s="23" t="s">
        <v>36</v>
      </c>
      <c r="G77" s="23" t="s">
        <v>208</v>
      </c>
      <c r="H77" s="23" t="s">
        <v>183</v>
      </c>
      <c r="I77" s="24">
        <v>24.3333333333333</v>
      </c>
      <c r="J77" s="25">
        <v>8.8360655737704921</v>
      </c>
      <c r="K77" s="25">
        <v>13.278688524590164</v>
      </c>
      <c r="L77" s="25">
        <v>21.393442622950829</v>
      </c>
      <c r="M77" s="25">
        <v>13.426229508196718</v>
      </c>
      <c r="N77" s="25">
        <v>36.540983606557361</v>
      </c>
      <c r="O77" s="25">
        <v>16.180327868852451</v>
      </c>
      <c r="P77" s="25">
        <v>2.3278688524590163</v>
      </c>
      <c r="Q77" s="25">
        <v>1.8852459016393444</v>
      </c>
      <c r="R77" s="25">
        <v>18.672131147540988</v>
      </c>
      <c r="S77" s="25">
        <v>8.3934426229508183</v>
      </c>
      <c r="T77" s="25">
        <v>5.6229508196721314</v>
      </c>
      <c r="U77" s="25">
        <v>24.245901639344272</v>
      </c>
      <c r="V77" s="25"/>
      <c r="W77" s="26"/>
      <c r="X77" s="23" t="s">
        <v>184</v>
      </c>
      <c r="Y77" s="29" t="s">
        <v>721</v>
      </c>
      <c r="Z77" s="23" t="s">
        <v>302</v>
      </c>
      <c r="AA77" s="27" t="s">
        <v>768</v>
      </c>
      <c r="AB77" s="23" t="s">
        <v>184</v>
      </c>
      <c r="AC77" s="29" t="s">
        <v>721</v>
      </c>
      <c r="AD77" s="29" t="s">
        <v>302</v>
      </c>
      <c r="AE77" s="39">
        <v>44223</v>
      </c>
    </row>
    <row r="78" spans="1:31" ht="15.5" x14ac:dyDescent="0.35">
      <c r="A78" s="22" t="s">
        <v>425</v>
      </c>
      <c r="B78" s="23" t="s">
        <v>426</v>
      </c>
      <c r="C78" s="23" t="s">
        <v>427</v>
      </c>
      <c r="D78" s="23" t="s">
        <v>290</v>
      </c>
      <c r="E78" s="28">
        <v>17745</v>
      </c>
      <c r="F78" s="23" t="s">
        <v>291</v>
      </c>
      <c r="G78" s="23" t="s">
        <v>252</v>
      </c>
      <c r="H78" s="23" t="s">
        <v>5</v>
      </c>
      <c r="I78" s="24">
        <v>39.084745762711897</v>
      </c>
      <c r="J78" s="25">
        <v>2.6065573770491803</v>
      </c>
      <c r="K78" s="25">
        <v>8.557377049180328</v>
      </c>
      <c r="L78" s="25">
        <v>21.16393442622951</v>
      </c>
      <c r="M78" s="25">
        <v>22.491803278688518</v>
      </c>
      <c r="N78" s="25">
        <v>49.01639344262297</v>
      </c>
      <c r="O78" s="25">
        <v>5.3934426229508201</v>
      </c>
      <c r="P78" s="25">
        <v>0.4098360655737705</v>
      </c>
      <c r="Q78" s="25">
        <v>0</v>
      </c>
      <c r="R78" s="25">
        <v>31.999999999999982</v>
      </c>
      <c r="S78" s="25">
        <v>6.6065573770491808</v>
      </c>
      <c r="T78" s="25">
        <v>3.442622950819672</v>
      </c>
      <c r="U78" s="25">
        <v>12.770491803278688</v>
      </c>
      <c r="V78" s="25"/>
      <c r="W78" s="26"/>
      <c r="X78" s="23" t="s">
        <v>184</v>
      </c>
      <c r="Y78" s="29" t="s">
        <v>721</v>
      </c>
      <c r="Z78" s="23" t="s">
        <v>302</v>
      </c>
      <c r="AA78" s="27" t="s">
        <v>724</v>
      </c>
      <c r="AB78" s="23" t="s">
        <v>184</v>
      </c>
      <c r="AC78" s="29" t="s">
        <v>721</v>
      </c>
      <c r="AD78" s="29" t="s">
        <v>302</v>
      </c>
      <c r="AE78" s="39">
        <v>44160</v>
      </c>
    </row>
    <row r="79" spans="1:31" ht="15.5" x14ac:dyDescent="0.35">
      <c r="A79" s="22" t="s">
        <v>47</v>
      </c>
      <c r="B79" s="23" t="s">
        <v>316</v>
      </c>
      <c r="C79" s="23" t="s">
        <v>317</v>
      </c>
      <c r="D79" s="23" t="s">
        <v>180</v>
      </c>
      <c r="E79" s="28">
        <v>93301</v>
      </c>
      <c r="F79" s="23" t="s">
        <v>318</v>
      </c>
      <c r="G79" s="23" t="s">
        <v>197</v>
      </c>
      <c r="H79" s="23" t="s">
        <v>183</v>
      </c>
      <c r="I79" s="24">
        <v>363.73333333333301</v>
      </c>
      <c r="J79" s="25">
        <v>0</v>
      </c>
      <c r="K79" s="25">
        <v>0</v>
      </c>
      <c r="L79" s="25">
        <v>16.147540983606557</v>
      </c>
      <c r="M79" s="25">
        <v>35.639344262295062</v>
      </c>
      <c r="N79" s="25">
        <v>50.278688524590159</v>
      </c>
      <c r="O79" s="25">
        <v>1.5081967213114753</v>
      </c>
      <c r="P79" s="25">
        <v>0</v>
      </c>
      <c r="Q79" s="25">
        <v>0</v>
      </c>
      <c r="R79" s="25">
        <v>41.557377049180303</v>
      </c>
      <c r="S79" s="25">
        <v>3.081967213114754</v>
      </c>
      <c r="T79" s="25">
        <v>0</v>
      </c>
      <c r="U79" s="25">
        <v>7.1475409836065564</v>
      </c>
      <c r="V79" s="25"/>
      <c r="W79" s="26">
        <v>320</v>
      </c>
      <c r="X79" s="23" t="s">
        <v>184</v>
      </c>
      <c r="Y79" s="29" t="s">
        <v>720</v>
      </c>
      <c r="Z79" s="23" t="s">
        <v>186</v>
      </c>
      <c r="AA79" s="27" t="s">
        <v>726</v>
      </c>
      <c r="AB79" s="23" t="s">
        <v>184</v>
      </c>
      <c r="AC79" s="29" t="s">
        <v>185</v>
      </c>
      <c r="AD79" s="29" t="s">
        <v>186</v>
      </c>
      <c r="AE79" s="39">
        <v>44118</v>
      </c>
    </row>
    <row r="80" spans="1:31" ht="15.5" x14ac:dyDescent="0.35">
      <c r="A80" s="22" t="s">
        <v>662</v>
      </c>
      <c r="B80" s="23" t="s">
        <v>694</v>
      </c>
      <c r="C80" s="23" t="s">
        <v>194</v>
      </c>
      <c r="D80" s="23" t="s">
        <v>195</v>
      </c>
      <c r="E80" s="28">
        <v>78061</v>
      </c>
      <c r="F80" s="23" t="s">
        <v>196</v>
      </c>
      <c r="G80" s="23" t="s">
        <v>719</v>
      </c>
      <c r="H80" s="23" t="s">
        <v>183</v>
      </c>
      <c r="I80" s="24">
        <v>3.4423076923076898</v>
      </c>
      <c r="J80" s="25">
        <v>51.000000000000512</v>
      </c>
      <c r="K80" s="25">
        <v>3.2786885245901641E-2</v>
      </c>
      <c r="L80" s="25">
        <v>0</v>
      </c>
      <c r="M80" s="25">
        <v>0</v>
      </c>
      <c r="N80" s="25">
        <v>0</v>
      </c>
      <c r="O80" s="25">
        <v>26.868852459016374</v>
      </c>
      <c r="P80" s="25">
        <v>0</v>
      </c>
      <c r="Q80" s="25">
        <v>24.163934426229552</v>
      </c>
      <c r="R80" s="25">
        <v>0</v>
      </c>
      <c r="S80" s="25">
        <v>0</v>
      </c>
      <c r="T80" s="25">
        <v>0</v>
      </c>
      <c r="U80" s="25">
        <v>51.032786885246416</v>
      </c>
      <c r="V80" s="25"/>
      <c r="W80" s="26"/>
      <c r="X80" s="23" t="s">
        <v>184</v>
      </c>
      <c r="Y80" s="29" t="s">
        <v>201</v>
      </c>
      <c r="Z80" s="23"/>
      <c r="AA80" s="27" t="s">
        <v>769</v>
      </c>
      <c r="AB80" s="23" t="s">
        <v>209</v>
      </c>
      <c r="AC80" s="29"/>
      <c r="AD80" s="29"/>
      <c r="AE80" s="39"/>
    </row>
    <row r="81" spans="1:31" ht="15.5" x14ac:dyDescent="0.35">
      <c r="A81" s="22" t="s">
        <v>372</v>
      </c>
      <c r="B81" s="23" t="s">
        <v>373</v>
      </c>
      <c r="C81" s="23" t="s">
        <v>374</v>
      </c>
      <c r="D81" s="23" t="s">
        <v>375</v>
      </c>
      <c r="E81" s="28">
        <v>49014</v>
      </c>
      <c r="F81" s="23" t="s">
        <v>370</v>
      </c>
      <c r="G81" s="23" t="s">
        <v>208</v>
      </c>
      <c r="H81" s="23" t="s">
        <v>183</v>
      </c>
      <c r="I81" s="24">
        <v>42.440677966101703</v>
      </c>
      <c r="J81" s="25">
        <v>6.5409836065573765</v>
      </c>
      <c r="K81" s="25">
        <v>13.098360655737705</v>
      </c>
      <c r="L81" s="25">
        <v>17.42622950819672</v>
      </c>
      <c r="M81" s="25">
        <v>12.967213114754099</v>
      </c>
      <c r="N81" s="25">
        <v>39.163934426229503</v>
      </c>
      <c r="O81" s="25">
        <v>8.5737704918032804</v>
      </c>
      <c r="P81" s="25">
        <v>1.5901639344262297</v>
      </c>
      <c r="Q81" s="25">
        <v>0.70491803278688514</v>
      </c>
      <c r="R81" s="25">
        <v>22.360655737704917</v>
      </c>
      <c r="S81" s="25">
        <v>9.557377049180328</v>
      </c>
      <c r="T81" s="25">
        <v>4.7377049180327875</v>
      </c>
      <c r="U81" s="25">
        <v>13.377049180327866</v>
      </c>
      <c r="V81" s="25"/>
      <c r="W81" s="26">
        <v>75</v>
      </c>
      <c r="X81" s="23" t="s">
        <v>184</v>
      </c>
      <c r="Y81" s="29" t="s">
        <v>721</v>
      </c>
      <c r="Z81" s="23" t="s">
        <v>302</v>
      </c>
      <c r="AA81" s="27" t="s">
        <v>762</v>
      </c>
      <c r="AB81" s="23" t="s">
        <v>184</v>
      </c>
      <c r="AC81" s="29" t="s">
        <v>289</v>
      </c>
      <c r="AD81" s="29" t="s">
        <v>302</v>
      </c>
      <c r="AE81" s="39">
        <v>43895</v>
      </c>
    </row>
    <row r="82" spans="1:31" ht="15.5" x14ac:dyDescent="0.35">
      <c r="A82" s="22" t="s">
        <v>439</v>
      </c>
      <c r="B82" s="23" t="s">
        <v>440</v>
      </c>
      <c r="C82" s="23" t="s">
        <v>441</v>
      </c>
      <c r="D82" s="23" t="s">
        <v>328</v>
      </c>
      <c r="E82" s="28">
        <v>56201</v>
      </c>
      <c r="F82" s="23" t="s">
        <v>329</v>
      </c>
      <c r="G82" s="23" t="s">
        <v>208</v>
      </c>
      <c r="H82" s="23" t="s">
        <v>183</v>
      </c>
      <c r="I82" s="24">
        <v>69.2</v>
      </c>
      <c r="J82" s="25">
        <v>2.721311475409836</v>
      </c>
      <c r="K82" s="25">
        <v>4.918032786885246</v>
      </c>
      <c r="L82" s="25">
        <v>27.754098360655728</v>
      </c>
      <c r="M82" s="25">
        <v>11.918032786885249</v>
      </c>
      <c r="N82" s="25">
        <v>34.081967213114737</v>
      </c>
      <c r="O82" s="25">
        <v>4.442622950819672</v>
      </c>
      <c r="P82" s="25">
        <v>7.0327868852459012</v>
      </c>
      <c r="Q82" s="25">
        <v>1.7540983606557377</v>
      </c>
      <c r="R82" s="25">
        <v>28.918032786885238</v>
      </c>
      <c r="S82" s="25">
        <v>6.4262295081967213</v>
      </c>
      <c r="T82" s="25">
        <v>1.4918032786885247</v>
      </c>
      <c r="U82" s="25">
        <v>10.475409836065575</v>
      </c>
      <c r="V82" s="25"/>
      <c r="W82" s="26"/>
      <c r="X82" s="23" t="s">
        <v>184</v>
      </c>
      <c r="Y82" s="29" t="s">
        <v>289</v>
      </c>
      <c r="Z82" s="23"/>
      <c r="AA82" s="27" t="s">
        <v>770</v>
      </c>
      <c r="AB82" s="23" t="s">
        <v>184</v>
      </c>
      <c r="AC82" s="29" t="s">
        <v>289</v>
      </c>
      <c r="AD82" s="29" t="s">
        <v>302</v>
      </c>
      <c r="AE82" s="39">
        <v>43657</v>
      </c>
    </row>
    <row r="83" spans="1:31" ht="15.5" x14ac:dyDescent="0.35">
      <c r="A83" s="22" t="s">
        <v>390</v>
      </c>
      <c r="B83" s="23" t="s">
        <v>391</v>
      </c>
      <c r="C83" s="23" t="s">
        <v>392</v>
      </c>
      <c r="D83" s="23" t="s">
        <v>371</v>
      </c>
      <c r="E83" s="28">
        <v>53039</v>
      </c>
      <c r="F83" s="23" t="s">
        <v>36</v>
      </c>
      <c r="G83" s="23" t="s">
        <v>252</v>
      </c>
      <c r="H83" s="23" t="s">
        <v>183</v>
      </c>
      <c r="I83" s="24">
        <v>84.436363636363595</v>
      </c>
      <c r="J83" s="25">
        <v>6.8032786885245899</v>
      </c>
      <c r="K83" s="25">
        <v>2.2459016393442623</v>
      </c>
      <c r="L83" s="25">
        <v>13.377049180327871</v>
      </c>
      <c r="M83" s="25">
        <v>24.737704918032787</v>
      </c>
      <c r="N83" s="25">
        <v>38.868852459016388</v>
      </c>
      <c r="O83" s="25">
        <v>8.2950819672131146</v>
      </c>
      <c r="P83" s="25">
        <v>0</v>
      </c>
      <c r="Q83" s="25">
        <v>0</v>
      </c>
      <c r="R83" s="25">
        <v>15.098360655737707</v>
      </c>
      <c r="S83" s="25">
        <v>9.032786885245903</v>
      </c>
      <c r="T83" s="25">
        <v>4.6229508196721314</v>
      </c>
      <c r="U83" s="25">
        <v>18.409836065573778</v>
      </c>
      <c r="V83" s="25"/>
      <c r="W83" s="26"/>
      <c r="X83" s="23" t="s">
        <v>184</v>
      </c>
      <c r="Y83" s="29" t="s">
        <v>721</v>
      </c>
      <c r="Z83" s="23" t="s">
        <v>302</v>
      </c>
      <c r="AA83" s="27" t="s">
        <v>771</v>
      </c>
      <c r="AB83" s="23" t="s">
        <v>184</v>
      </c>
      <c r="AC83" s="29" t="s">
        <v>289</v>
      </c>
      <c r="AD83" s="29" t="s">
        <v>302</v>
      </c>
      <c r="AE83" s="39">
        <v>44133</v>
      </c>
    </row>
    <row r="84" spans="1:31" ht="15.5" x14ac:dyDescent="0.35">
      <c r="A84" s="22" t="s">
        <v>12</v>
      </c>
      <c r="B84" s="23" t="s">
        <v>314</v>
      </c>
      <c r="C84" s="23" t="s">
        <v>315</v>
      </c>
      <c r="D84" s="23" t="s">
        <v>211</v>
      </c>
      <c r="E84" s="28">
        <v>85232</v>
      </c>
      <c r="F84" s="23" t="s">
        <v>212</v>
      </c>
      <c r="G84" s="23" t="s">
        <v>335</v>
      </c>
      <c r="H84" s="23" t="s">
        <v>5</v>
      </c>
      <c r="I84" s="24">
        <v>1.44962486602358</v>
      </c>
      <c r="J84" s="25">
        <v>26.590163934426762</v>
      </c>
      <c r="K84" s="25">
        <v>6.229508196721282</v>
      </c>
      <c r="L84" s="25">
        <v>6.9180327868852194</v>
      </c>
      <c r="M84" s="25">
        <v>4.6229508196721225</v>
      </c>
      <c r="N84" s="25">
        <v>15.180327868852354</v>
      </c>
      <c r="O84" s="25">
        <v>22.934426229508386</v>
      </c>
      <c r="P84" s="25">
        <v>1.377049180327869</v>
      </c>
      <c r="Q84" s="25">
        <v>4.8688524590163826</v>
      </c>
      <c r="R84" s="25">
        <v>3.8196721311475317</v>
      </c>
      <c r="S84" s="25">
        <v>1.3606557377049187</v>
      </c>
      <c r="T84" s="25">
        <v>0.73770491803278726</v>
      </c>
      <c r="U84" s="25">
        <v>38.442622950819953</v>
      </c>
      <c r="V84" s="25"/>
      <c r="W84" s="26"/>
      <c r="X84" s="23" t="s">
        <v>209</v>
      </c>
      <c r="Y84" s="29"/>
      <c r="Z84" s="23"/>
      <c r="AA84" s="27"/>
      <c r="AB84" s="23" t="s">
        <v>209</v>
      </c>
      <c r="AC84" s="29"/>
      <c r="AD84" s="29"/>
      <c r="AE84" s="39"/>
    </row>
    <row r="85" spans="1:31" ht="15.5" x14ac:dyDescent="0.35">
      <c r="A85" s="22" t="s">
        <v>13</v>
      </c>
      <c r="B85" s="23" t="s">
        <v>433</v>
      </c>
      <c r="C85" s="23" t="s">
        <v>434</v>
      </c>
      <c r="D85" s="23" t="s">
        <v>369</v>
      </c>
      <c r="E85" s="28">
        <v>44883</v>
      </c>
      <c r="F85" s="23" t="s">
        <v>370</v>
      </c>
      <c r="G85" s="23" t="s">
        <v>208</v>
      </c>
      <c r="H85" s="23" t="s">
        <v>183</v>
      </c>
      <c r="I85" s="24">
        <v>51.785714285714299</v>
      </c>
      <c r="J85" s="25">
        <v>1.5901639344262295</v>
      </c>
      <c r="K85" s="25">
        <v>2.622950819672131</v>
      </c>
      <c r="L85" s="25">
        <v>17.836065573770494</v>
      </c>
      <c r="M85" s="25">
        <v>16.655737704918035</v>
      </c>
      <c r="N85" s="25">
        <v>31.393442622950801</v>
      </c>
      <c r="O85" s="25">
        <v>3.9508196721311473</v>
      </c>
      <c r="P85" s="25">
        <v>2.3770491803278686</v>
      </c>
      <c r="Q85" s="25">
        <v>0.98360655737704916</v>
      </c>
      <c r="R85" s="25">
        <v>23.770491803278681</v>
      </c>
      <c r="S85" s="25">
        <v>5.4754098360655741</v>
      </c>
      <c r="T85" s="25">
        <v>3.5245901639344259</v>
      </c>
      <c r="U85" s="25">
        <v>5.9344262295081975</v>
      </c>
      <c r="V85" s="25"/>
      <c r="W85" s="26"/>
      <c r="X85" s="23" t="s">
        <v>184</v>
      </c>
      <c r="Y85" s="29" t="s">
        <v>289</v>
      </c>
      <c r="Z85" s="23" t="s">
        <v>302</v>
      </c>
      <c r="AA85" s="27" t="s">
        <v>734</v>
      </c>
      <c r="AB85" s="23" t="s">
        <v>184</v>
      </c>
      <c r="AC85" s="29" t="s">
        <v>289</v>
      </c>
      <c r="AD85" s="29" t="s">
        <v>302</v>
      </c>
      <c r="AE85" s="39">
        <v>44209</v>
      </c>
    </row>
    <row r="86" spans="1:31" ht="15.5" x14ac:dyDescent="0.35">
      <c r="A86" s="22" t="s">
        <v>442</v>
      </c>
      <c r="B86" s="23" t="s">
        <v>443</v>
      </c>
      <c r="C86" s="23" t="s">
        <v>444</v>
      </c>
      <c r="D86" s="23" t="s">
        <v>328</v>
      </c>
      <c r="E86" s="28">
        <v>56007</v>
      </c>
      <c r="F86" s="23" t="s">
        <v>329</v>
      </c>
      <c r="G86" s="23" t="s">
        <v>208</v>
      </c>
      <c r="H86" s="23" t="s">
        <v>5</v>
      </c>
      <c r="I86" s="24">
        <v>38.097560975609802</v>
      </c>
      <c r="J86" s="25">
        <v>22.295081967213115</v>
      </c>
      <c r="K86" s="25">
        <v>0.34426229508196721</v>
      </c>
      <c r="L86" s="25">
        <v>11.114754098360654</v>
      </c>
      <c r="M86" s="25">
        <v>1.721311475409836</v>
      </c>
      <c r="N86" s="25">
        <v>9.9508196721311482</v>
      </c>
      <c r="O86" s="25">
        <v>25.524590163934427</v>
      </c>
      <c r="P86" s="25">
        <v>0</v>
      </c>
      <c r="Q86" s="25">
        <v>0</v>
      </c>
      <c r="R86" s="25">
        <v>7.3278688524590168</v>
      </c>
      <c r="S86" s="25">
        <v>2.1311475409836067</v>
      </c>
      <c r="T86" s="25">
        <v>0</v>
      </c>
      <c r="U86" s="25">
        <v>26.016393442622952</v>
      </c>
      <c r="V86" s="25"/>
      <c r="W86" s="26"/>
      <c r="X86" s="23" t="s">
        <v>184</v>
      </c>
      <c r="Y86" s="29" t="s">
        <v>721</v>
      </c>
      <c r="Z86" s="23"/>
      <c r="AA86" s="27" t="s">
        <v>771</v>
      </c>
      <c r="AB86" s="23" t="s">
        <v>184</v>
      </c>
      <c r="AC86" s="29" t="s">
        <v>289</v>
      </c>
      <c r="AD86" s="29" t="s">
        <v>302</v>
      </c>
      <c r="AE86" s="39">
        <v>44084</v>
      </c>
    </row>
    <row r="87" spans="1:31" ht="15.5" x14ac:dyDescent="0.35">
      <c r="A87" s="22" t="s">
        <v>359</v>
      </c>
      <c r="B87" s="23" t="s">
        <v>360</v>
      </c>
      <c r="C87" s="23" t="s">
        <v>45</v>
      </c>
      <c r="D87" s="23" t="s">
        <v>361</v>
      </c>
      <c r="E87" s="28">
        <v>89015</v>
      </c>
      <c r="F87" s="23" t="s">
        <v>362</v>
      </c>
      <c r="G87" s="23" t="s">
        <v>252</v>
      </c>
      <c r="H87" s="23" t="s">
        <v>183</v>
      </c>
      <c r="I87" s="24">
        <v>28.7454545454545</v>
      </c>
      <c r="J87" s="25">
        <v>16.639344262295136</v>
      </c>
      <c r="K87" s="25">
        <v>6.2295081967213051</v>
      </c>
      <c r="L87" s="25">
        <v>6.3278688524590168</v>
      </c>
      <c r="M87" s="25">
        <v>5.2950819672131146</v>
      </c>
      <c r="N87" s="25">
        <v>16.04918032786885</v>
      </c>
      <c r="O87" s="25">
        <v>14.754098360655728</v>
      </c>
      <c r="P87" s="25">
        <v>2.5245901639344259</v>
      </c>
      <c r="Q87" s="25">
        <v>1.1639344262295084</v>
      </c>
      <c r="R87" s="25">
        <v>11.78688524590164</v>
      </c>
      <c r="S87" s="25">
        <v>2.9836065573770489</v>
      </c>
      <c r="T87" s="25">
        <v>1.2131147540983604</v>
      </c>
      <c r="U87" s="25">
        <v>18.508196721311574</v>
      </c>
      <c r="V87" s="25"/>
      <c r="W87" s="26"/>
      <c r="X87" s="23" t="s">
        <v>184</v>
      </c>
      <c r="Y87" s="29" t="s">
        <v>289</v>
      </c>
      <c r="Z87" s="23" t="s">
        <v>302</v>
      </c>
      <c r="AA87" s="27" t="s">
        <v>765</v>
      </c>
      <c r="AB87" s="23" t="s">
        <v>184</v>
      </c>
      <c r="AC87" s="29" t="s">
        <v>289</v>
      </c>
      <c r="AD87" s="29" t="s">
        <v>302</v>
      </c>
      <c r="AE87" s="39">
        <v>44155</v>
      </c>
    </row>
    <row r="88" spans="1:31" ht="15.5" x14ac:dyDescent="0.35">
      <c r="A88" s="22" t="s">
        <v>33</v>
      </c>
      <c r="B88" s="23" t="s">
        <v>354</v>
      </c>
      <c r="C88" s="23" t="s">
        <v>355</v>
      </c>
      <c r="D88" s="23" t="s">
        <v>356</v>
      </c>
      <c r="E88" s="28">
        <v>74447</v>
      </c>
      <c r="F88" s="23" t="s">
        <v>270</v>
      </c>
      <c r="G88" s="23" t="s">
        <v>208</v>
      </c>
      <c r="H88" s="23" t="s">
        <v>5</v>
      </c>
      <c r="I88" s="24">
        <v>35.955882352941202</v>
      </c>
      <c r="J88" s="25">
        <v>2.6721311475409837</v>
      </c>
      <c r="K88" s="25">
        <v>5.8196721311475423</v>
      </c>
      <c r="L88" s="25">
        <v>8.6393442622950829</v>
      </c>
      <c r="M88" s="25">
        <v>17.196721311475407</v>
      </c>
      <c r="N88" s="25">
        <v>26.885245901639337</v>
      </c>
      <c r="O88" s="25">
        <v>7.442622950819672</v>
      </c>
      <c r="P88" s="25">
        <v>0</v>
      </c>
      <c r="Q88" s="25">
        <v>0</v>
      </c>
      <c r="R88" s="25">
        <v>13.360655737704915</v>
      </c>
      <c r="S88" s="25">
        <v>1.9672131147540983</v>
      </c>
      <c r="T88" s="25">
        <v>0.88524590163934425</v>
      </c>
      <c r="U88" s="25">
        <v>18.114754098360653</v>
      </c>
      <c r="V88" s="25"/>
      <c r="W88" s="26"/>
      <c r="X88" s="23" t="s">
        <v>184</v>
      </c>
      <c r="Y88" s="29" t="s">
        <v>720</v>
      </c>
      <c r="Z88" s="23" t="s">
        <v>428</v>
      </c>
      <c r="AA88" s="27" t="s">
        <v>733</v>
      </c>
      <c r="AB88" s="23" t="s">
        <v>184</v>
      </c>
      <c r="AC88" s="29" t="s">
        <v>185</v>
      </c>
      <c r="AD88" s="29" t="s">
        <v>186</v>
      </c>
      <c r="AE88" s="39">
        <v>44105</v>
      </c>
    </row>
    <row r="89" spans="1:31" ht="15.5" x14ac:dyDescent="0.35">
      <c r="A89" s="22" t="s">
        <v>436</v>
      </c>
      <c r="B89" s="23" t="s">
        <v>437</v>
      </c>
      <c r="C89" s="23" t="s">
        <v>438</v>
      </c>
      <c r="D89" s="23" t="s">
        <v>211</v>
      </c>
      <c r="E89" s="28">
        <v>85349</v>
      </c>
      <c r="F89" s="23" t="s">
        <v>224</v>
      </c>
      <c r="G89" s="23" t="s">
        <v>208</v>
      </c>
      <c r="H89" s="23" t="s">
        <v>183</v>
      </c>
      <c r="I89" s="24">
        <v>16.625570776255699</v>
      </c>
      <c r="J89" s="25">
        <v>32.786885245901566</v>
      </c>
      <c r="K89" s="25">
        <v>1.2459016393442632</v>
      </c>
      <c r="L89" s="25">
        <v>1.6393442622950821E-2</v>
      </c>
      <c r="M89" s="25">
        <v>1.6393442622950821E-2</v>
      </c>
      <c r="N89" s="25">
        <v>0.14754098360655735</v>
      </c>
      <c r="O89" s="25">
        <v>14.754098360655716</v>
      </c>
      <c r="P89" s="25">
        <v>0.44262295081967212</v>
      </c>
      <c r="Q89" s="25">
        <v>18.72131147540987</v>
      </c>
      <c r="R89" s="25">
        <v>0</v>
      </c>
      <c r="S89" s="25">
        <v>1.6393442622950821E-2</v>
      </c>
      <c r="T89" s="25">
        <v>0</v>
      </c>
      <c r="U89" s="25">
        <v>34.049180327868633</v>
      </c>
      <c r="V89" s="25"/>
      <c r="W89" s="26">
        <v>100</v>
      </c>
      <c r="X89" s="23" t="s">
        <v>184</v>
      </c>
      <c r="Y89" s="29" t="s">
        <v>721</v>
      </c>
      <c r="Z89" s="23" t="s">
        <v>302</v>
      </c>
      <c r="AA89" s="27" t="s">
        <v>751</v>
      </c>
      <c r="AB89" s="23" t="s">
        <v>184</v>
      </c>
      <c r="AC89" s="29" t="s">
        <v>721</v>
      </c>
      <c r="AD89" s="29" t="s">
        <v>302</v>
      </c>
      <c r="AE89" s="39">
        <v>44160</v>
      </c>
    </row>
    <row r="90" spans="1:31" ht="15.5" x14ac:dyDescent="0.35">
      <c r="A90" s="22" t="s">
        <v>383</v>
      </c>
      <c r="B90" s="23" t="s">
        <v>384</v>
      </c>
      <c r="C90" s="23" t="s">
        <v>385</v>
      </c>
      <c r="D90" s="23" t="s">
        <v>345</v>
      </c>
      <c r="E90" s="28">
        <v>60901</v>
      </c>
      <c r="F90" s="23" t="s">
        <v>36</v>
      </c>
      <c r="G90" s="23" t="s">
        <v>252</v>
      </c>
      <c r="H90" s="23" t="s">
        <v>5</v>
      </c>
      <c r="I90" s="24">
        <v>65.347826086956502</v>
      </c>
      <c r="J90" s="25">
        <v>7.6229508196721314</v>
      </c>
      <c r="K90" s="25">
        <v>0.57377049180327866</v>
      </c>
      <c r="L90" s="25">
        <v>9.8360655737704903</v>
      </c>
      <c r="M90" s="25">
        <v>13.114754098360654</v>
      </c>
      <c r="N90" s="25">
        <v>21.409836065573767</v>
      </c>
      <c r="O90" s="25">
        <v>9.7377049180327848</v>
      </c>
      <c r="P90" s="25">
        <v>0</v>
      </c>
      <c r="Q90" s="25">
        <v>0</v>
      </c>
      <c r="R90" s="25">
        <v>10.606557377049178</v>
      </c>
      <c r="S90" s="25">
        <v>5.0327868852459021</v>
      </c>
      <c r="T90" s="25">
        <v>1.6229508196721314</v>
      </c>
      <c r="U90" s="25">
        <v>13.885245901639342</v>
      </c>
      <c r="V90" s="25"/>
      <c r="W90" s="26"/>
      <c r="X90" s="23" t="s">
        <v>184</v>
      </c>
      <c r="Y90" s="29" t="s">
        <v>289</v>
      </c>
      <c r="Z90" s="23" t="s">
        <v>302</v>
      </c>
      <c r="AA90" s="27" t="s">
        <v>772</v>
      </c>
      <c r="AB90" s="23" t="s">
        <v>184</v>
      </c>
      <c r="AC90" s="29" t="s">
        <v>289</v>
      </c>
      <c r="AD90" s="29" t="s">
        <v>302</v>
      </c>
      <c r="AE90" s="39">
        <v>44160</v>
      </c>
    </row>
    <row r="91" spans="1:31" ht="15.5" x14ac:dyDescent="0.35">
      <c r="A91" s="22" t="s">
        <v>409</v>
      </c>
      <c r="B91" s="23" t="s">
        <v>410</v>
      </c>
      <c r="C91" s="23" t="s">
        <v>411</v>
      </c>
      <c r="D91" s="23" t="s">
        <v>412</v>
      </c>
      <c r="E91" s="28">
        <v>3820</v>
      </c>
      <c r="F91" s="23" t="s">
        <v>325</v>
      </c>
      <c r="G91" s="23" t="s">
        <v>208</v>
      </c>
      <c r="H91" s="23" t="s">
        <v>183</v>
      </c>
      <c r="I91" s="24">
        <v>117</v>
      </c>
      <c r="J91" s="25">
        <v>0</v>
      </c>
      <c r="K91" s="25">
        <v>3.8852459016393444</v>
      </c>
      <c r="L91" s="25">
        <v>8.0655737704918025</v>
      </c>
      <c r="M91" s="25">
        <v>17.360655737704921</v>
      </c>
      <c r="N91" s="25">
        <v>21.622950819672131</v>
      </c>
      <c r="O91" s="25">
        <v>6.0655737704918042</v>
      </c>
      <c r="P91" s="25">
        <v>1.6229508196721312</v>
      </c>
      <c r="Q91" s="25">
        <v>0</v>
      </c>
      <c r="R91" s="25">
        <v>17.819672131147541</v>
      </c>
      <c r="S91" s="25">
        <v>2.9508196721311473</v>
      </c>
      <c r="T91" s="25">
        <v>0.31147540983606559</v>
      </c>
      <c r="U91" s="25">
        <v>8.2295081967213122</v>
      </c>
      <c r="V91" s="25"/>
      <c r="W91" s="26"/>
      <c r="X91" s="23" t="s">
        <v>184</v>
      </c>
      <c r="Y91" s="29" t="s">
        <v>253</v>
      </c>
      <c r="Z91" s="23" t="s">
        <v>186</v>
      </c>
      <c r="AA91" s="27" t="s">
        <v>773</v>
      </c>
      <c r="AB91" s="23" t="s">
        <v>184</v>
      </c>
      <c r="AC91" s="29" t="s">
        <v>253</v>
      </c>
      <c r="AD91" s="29" t="s">
        <v>186</v>
      </c>
      <c r="AE91" s="39">
        <v>43811</v>
      </c>
    </row>
    <row r="92" spans="1:31" ht="15.5" x14ac:dyDescent="0.35">
      <c r="A92" s="22" t="s">
        <v>21</v>
      </c>
      <c r="B92" s="23" t="s">
        <v>419</v>
      </c>
      <c r="C92" s="23" t="s">
        <v>420</v>
      </c>
      <c r="D92" s="23" t="s">
        <v>375</v>
      </c>
      <c r="E92" s="28">
        <v>48161</v>
      </c>
      <c r="F92" s="23" t="s">
        <v>370</v>
      </c>
      <c r="G92" s="23" t="s">
        <v>208</v>
      </c>
      <c r="H92" s="23" t="s">
        <v>5</v>
      </c>
      <c r="I92" s="24">
        <v>14.882352941176499</v>
      </c>
      <c r="J92" s="25">
        <v>9.901639344262291</v>
      </c>
      <c r="K92" s="25">
        <v>6.5573770491803289</v>
      </c>
      <c r="L92" s="25">
        <v>4.4590163934426235</v>
      </c>
      <c r="M92" s="25">
        <v>5.1639344262295088</v>
      </c>
      <c r="N92" s="25">
        <v>16.901639344262293</v>
      </c>
      <c r="O92" s="25">
        <v>9.1803278688524568</v>
      </c>
      <c r="P92" s="25">
        <v>0</v>
      </c>
      <c r="Q92" s="25">
        <v>0</v>
      </c>
      <c r="R92" s="25">
        <v>11.262295081967215</v>
      </c>
      <c r="S92" s="25">
        <v>4.3278688524590168</v>
      </c>
      <c r="T92" s="25">
        <v>0.16393442622950818</v>
      </c>
      <c r="U92" s="25">
        <v>10.327868852459012</v>
      </c>
      <c r="V92" s="25"/>
      <c r="W92" s="26"/>
      <c r="X92" s="23" t="s">
        <v>184</v>
      </c>
      <c r="Y92" s="29" t="s">
        <v>721</v>
      </c>
      <c r="Z92" s="23" t="s">
        <v>302</v>
      </c>
      <c r="AA92" s="27" t="s">
        <v>774</v>
      </c>
      <c r="AB92" s="23" t="s">
        <v>184</v>
      </c>
      <c r="AC92" s="29" t="s">
        <v>721</v>
      </c>
      <c r="AD92" s="29" t="s">
        <v>302</v>
      </c>
      <c r="AE92" s="39">
        <v>44195</v>
      </c>
    </row>
    <row r="93" spans="1:31" ht="15.5" x14ac:dyDescent="0.35">
      <c r="A93" s="22" t="s">
        <v>363</v>
      </c>
      <c r="B93" s="23" t="s">
        <v>364</v>
      </c>
      <c r="C93" s="23" t="s">
        <v>365</v>
      </c>
      <c r="D93" s="23" t="s">
        <v>290</v>
      </c>
      <c r="E93" s="28">
        <v>18428</v>
      </c>
      <c r="F93" s="23" t="s">
        <v>291</v>
      </c>
      <c r="G93" s="23" t="s">
        <v>208</v>
      </c>
      <c r="H93" s="23" t="s">
        <v>5</v>
      </c>
      <c r="I93" s="24">
        <v>119.125</v>
      </c>
      <c r="J93" s="25">
        <v>3.2459016393442623</v>
      </c>
      <c r="K93" s="25">
        <v>2.9508196721311473</v>
      </c>
      <c r="L93" s="25">
        <v>7.5081967213114753</v>
      </c>
      <c r="M93" s="25">
        <v>11.131147540983608</v>
      </c>
      <c r="N93" s="25">
        <v>23.836065573770483</v>
      </c>
      <c r="O93" s="25">
        <v>1</v>
      </c>
      <c r="P93" s="25">
        <v>0</v>
      </c>
      <c r="Q93" s="25">
        <v>0</v>
      </c>
      <c r="R93" s="25">
        <v>8.7049180327868854</v>
      </c>
      <c r="S93" s="25">
        <v>6.3770491803278695</v>
      </c>
      <c r="T93" s="25">
        <v>4.918032786885246</v>
      </c>
      <c r="U93" s="25">
        <v>4.8360655737704912</v>
      </c>
      <c r="V93" s="25"/>
      <c r="W93" s="26"/>
      <c r="X93" s="23" t="s">
        <v>184</v>
      </c>
      <c r="Y93" s="29" t="s">
        <v>253</v>
      </c>
      <c r="Z93" s="23" t="s">
        <v>186</v>
      </c>
      <c r="AA93" s="27" t="s">
        <v>740</v>
      </c>
      <c r="AB93" s="23" t="s">
        <v>184</v>
      </c>
      <c r="AC93" s="29" t="s">
        <v>253</v>
      </c>
      <c r="AD93" s="29" t="s">
        <v>186</v>
      </c>
      <c r="AE93" s="39">
        <v>44132</v>
      </c>
    </row>
    <row r="94" spans="1:31" ht="15.5" x14ac:dyDescent="0.35">
      <c r="A94" s="22" t="s">
        <v>663</v>
      </c>
      <c r="B94" s="23" t="s">
        <v>695</v>
      </c>
      <c r="C94" s="23" t="s">
        <v>696</v>
      </c>
      <c r="D94" s="23" t="s">
        <v>39</v>
      </c>
      <c r="E94" s="28">
        <v>21613</v>
      </c>
      <c r="F94" s="23" t="s">
        <v>379</v>
      </c>
      <c r="G94" s="23" t="s">
        <v>208</v>
      </c>
      <c r="H94" s="23" t="s">
        <v>183</v>
      </c>
      <c r="I94" s="24">
        <v>115.2</v>
      </c>
      <c r="J94" s="25">
        <v>0</v>
      </c>
      <c r="K94" s="25">
        <v>0</v>
      </c>
      <c r="L94" s="25">
        <v>8.1147540983606561</v>
      </c>
      <c r="M94" s="25">
        <v>15.131147540983608</v>
      </c>
      <c r="N94" s="25">
        <v>21.524590163934423</v>
      </c>
      <c r="O94" s="25">
        <v>1.721311475409836</v>
      </c>
      <c r="P94" s="25">
        <v>0</v>
      </c>
      <c r="Q94" s="25">
        <v>0</v>
      </c>
      <c r="R94" s="25">
        <v>13.18032786885246</v>
      </c>
      <c r="S94" s="25">
        <v>2.9508196721311473</v>
      </c>
      <c r="T94" s="25">
        <v>0.98360655737704916</v>
      </c>
      <c r="U94" s="25">
        <v>6.1311475409836067</v>
      </c>
      <c r="V94" s="25"/>
      <c r="W94" s="26"/>
      <c r="X94" s="23" t="s">
        <v>184</v>
      </c>
      <c r="Y94" s="29" t="s">
        <v>721</v>
      </c>
      <c r="Z94" s="23" t="s">
        <v>302</v>
      </c>
      <c r="AA94" s="27" t="s">
        <v>760</v>
      </c>
      <c r="AB94" s="23" t="s">
        <v>184</v>
      </c>
      <c r="AC94" s="29" t="s">
        <v>289</v>
      </c>
      <c r="AD94" s="29" t="s">
        <v>302</v>
      </c>
      <c r="AE94" s="39">
        <v>43908</v>
      </c>
    </row>
    <row r="95" spans="1:31" ht="15.5" x14ac:dyDescent="0.35">
      <c r="A95" s="22" t="s">
        <v>406</v>
      </c>
      <c r="B95" s="23" t="s">
        <v>407</v>
      </c>
      <c r="C95" s="23" t="s">
        <v>408</v>
      </c>
      <c r="D95" s="23" t="s">
        <v>195</v>
      </c>
      <c r="E95" s="28">
        <v>79521</v>
      </c>
      <c r="F95" s="23" t="s">
        <v>270</v>
      </c>
      <c r="G95" s="23" t="s">
        <v>252</v>
      </c>
      <c r="H95" s="23" t="s">
        <v>183</v>
      </c>
      <c r="I95" s="24">
        <v>17.6216216216216</v>
      </c>
      <c r="J95" s="25">
        <v>15.770491803278688</v>
      </c>
      <c r="K95" s="25">
        <v>6.8852459016393439</v>
      </c>
      <c r="L95" s="25">
        <v>0</v>
      </c>
      <c r="M95" s="25">
        <v>0</v>
      </c>
      <c r="N95" s="25">
        <v>0</v>
      </c>
      <c r="O95" s="25">
        <v>0</v>
      </c>
      <c r="P95" s="25">
        <v>0</v>
      </c>
      <c r="Q95" s="25">
        <v>22.65573770491801</v>
      </c>
      <c r="R95" s="25">
        <v>0</v>
      </c>
      <c r="S95" s="25">
        <v>0</v>
      </c>
      <c r="T95" s="25">
        <v>0</v>
      </c>
      <c r="U95" s="25">
        <v>22.65573770491801</v>
      </c>
      <c r="V95" s="25"/>
      <c r="W95" s="26"/>
      <c r="X95" s="23" t="s">
        <v>184</v>
      </c>
      <c r="Y95" s="29" t="s">
        <v>721</v>
      </c>
      <c r="Z95" s="23" t="s">
        <v>302</v>
      </c>
      <c r="AA95" s="27" t="s">
        <v>768</v>
      </c>
      <c r="AB95" s="23" t="s">
        <v>184</v>
      </c>
      <c r="AC95" s="29" t="s">
        <v>721</v>
      </c>
      <c r="AD95" s="29" t="s">
        <v>302</v>
      </c>
      <c r="AE95" s="39">
        <v>44125</v>
      </c>
    </row>
    <row r="96" spans="1:31" ht="15.5" x14ac:dyDescent="0.35">
      <c r="A96" s="22" t="s">
        <v>664</v>
      </c>
      <c r="B96" s="23" t="s">
        <v>697</v>
      </c>
      <c r="C96" s="23" t="s">
        <v>256</v>
      </c>
      <c r="D96" s="23" t="s">
        <v>195</v>
      </c>
      <c r="E96" s="28">
        <v>79925</v>
      </c>
      <c r="F96" s="23" t="s">
        <v>239</v>
      </c>
      <c r="G96" s="23" t="s">
        <v>719</v>
      </c>
      <c r="H96" s="23" t="s">
        <v>183</v>
      </c>
      <c r="I96" s="24">
        <v>2.1970021413276202</v>
      </c>
      <c r="J96" s="25">
        <v>18.655737704918003</v>
      </c>
      <c r="K96" s="25">
        <v>0</v>
      </c>
      <c r="L96" s="25">
        <v>0</v>
      </c>
      <c r="M96" s="25">
        <v>0</v>
      </c>
      <c r="N96" s="25">
        <v>0.19672131147540983</v>
      </c>
      <c r="O96" s="25">
        <v>8.6885245901639081</v>
      </c>
      <c r="P96" s="25">
        <v>0</v>
      </c>
      <c r="Q96" s="25">
        <v>9.7704918032786416</v>
      </c>
      <c r="R96" s="25">
        <v>0</v>
      </c>
      <c r="S96" s="25">
        <v>0</v>
      </c>
      <c r="T96" s="25">
        <v>0.19672131147540983</v>
      </c>
      <c r="U96" s="25">
        <v>18.459016393442592</v>
      </c>
      <c r="V96" s="25"/>
      <c r="W96" s="26"/>
      <c r="X96" s="23" t="s">
        <v>184</v>
      </c>
      <c r="Y96" s="29" t="s">
        <v>201</v>
      </c>
      <c r="Z96" s="23"/>
      <c r="AA96" s="27" t="s">
        <v>775</v>
      </c>
      <c r="AB96" s="23" t="s">
        <v>184</v>
      </c>
      <c r="AC96" s="29" t="s">
        <v>201</v>
      </c>
      <c r="AD96" s="29"/>
      <c r="AE96" s="39">
        <v>44334</v>
      </c>
    </row>
    <row r="97" spans="1:31" ht="15.5" x14ac:dyDescent="0.35">
      <c r="A97" s="22" t="s">
        <v>376</v>
      </c>
      <c r="B97" s="23" t="s">
        <v>377</v>
      </c>
      <c r="C97" s="23" t="s">
        <v>378</v>
      </c>
      <c r="D97" s="23" t="s">
        <v>39</v>
      </c>
      <c r="E97" s="28">
        <v>21863</v>
      </c>
      <c r="F97" s="23" t="s">
        <v>379</v>
      </c>
      <c r="G97" s="23" t="s">
        <v>208</v>
      </c>
      <c r="H97" s="23" t="s">
        <v>183</v>
      </c>
      <c r="I97" s="24">
        <v>112.181818181818</v>
      </c>
      <c r="J97" s="25">
        <v>0</v>
      </c>
      <c r="K97" s="25">
        <v>0</v>
      </c>
      <c r="L97" s="25">
        <v>4.7377049180327866</v>
      </c>
      <c r="M97" s="25">
        <v>13.852459016393444</v>
      </c>
      <c r="N97" s="25">
        <v>14.032786885245903</v>
      </c>
      <c r="O97" s="25">
        <v>4.557377049180328</v>
      </c>
      <c r="P97" s="25">
        <v>0</v>
      </c>
      <c r="Q97" s="25">
        <v>0</v>
      </c>
      <c r="R97" s="25">
        <v>9.6229508196721323</v>
      </c>
      <c r="S97" s="25">
        <v>2.2622950819672134</v>
      </c>
      <c r="T97" s="25">
        <v>0.34426229508196721</v>
      </c>
      <c r="U97" s="25">
        <v>6.360655737704918</v>
      </c>
      <c r="V97" s="25"/>
      <c r="W97" s="26"/>
      <c r="X97" s="23" t="s">
        <v>184</v>
      </c>
      <c r="Y97" s="29" t="s">
        <v>721</v>
      </c>
      <c r="Z97" s="23" t="s">
        <v>302</v>
      </c>
      <c r="AA97" s="27" t="s">
        <v>774</v>
      </c>
      <c r="AB97" s="23" t="s">
        <v>184</v>
      </c>
      <c r="AC97" s="29" t="s">
        <v>721</v>
      </c>
      <c r="AD97" s="29" t="s">
        <v>302</v>
      </c>
      <c r="AE97" s="39">
        <v>44230</v>
      </c>
    </row>
    <row r="98" spans="1:31" ht="15.5" x14ac:dyDescent="0.35">
      <c r="A98" s="22" t="s">
        <v>665</v>
      </c>
      <c r="B98" s="23" t="s">
        <v>698</v>
      </c>
      <c r="C98" s="23" t="s">
        <v>256</v>
      </c>
      <c r="D98" s="23" t="s">
        <v>195</v>
      </c>
      <c r="E98" s="28">
        <v>79925</v>
      </c>
      <c r="F98" s="23" t="s">
        <v>239</v>
      </c>
      <c r="G98" s="23" t="s">
        <v>719</v>
      </c>
      <c r="H98" s="23" t="s">
        <v>183</v>
      </c>
      <c r="I98" s="24">
        <v>2.0525252525252502</v>
      </c>
      <c r="J98" s="25">
        <v>17.409836065573717</v>
      </c>
      <c r="K98" s="25">
        <v>0</v>
      </c>
      <c r="L98" s="25">
        <v>0</v>
      </c>
      <c r="M98" s="25">
        <v>0</v>
      </c>
      <c r="N98" s="25">
        <v>1.6393442622950821E-2</v>
      </c>
      <c r="O98" s="25">
        <v>7.9344262295081647</v>
      </c>
      <c r="P98" s="25">
        <v>1.6393442622950821E-2</v>
      </c>
      <c r="Q98" s="25">
        <v>9.4426229508196116</v>
      </c>
      <c r="R98" s="25">
        <v>0</v>
      </c>
      <c r="S98" s="25">
        <v>0</v>
      </c>
      <c r="T98" s="25">
        <v>3.2786885245901641E-2</v>
      </c>
      <c r="U98" s="25">
        <v>17.377049180327816</v>
      </c>
      <c r="V98" s="25"/>
      <c r="W98" s="26"/>
      <c r="X98" s="23" t="s">
        <v>184</v>
      </c>
      <c r="Y98" s="29" t="s">
        <v>201</v>
      </c>
      <c r="Z98" s="23"/>
      <c r="AA98" s="27" t="s">
        <v>776</v>
      </c>
      <c r="AB98" s="23" t="s">
        <v>184</v>
      </c>
      <c r="AC98" s="29" t="s">
        <v>201</v>
      </c>
      <c r="AD98" s="29"/>
      <c r="AE98" s="39">
        <v>44333</v>
      </c>
    </row>
    <row r="99" spans="1:31" ht="15.5" x14ac:dyDescent="0.35">
      <c r="A99" s="22" t="s">
        <v>430</v>
      </c>
      <c r="B99" s="23" t="s">
        <v>431</v>
      </c>
      <c r="C99" s="23" t="s">
        <v>432</v>
      </c>
      <c r="D99" s="23" t="s">
        <v>375</v>
      </c>
      <c r="E99" s="28">
        <v>48060</v>
      </c>
      <c r="F99" s="23" t="s">
        <v>370</v>
      </c>
      <c r="G99" s="23" t="s">
        <v>208</v>
      </c>
      <c r="H99" s="23" t="s">
        <v>5</v>
      </c>
      <c r="I99" s="24">
        <v>98.1666666666667</v>
      </c>
      <c r="J99" s="25">
        <v>4.6229508196721305</v>
      </c>
      <c r="K99" s="25">
        <v>3.4590163934426235</v>
      </c>
      <c r="L99" s="25">
        <v>5.2622950819672143</v>
      </c>
      <c r="M99" s="25">
        <v>2.7704918032786887</v>
      </c>
      <c r="N99" s="25">
        <v>13.081967213114753</v>
      </c>
      <c r="O99" s="25">
        <v>3.0327868852459017</v>
      </c>
      <c r="P99" s="25">
        <v>0</v>
      </c>
      <c r="Q99" s="25">
        <v>0</v>
      </c>
      <c r="R99" s="25">
        <v>8.4918032786885238</v>
      </c>
      <c r="S99" s="25">
        <v>0</v>
      </c>
      <c r="T99" s="25">
        <v>1.4918032786885247</v>
      </c>
      <c r="U99" s="25">
        <v>6.1311475409836076</v>
      </c>
      <c r="V99" s="25"/>
      <c r="W99" s="26"/>
      <c r="X99" s="23" t="s">
        <v>184</v>
      </c>
      <c r="Y99" s="29" t="s">
        <v>253</v>
      </c>
      <c r="Z99" s="23" t="s">
        <v>186</v>
      </c>
      <c r="AA99" s="27" t="s">
        <v>777</v>
      </c>
      <c r="AB99" s="23" t="s">
        <v>184</v>
      </c>
      <c r="AC99" s="29" t="s">
        <v>253</v>
      </c>
      <c r="AD99" s="29" t="s">
        <v>186</v>
      </c>
      <c r="AE99" s="39">
        <v>43769</v>
      </c>
    </row>
    <row r="100" spans="1:31" ht="15.5" x14ac:dyDescent="0.35">
      <c r="A100" s="22" t="s">
        <v>43</v>
      </c>
      <c r="B100" s="23" t="s">
        <v>448</v>
      </c>
      <c r="C100" s="23" t="s">
        <v>449</v>
      </c>
      <c r="D100" s="23" t="s">
        <v>369</v>
      </c>
      <c r="E100" s="28">
        <v>44024</v>
      </c>
      <c r="F100" s="23" t="s">
        <v>370</v>
      </c>
      <c r="G100" s="23" t="s">
        <v>252</v>
      </c>
      <c r="H100" s="23" t="s">
        <v>183</v>
      </c>
      <c r="I100" s="24">
        <v>76.6666666666667</v>
      </c>
      <c r="J100" s="25">
        <v>2.737704918032787</v>
      </c>
      <c r="K100" s="25">
        <v>1.180327868852459</v>
      </c>
      <c r="L100" s="25">
        <v>5.3114754098360661</v>
      </c>
      <c r="M100" s="25">
        <v>6.7377049180327875</v>
      </c>
      <c r="N100" s="25">
        <v>11.475409836065575</v>
      </c>
      <c r="O100" s="25">
        <v>1.540983606557377</v>
      </c>
      <c r="P100" s="25">
        <v>1.9672131147540983</v>
      </c>
      <c r="Q100" s="25">
        <v>0.98360655737704916</v>
      </c>
      <c r="R100" s="25">
        <v>10.426229508196721</v>
      </c>
      <c r="S100" s="25">
        <v>2.0327868852459017</v>
      </c>
      <c r="T100" s="25">
        <v>0.98360655737704916</v>
      </c>
      <c r="U100" s="25">
        <v>2.5245901639344264</v>
      </c>
      <c r="V100" s="25"/>
      <c r="W100" s="26"/>
      <c r="X100" s="23" t="s">
        <v>184</v>
      </c>
      <c r="Y100" s="29" t="s">
        <v>289</v>
      </c>
      <c r="Z100" s="23" t="s">
        <v>302</v>
      </c>
      <c r="AA100" s="27" t="s">
        <v>778</v>
      </c>
      <c r="AB100" s="23" t="s">
        <v>184</v>
      </c>
      <c r="AC100" s="29" t="s">
        <v>289</v>
      </c>
      <c r="AD100" s="29" t="s">
        <v>302</v>
      </c>
      <c r="AE100" s="39">
        <v>44175</v>
      </c>
    </row>
    <row r="101" spans="1:31" ht="15.5" x14ac:dyDescent="0.35">
      <c r="A101" s="22" t="s">
        <v>415</v>
      </c>
      <c r="B101" s="23" t="s">
        <v>416</v>
      </c>
      <c r="C101" s="23" t="s">
        <v>417</v>
      </c>
      <c r="D101" s="23" t="s">
        <v>418</v>
      </c>
      <c r="E101" s="28">
        <v>68801</v>
      </c>
      <c r="F101" s="23" t="s">
        <v>329</v>
      </c>
      <c r="G101" s="23" t="s">
        <v>208</v>
      </c>
      <c r="H101" s="23" t="s">
        <v>183</v>
      </c>
      <c r="I101" s="24">
        <v>35.894736842105303</v>
      </c>
      <c r="J101" s="25">
        <v>0.4098360655737705</v>
      </c>
      <c r="K101" s="25">
        <v>2.2459016393442619</v>
      </c>
      <c r="L101" s="25">
        <v>5.1967213114754101</v>
      </c>
      <c r="M101" s="25">
        <v>7.7540983606557381</v>
      </c>
      <c r="N101" s="25">
        <v>14.032786885245901</v>
      </c>
      <c r="O101" s="25">
        <v>0.5901639344262295</v>
      </c>
      <c r="P101" s="25">
        <v>0.98360655737704916</v>
      </c>
      <c r="Q101" s="25">
        <v>0</v>
      </c>
      <c r="R101" s="25">
        <v>6.4262295081967222</v>
      </c>
      <c r="S101" s="25">
        <v>1.0491803278688525</v>
      </c>
      <c r="T101" s="25">
        <v>3.7049180327868849</v>
      </c>
      <c r="U101" s="25">
        <v>4.4262295081967213</v>
      </c>
      <c r="V101" s="25"/>
      <c r="W101" s="26"/>
      <c r="X101" s="23" t="s">
        <v>184</v>
      </c>
      <c r="Y101" s="29" t="s">
        <v>721</v>
      </c>
      <c r="Z101" s="23"/>
      <c r="AA101" s="27" t="s">
        <v>745</v>
      </c>
      <c r="AB101" s="23" t="s">
        <v>184</v>
      </c>
      <c r="AC101" s="29" t="s">
        <v>289</v>
      </c>
      <c r="AD101" s="29" t="s">
        <v>302</v>
      </c>
      <c r="AE101" s="39">
        <v>44091</v>
      </c>
    </row>
    <row r="102" spans="1:31" ht="15.5" x14ac:dyDescent="0.35">
      <c r="A102" s="22" t="s">
        <v>19</v>
      </c>
      <c r="B102" s="23" t="s">
        <v>326</v>
      </c>
      <c r="C102" s="23" t="s">
        <v>327</v>
      </c>
      <c r="D102" s="23" t="s">
        <v>328</v>
      </c>
      <c r="E102" s="28">
        <v>55330</v>
      </c>
      <c r="F102" s="23" t="s">
        <v>329</v>
      </c>
      <c r="G102" s="23" t="s">
        <v>208</v>
      </c>
      <c r="H102" s="23" t="s">
        <v>183</v>
      </c>
      <c r="I102" s="24">
        <v>102.071428571429</v>
      </c>
      <c r="J102" s="25">
        <v>4.9180327868852458E-2</v>
      </c>
      <c r="K102" s="25">
        <v>1.4262295081967213</v>
      </c>
      <c r="L102" s="25">
        <v>8.6065573770491799</v>
      </c>
      <c r="M102" s="25">
        <v>3.3934426229508192</v>
      </c>
      <c r="N102" s="25">
        <v>11.754098360655737</v>
      </c>
      <c r="O102" s="25">
        <v>1.1639344262295082</v>
      </c>
      <c r="P102" s="25">
        <v>0.55737704918032782</v>
      </c>
      <c r="Q102" s="25">
        <v>0</v>
      </c>
      <c r="R102" s="25">
        <v>5.3934426229508201</v>
      </c>
      <c r="S102" s="25">
        <v>2.9672131147540983</v>
      </c>
      <c r="T102" s="25">
        <v>0.55737704918032782</v>
      </c>
      <c r="U102" s="25">
        <v>4.5573770491803289</v>
      </c>
      <c r="V102" s="25"/>
      <c r="W102" s="26"/>
      <c r="X102" s="23" t="s">
        <v>184</v>
      </c>
      <c r="Y102" s="29" t="s">
        <v>721</v>
      </c>
      <c r="Z102" s="23"/>
      <c r="AA102" s="27" t="s">
        <v>733</v>
      </c>
      <c r="AB102" s="23" t="s">
        <v>184</v>
      </c>
      <c r="AC102" s="29" t="s">
        <v>721</v>
      </c>
      <c r="AD102" s="29" t="s">
        <v>302</v>
      </c>
      <c r="AE102" s="39">
        <v>44217</v>
      </c>
    </row>
    <row r="103" spans="1:31" ht="15.5" x14ac:dyDescent="0.35">
      <c r="A103" s="22" t="s">
        <v>273</v>
      </c>
      <c r="B103" s="23" t="s">
        <v>274</v>
      </c>
      <c r="C103" s="23" t="s">
        <v>275</v>
      </c>
      <c r="D103" s="23" t="s">
        <v>276</v>
      </c>
      <c r="E103" s="28">
        <v>23901</v>
      </c>
      <c r="F103" s="23" t="s">
        <v>277</v>
      </c>
      <c r="G103" s="23" t="s">
        <v>182</v>
      </c>
      <c r="H103" s="23" t="s">
        <v>5</v>
      </c>
      <c r="I103" s="24"/>
      <c r="J103" s="25">
        <v>0</v>
      </c>
      <c r="K103" s="25">
        <v>0</v>
      </c>
      <c r="L103" s="25">
        <v>4.918032786885246</v>
      </c>
      <c r="M103" s="25">
        <v>7.8688524590163942</v>
      </c>
      <c r="N103" s="25">
        <v>12.78688524590164</v>
      </c>
      <c r="O103" s="25">
        <v>0</v>
      </c>
      <c r="P103" s="25">
        <v>0</v>
      </c>
      <c r="Q103" s="25">
        <v>0</v>
      </c>
      <c r="R103" s="25">
        <v>9.8360655737704921</v>
      </c>
      <c r="S103" s="25">
        <v>2.9508196721311473</v>
      </c>
      <c r="T103" s="25">
        <v>0</v>
      </c>
      <c r="U103" s="25">
        <v>0</v>
      </c>
      <c r="V103" s="25"/>
      <c r="W103" s="26">
        <v>500</v>
      </c>
      <c r="X103" s="23" t="s">
        <v>184</v>
      </c>
      <c r="Y103" s="29" t="s">
        <v>720</v>
      </c>
      <c r="Z103" s="23" t="s">
        <v>186</v>
      </c>
      <c r="AA103" s="27" t="s">
        <v>755</v>
      </c>
      <c r="AB103" s="23" t="s">
        <v>184</v>
      </c>
      <c r="AC103" s="29" t="s">
        <v>185</v>
      </c>
      <c r="AD103" s="29" t="s">
        <v>186</v>
      </c>
      <c r="AE103" s="39">
        <v>43888</v>
      </c>
    </row>
    <row r="104" spans="1:31" ht="15.5" x14ac:dyDescent="0.35">
      <c r="A104" s="22" t="s">
        <v>459</v>
      </c>
      <c r="B104" s="23" t="s">
        <v>460</v>
      </c>
      <c r="C104" s="23" t="s">
        <v>461</v>
      </c>
      <c r="D104" s="23" t="s">
        <v>429</v>
      </c>
      <c r="E104" s="28">
        <v>50313</v>
      </c>
      <c r="F104" s="23" t="s">
        <v>329</v>
      </c>
      <c r="G104" s="23" t="s">
        <v>252</v>
      </c>
      <c r="H104" s="23" t="s">
        <v>183</v>
      </c>
      <c r="I104" s="24">
        <v>100.555555555556</v>
      </c>
      <c r="J104" s="25">
        <v>1.4754098360655736</v>
      </c>
      <c r="K104" s="25">
        <v>2.5737704918032787</v>
      </c>
      <c r="L104" s="25">
        <v>4.2950819672131155</v>
      </c>
      <c r="M104" s="25">
        <v>4.1639344262295088</v>
      </c>
      <c r="N104" s="25">
        <v>11.032786885245901</v>
      </c>
      <c r="O104" s="25">
        <v>1.4754098360655736</v>
      </c>
      <c r="P104" s="25">
        <v>0</v>
      </c>
      <c r="Q104" s="25">
        <v>0</v>
      </c>
      <c r="R104" s="25">
        <v>6.5901639344262302</v>
      </c>
      <c r="S104" s="25">
        <v>2.7540983606557377</v>
      </c>
      <c r="T104" s="25">
        <v>0</v>
      </c>
      <c r="U104" s="25">
        <v>3.1639344262295079</v>
      </c>
      <c r="V104" s="25"/>
      <c r="W104" s="26"/>
      <c r="X104" s="23" t="s">
        <v>184</v>
      </c>
      <c r="Y104" s="29" t="s">
        <v>289</v>
      </c>
      <c r="Z104" s="23"/>
      <c r="AA104" s="27" t="s">
        <v>779</v>
      </c>
      <c r="AB104" s="23" t="s">
        <v>184</v>
      </c>
      <c r="AC104" s="29" t="s">
        <v>289</v>
      </c>
      <c r="AD104" s="29" t="s">
        <v>302</v>
      </c>
      <c r="AE104" s="39">
        <v>43678</v>
      </c>
    </row>
    <row r="105" spans="1:31" ht="15.5" x14ac:dyDescent="0.35">
      <c r="A105" s="22" t="s">
        <v>450</v>
      </c>
      <c r="B105" s="23" t="s">
        <v>451</v>
      </c>
      <c r="C105" s="23" t="s">
        <v>452</v>
      </c>
      <c r="D105" s="23" t="s">
        <v>453</v>
      </c>
      <c r="E105" s="28">
        <v>27253</v>
      </c>
      <c r="F105" s="23" t="s">
        <v>192</v>
      </c>
      <c r="G105" s="23" t="s">
        <v>208</v>
      </c>
      <c r="H105" s="23" t="s">
        <v>183</v>
      </c>
      <c r="I105" s="24">
        <v>5.1826086956521698</v>
      </c>
      <c r="J105" s="25">
        <v>0.32786885245901637</v>
      </c>
      <c r="K105" s="25">
        <v>0.65573770491803285</v>
      </c>
      <c r="L105" s="25">
        <v>4.918032786885246</v>
      </c>
      <c r="M105" s="25">
        <v>6.2786885245901614</v>
      </c>
      <c r="N105" s="25">
        <v>10.852459016393427</v>
      </c>
      <c r="O105" s="25">
        <v>1.3114754098360655</v>
      </c>
      <c r="P105" s="25">
        <v>0</v>
      </c>
      <c r="Q105" s="25">
        <v>1.6393442622950821E-2</v>
      </c>
      <c r="R105" s="25">
        <v>1.6885245901639345</v>
      </c>
      <c r="S105" s="25">
        <v>0.88524590163934425</v>
      </c>
      <c r="T105" s="25">
        <v>0.18032786885245899</v>
      </c>
      <c r="U105" s="25">
        <v>9.4262295081967089</v>
      </c>
      <c r="V105" s="25"/>
      <c r="W105" s="26">
        <v>50</v>
      </c>
      <c r="X105" s="23" t="s">
        <v>184</v>
      </c>
      <c r="Y105" s="29" t="s">
        <v>289</v>
      </c>
      <c r="Z105" s="23" t="s">
        <v>302</v>
      </c>
      <c r="AA105" s="27" t="s">
        <v>780</v>
      </c>
      <c r="AB105" s="23" t="s">
        <v>184</v>
      </c>
      <c r="AC105" s="29" t="s">
        <v>289</v>
      </c>
      <c r="AD105" s="29" t="s">
        <v>302</v>
      </c>
      <c r="AE105" s="39">
        <v>44204</v>
      </c>
    </row>
    <row r="106" spans="1:31" ht="15.5" x14ac:dyDescent="0.35">
      <c r="A106" s="22" t="s">
        <v>465</v>
      </c>
      <c r="B106" s="23" t="s">
        <v>466</v>
      </c>
      <c r="C106" s="23" t="s">
        <v>467</v>
      </c>
      <c r="D106" s="23" t="s">
        <v>195</v>
      </c>
      <c r="E106" s="28">
        <v>78380</v>
      </c>
      <c r="F106" s="23" t="s">
        <v>718</v>
      </c>
      <c r="G106" s="23" t="s">
        <v>252</v>
      </c>
      <c r="H106" s="23" t="s">
        <v>5</v>
      </c>
      <c r="I106" s="24">
        <v>3.8309859154929602</v>
      </c>
      <c r="J106" s="25">
        <v>1.8688524590163944</v>
      </c>
      <c r="K106" s="25">
        <v>6.3606557377049153</v>
      </c>
      <c r="L106" s="25">
        <v>1.5737704918032789</v>
      </c>
      <c r="M106" s="25">
        <v>0</v>
      </c>
      <c r="N106" s="25">
        <v>3.1311475409836067</v>
      </c>
      <c r="O106" s="25">
        <v>4.2131147540983598</v>
      </c>
      <c r="P106" s="25">
        <v>8.1967213114754106E-2</v>
      </c>
      <c r="Q106" s="25">
        <v>2.3770491803278686</v>
      </c>
      <c r="R106" s="25">
        <v>0.49180327868852464</v>
      </c>
      <c r="S106" s="25">
        <v>0.24590163934426232</v>
      </c>
      <c r="T106" s="25">
        <v>0.18032786885245902</v>
      </c>
      <c r="U106" s="25">
        <v>8.8852459016393333</v>
      </c>
      <c r="V106" s="25"/>
      <c r="W106" s="26"/>
      <c r="X106" s="23" t="s">
        <v>184</v>
      </c>
      <c r="Y106" s="29" t="s">
        <v>253</v>
      </c>
      <c r="Z106" s="23" t="s">
        <v>186</v>
      </c>
      <c r="AA106" s="27" t="s">
        <v>202</v>
      </c>
      <c r="AB106" s="23" t="s">
        <v>184</v>
      </c>
      <c r="AC106" s="29" t="s">
        <v>253</v>
      </c>
      <c r="AD106" s="29" t="s">
        <v>186</v>
      </c>
      <c r="AE106" s="39">
        <v>43475</v>
      </c>
    </row>
    <row r="107" spans="1:31" ht="15.5" x14ac:dyDescent="0.35">
      <c r="A107" s="22" t="s">
        <v>480</v>
      </c>
      <c r="B107" s="23" t="s">
        <v>481</v>
      </c>
      <c r="C107" s="23" t="s">
        <v>482</v>
      </c>
      <c r="D107" s="23" t="s">
        <v>418</v>
      </c>
      <c r="E107" s="28">
        <v>68102</v>
      </c>
      <c r="F107" s="23" t="s">
        <v>329</v>
      </c>
      <c r="G107" s="23" t="s">
        <v>208</v>
      </c>
      <c r="H107" s="23" t="s">
        <v>183</v>
      </c>
      <c r="I107" s="24">
        <v>125</v>
      </c>
      <c r="J107" s="25">
        <v>0</v>
      </c>
      <c r="K107" s="25">
        <v>0</v>
      </c>
      <c r="L107" s="25">
        <v>2.081967213114754</v>
      </c>
      <c r="M107" s="25">
        <v>6.918032786885246</v>
      </c>
      <c r="N107" s="25">
        <v>8.0163934426229506</v>
      </c>
      <c r="O107" s="25">
        <v>0</v>
      </c>
      <c r="P107" s="25">
        <v>0.98360655737704916</v>
      </c>
      <c r="Q107" s="25">
        <v>0</v>
      </c>
      <c r="R107" s="25">
        <v>7.3278688524590168</v>
      </c>
      <c r="S107" s="25">
        <v>0</v>
      </c>
      <c r="T107" s="25">
        <v>0</v>
      </c>
      <c r="U107" s="25">
        <v>1.6721311475409837</v>
      </c>
      <c r="V107" s="25"/>
      <c r="W107" s="26"/>
      <c r="X107" s="23" t="s">
        <v>184</v>
      </c>
      <c r="Y107" s="29" t="s">
        <v>253</v>
      </c>
      <c r="Z107" s="23" t="s">
        <v>186</v>
      </c>
      <c r="AA107" s="27" t="s">
        <v>251</v>
      </c>
      <c r="AB107" s="23" t="s">
        <v>184</v>
      </c>
      <c r="AC107" s="29" t="s">
        <v>253</v>
      </c>
      <c r="AD107" s="29" t="s">
        <v>186</v>
      </c>
      <c r="AE107" s="39">
        <v>43398</v>
      </c>
    </row>
    <row r="108" spans="1:31" ht="15.5" x14ac:dyDescent="0.35">
      <c r="A108" s="22" t="s">
        <v>454</v>
      </c>
      <c r="B108" s="23" t="s">
        <v>455</v>
      </c>
      <c r="C108" s="23" t="s">
        <v>456</v>
      </c>
      <c r="D108" s="23" t="s">
        <v>457</v>
      </c>
      <c r="E108" s="28">
        <v>96819</v>
      </c>
      <c r="F108" s="23" t="s">
        <v>318</v>
      </c>
      <c r="G108" s="23" t="s">
        <v>458</v>
      </c>
      <c r="H108" s="23" t="s">
        <v>183</v>
      </c>
      <c r="I108" s="24"/>
      <c r="J108" s="25">
        <v>0</v>
      </c>
      <c r="K108" s="25">
        <v>2.9508196721311473</v>
      </c>
      <c r="L108" s="25">
        <v>0</v>
      </c>
      <c r="M108" s="25">
        <v>5.7868852459016393</v>
      </c>
      <c r="N108" s="25">
        <v>7.7540983606557381</v>
      </c>
      <c r="O108" s="25">
        <v>0</v>
      </c>
      <c r="P108" s="25">
        <v>0.98360655737704916</v>
      </c>
      <c r="Q108" s="25">
        <v>0</v>
      </c>
      <c r="R108" s="25">
        <v>8.7377049180327866</v>
      </c>
      <c r="S108" s="25">
        <v>0</v>
      </c>
      <c r="T108" s="25">
        <v>0</v>
      </c>
      <c r="U108" s="25">
        <v>0</v>
      </c>
      <c r="V108" s="25"/>
      <c r="W108" s="26"/>
      <c r="X108" s="23" t="s">
        <v>209</v>
      </c>
      <c r="Y108" s="29"/>
      <c r="Z108" s="23"/>
      <c r="AA108" s="27"/>
      <c r="AB108" s="23" t="s">
        <v>209</v>
      </c>
      <c r="AC108" s="29"/>
      <c r="AD108" s="29"/>
      <c r="AE108" s="39"/>
    </row>
    <row r="109" spans="1:31" ht="15.5" x14ac:dyDescent="0.35">
      <c r="A109" s="22" t="s">
        <v>493</v>
      </c>
      <c r="B109" s="23" t="s">
        <v>494</v>
      </c>
      <c r="C109" s="23" t="s">
        <v>495</v>
      </c>
      <c r="D109" s="23" t="s">
        <v>496</v>
      </c>
      <c r="E109" s="28">
        <v>96950</v>
      </c>
      <c r="F109" s="23" t="s">
        <v>318</v>
      </c>
      <c r="G109" s="23" t="s">
        <v>252</v>
      </c>
      <c r="H109" s="23" t="s">
        <v>183</v>
      </c>
      <c r="I109" s="24">
        <v>109</v>
      </c>
      <c r="J109" s="25">
        <v>0</v>
      </c>
      <c r="K109" s="25">
        <v>5.7704918032786878</v>
      </c>
      <c r="L109" s="25">
        <v>0</v>
      </c>
      <c r="M109" s="25">
        <v>0.98360655737704916</v>
      </c>
      <c r="N109" s="25">
        <v>6.5245901639344268</v>
      </c>
      <c r="O109" s="25">
        <v>0</v>
      </c>
      <c r="P109" s="25">
        <v>0.22950819672131148</v>
      </c>
      <c r="Q109" s="25">
        <v>0</v>
      </c>
      <c r="R109" s="25">
        <v>6.5737704918032787</v>
      </c>
      <c r="S109" s="25">
        <v>0.18032786885245902</v>
      </c>
      <c r="T109" s="25">
        <v>0</v>
      </c>
      <c r="U109" s="25">
        <v>0</v>
      </c>
      <c r="V109" s="25"/>
      <c r="W109" s="26"/>
      <c r="X109" s="23" t="s">
        <v>209</v>
      </c>
      <c r="Y109" s="29"/>
      <c r="Z109" s="23"/>
      <c r="AA109" s="27"/>
      <c r="AB109" s="23" t="s">
        <v>209</v>
      </c>
      <c r="AC109" s="29"/>
      <c r="AD109" s="29"/>
      <c r="AE109" s="39"/>
    </row>
    <row r="110" spans="1:31" ht="15.5" x14ac:dyDescent="0.35">
      <c r="A110" s="22" t="s">
        <v>503</v>
      </c>
      <c r="B110" s="23" t="s">
        <v>504</v>
      </c>
      <c r="C110" s="23" t="s">
        <v>505</v>
      </c>
      <c r="D110" s="23" t="s">
        <v>506</v>
      </c>
      <c r="E110" s="28">
        <v>96910</v>
      </c>
      <c r="F110" s="23" t="s">
        <v>318</v>
      </c>
      <c r="G110" s="23" t="s">
        <v>252</v>
      </c>
      <c r="H110" s="23" t="s">
        <v>183</v>
      </c>
      <c r="I110" s="24">
        <v>238.333333333333</v>
      </c>
      <c r="J110" s="25">
        <v>0</v>
      </c>
      <c r="K110" s="25">
        <v>0</v>
      </c>
      <c r="L110" s="25">
        <v>6.4754098360655732</v>
      </c>
      <c r="M110" s="25">
        <v>0.21311475409836064</v>
      </c>
      <c r="N110" s="25">
        <v>6.6885245901639339</v>
      </c>
      <c r="O110" s="25">
        <v>0</v>
      </c>
      <c r="P110" s="25">
        <v>0</v>
      </c>
      <c r="Q110" s="25">
        <v>0</v>
      </c>
      <c r="R110" s="25">
        <v>5.7049180327868845</v>
      </c>
      <c r="S110" s="25">
        <v>0.98360655737704916</v>
      </c>
      <c r="T110" s="25">
        <v>0</v>
      </c>
      <c r="U110" s="25">
        <v>0</v>
      </c>
      <c r="V110" s="25"/>
      <c r="W110" s="26"/>
      <c r="X110" s="23" t="s">
        <v>209</v>
      </c>
      <c r="Y110" s="29"/>
      <c r="Z110" s="23"/>
      <c r="AA110" s="27"/>
      <c r="AB110" s="23" t="s">
        <v>209</v>
      </c>
      <c r="AC110" s="29"/>
      <c r="AD110" s="29"/>
      <c r="AE110" s="39"/>
    </row>
    <row r="111" spans="1:31" ht="15.5" x14ac:dyDescent="0.35">
      <c r="A111" s="22" t="s">
        <v>666</v>
      </c>
      <c r="B111" s="23" t="s">
        <v>699</v>
      </c>
      <c r="C111" s="23" t="s">
        <v>700</v>
      </c>
      <c r="D111" s="23" t="s">
        <v>492</v>
      </c>
      <c r="E111" s="28">
        <v>965</v>
      </c>
      <c r="F111" s="23" t="s">
        <v>30</v>
      </c>
      <c r="G111" s="23" t="s">
        <v>335</v>
      </c>
      <c r="H111" s="23" t="s">
        <v>183</v>
      </c>
      <c r="I111" s="24">
        <v>1.7450000000000001</v>
      </c>
      <c r="J111" s="25">
        <v>6.5245901639344135</v>
      </c>
      <c r="K111" s="25">
        <v>0</v>
      </c>
      <c r="L111" s="25">
        <v>0</v>
      </c>
      <c r="M111" s="25">
        <v>0</v>
      </c>
      <c r="N111" s="25">
        <v>1.6393442622950821E-2</v>
      </c>
      <c r="O111" s="25">
        <v>6.1475409836065458</v>
      </c>
      <c r="P111" s="25">
        <v>0</v>
      </c>
      <c r="Q111" s="25">
        <v>0.3606557377049181</v>
      </c>
      <c r="R111" s="25">
        <v>0</v>
      </c>
      <c r="S111" s="25">
        <v>0</v>
      </c>
      <c r="T111" s="25">
        <v>0</v>
      </c>
      <c r="U111" s="25">
        <v>6.5245901639344135</v>
      </c>
      <c r="V111" s="25"/>
      <c r="W111" s="26"/>
      <c r="X111" s="23" t="s">
        <v>209</v>
      </c>
      <c r="Y111" s="29"/>
      <c r="Z111" s="23"/>
      <c r="AA111" s="27"/>
      <c r="AB111" s="23" t="s">
        <v>209</v>
      </c>
      <c r="AC111" s="29"/>
      <c r="AD111" s="29"/>
      <c r="AE111" s="39"/>
    </row>
    <row r="112" spans="1:31" ht="15.5" x14ac:dyDescent="0.35">
      <c r="A112" s="22" t="s">
        <v>462</v>
      </c>
      <c r="B112" s="23" t="s">
        <v>463</v>
      </c>
      <c r="C112" s="23" t="s">
        <v>464</v>
      </c>
      <c r="D112" s="23" t="s">
        <v>375</v>
      </c>
      <c r="E112" s="28">
        <v>49783</v>
      </c>
      <c r="F112" s="23" t="s">
        <v>370</v>
      </c>
      <c r="G112" s="23" t="s">
        <v>208</v>
      </c>
      <c r="H112" s="23" t="s">
        <v>183</v>
      </c>
      <c r="I112" s="24">
        <v>12.6666666666667</v>
      </c>
      <c r="J112" s="25">
        <v>2.0491803278688523</v>
      </c>
      <c r="K112" s="25">
        <v>0.36065573770491804</v>
      </c>
      <c r="L112" s="25">
        <v>1.9672131147540983</v>
      </c>
      <c r="M112" s="25">
        <v>0.98360655737704916</v>
      </c>
      <c r="N112" s="25">
        <v>3.3114754098360653</v>
      </c>
      <c r="O112" s="25">
        <v>2.0491803278688523</v>
      </c>
      <c r="P112" s="25">
        <v>0</v>
      </c>
      <c r="Q112" s="25">
        <v>0</v>
      </c>
      <c r="R112" s="25">
        <v>2.3278688524590163</v>
      </c>
      <c r="S112" s="25">
        <v>0.98360655737704916</v>
      </c>
      <c r="T112" s="25">
        <v>0</v>
      </c>
      <c r="U112" s="25">
        <v>2.0491803278688523</v>
      </c>
      <c r="V112" s="25"/>
      <c r="W112" s="26"/>
      <c r="X112" s="23" t="s">
        <v>184</v>
      </c>
      <c r="Y112" s="29" t="s">
        <v>721</v>
      </c>
      <c r="Z112" s="23" t="s">
        <v>302</v>
      </c>
      <c r="AA112" s="27" t="s">
        <v>760</v>
      </c>
      <c r="AB112" s="23" t="s">
        <v>184</v>
      </c>
      <c r="AC112" s="29" t="s">
        <v>289</v>
      </c>
      <c r="AD112" s="29" t="s">
        <v>302</v>
      </c>
      <c r="AE112" s="39">
        <v>43552</v>
      </c>
    </row>
    <row r="113" spans="1:31" ht="15.5" x14ac:dyDescent="0.35">
      <c r="A113" s="22" t="s">
        <v>667</v>
      </c>
      <c r="B113" s="23" t="s">
        <v>701</v>
      </c>
      <c r="C113" s="23" t="s">
        <v>702</v>
      </c>
      <c r="D113" s="23" t="s">
        <v>298</v>
      </c>
      <c r="E113" s="28">
        <v>12901</v>
      </c>
      <c r="F113" s="23" t="s">
        <v>299</v>
      </c>
      <c r="G113" s="23" t="s">
        <v>252</v>
      </c>
      <c r="H113" s="23" t="s">
        <v>183</v>
      </c>
      <c r="I113" s="24">
        <v>20.230769230769202</v>
      </c>
      <c r="J113" s="25">
        <v>2.7213114754098355</v>
      </c>
      <c r="K113" s="25">
        <v>1.5737704918032787</v>
      </c>
      <c r="L113" s="25">
        <v>0.19672131147540983</v>
      </c>
      <c r="M113" s="25">
        <v>0.47540983606557374</v>
      </c>
      <c r="N113" s="25">
        <v>1.5573770491803278</v>
      </c>
      <c r="O113" s="25">
        <v>3.1311475409836058</v>
      </c>
      <c r="P113" s="25">
        <v>0</v>
      </c>
      <c r="Q113" s="25">
        <v>0.27868852459016391</v>
      </c>
      <c r="R113" s="25">
        <v>0</v>
      </c>
      <c r="S113" s="25">
        <v>0.11475409836065574</v>
      </c>
      <c r="T113" s="25">
        <v>0.55737704918032782</v>
      </c>
      <c r="U113" s="25">
        <v>4.2950819672131129</v>
      </c>
      <c r="V113" s="25"/>
      <c r="W113" s="26"/>
      <c r="X113" s="23" t="s">
        <v>184</v>
      </c>
      <c r="Y113" s="29" t="s">
        <v>289</v>
      </c>
      <c r="Z113" s="23" t="s">
        <v>302</v>
      </c>
      <c r="AA113" s="27" t="s">
        <v>781</v>
      </c>
      <c r="AB113" s="23" t="s">
        <v>184</v>
      </c>
      <c r="AC113" s="29" t="s">
        <v>289</v>
      </c>
      <c r="AD113" s="29" t="s">
        <v>302</v>
      </c>
      <c r="AE113" s="39">
        <v>43139</v>
      </c>
    </row>
    <row r="114" spans="1:31" ht="15.5" x14ac:dyDescent="0.35">
      <c r="A114" s="22" t="s">
        <v>476</v>
      </c>
      <c r="B114" s="23" t="s">
        <v>477</v>
      </c>
      <c r="C114" s="23" t="s">
        <v>478</v>
      </c>
      <c r="D114" s="23" t="s">
        <v>361</v>
      </c>
      <c r="E114" s="28">
        <v>89512</v>
      </c>
      <c r="F114" s="23" t="s">
        <v>362</v>
      </c>
      <c r="G114" s="23" t="s">
        <v>252</v>
      </c>
      <c r="H114" s="23" t="s">
        <v>183</v>
      </c>
      <c r="I114" s="24">
        <v>22.1428571428571</v>
      </c>
      <c r="J114" s="25">
        <v>0.77049180327868849</v>
      </c>
      <c r="K114" s="25">
        <v>0.22950819672131148</v>
      </c>
      <c r="L114" s="25">
        <v>0.4098360655737705</v>
      </c>
      <c r="M114" s="25">
        <v>3.5409836065573765</v>
      </c>
      <c r="N114" s="25">
        <v>4.1803278688524594</v>
      </c>
      <c r="O114" s="25">
        <v>0.77049180327868849</v>
      </c>
      <c r="P114" s="25">
        <v>0</v>
      </c>
      <c r="Q114" s="25">
        <v>0</v>
      </c>
      <c r="R114" s="25">
        <v>2.4754098360655741</v>
      </c>
      <c r="S114" s="25">
        <v>0</v>
      </c>
      <c r="T114" s="25">
        <v>0</v>
      </c>
      <c r="U114" s="25">
        <v>2.4754098360655741</v>
      </c>
      <c r="V114" s="25"/>
      <c r="W114" s="26"/>
      <c r="X114" s="23" t="s">
        <v>184</v>
      </c>
      <c r="Y114" s="29" t="s">
        <v>289</v>
      </c>
      <c r="Z114" s="23" t="s">
        <v>302</v>
      </c>
      <c r="AA114" s="27" t="s">
        <v>782</v>
      </c>
      <c r="AB114" s="23" t="s">
        <v>184</v>
      </c>
      <c r="AC114" s="29" t="s">
        <v>289</v>
      </c>
      <c r="AD114" s="29" t="s">
        <v>302</v>
      </c>
      <c r="AE114" s="39">
        <v>43342</v>
      </c>
    </row>
    <row r="115" spans="1:31" ht="15.5" x14ac:dyDescent="0.35">
      <c r="A115" s="22" t="s">
        <v>668</v>
      </c>
      <c r="B115" s="23" t="s">
        <v>703</v>
      </c>
      <c r="C115" s="23" t="s">
        <v>704</v>
      </c>
      <c r="D115" s="23" t="s">
        <v>195</v>
      </c>
      <c r="E115" s="28">
        <v>76040</v>
      </c>
      <c r="F115" s="23" t="s">
        <v>270</v>
      </c>
      <c r="G115" s="23" t="s">
        <v>208</v>
      </c>
      <c r="H115" s="23" t="s">
        <v>183</v>
      </c>
      <c r="I115" s="24">
        <v>1.3119266055045899</v>
      </c>
      <c r="J115" s="25">
        <v>3.1803278688524501</v>
      </c>
      <c r="K115" s="25">
        <v>0.50819672131147564</v>
      </c>
      <c r="L115" s="25">
        <v>0.31147540983606559</v>
      </c>
      <c r="M115" s="25">
        <v>0.62295081967213128</v>
      </c>
      <c r="N115" s="25">
        <v>2.1311475409836076</v>
      </c>
      <c r="O115" s="25">
        <v>1.9836065573770507</v>
      </c>
      <c r="P115" s="25">
        <v>0.18032786885245902</v>
      </c>
      <c r="Q115" s="25">
        <v>0.32786885245901642</v>
      </c>
      <c r="R115" s="25">
        <v>0.19672131147540983</v>
      </c>
      <c r="S115" s="25">
        <v>0.11475409836065575</v>
      </c>
      <c r="T115" s="25">
        <v>6.5573770491803282E-2</v>
      </c>
      <c r="U115" s="25">
        <v>4.2459016393442415</v>
      </c>
      <c r="V115" s="25"/>
      <c r="W115" s="26"/>
      <c r="X115" s="23" t="s">
        <v>474</v>
      </c>
      <c r="Y115" s="29" t="s">
        <v>289</v>
      </c>
      <c r="Z115" s="23" t="s">
        <v>302</v>
      </c>
      <c r="AA115" s="27" t="s">
        <v>783</v>
      </c>
      <c r="AB115" s="23" t="s">
        <v>474</v>
      </c>
      <c r="AC115" s="29" t="s">
        <v>289</v>
      </c>
      <c r="AD115" s="29" t="s">
        <v>302</v>
      </c>
      <c r="AE115" s="39">
        <v>42613</v>
      </c>
    </row>
    <row r="116" spans="1:31" ht="15.5" x14ac:dyDescent="0.35">
      <c r="A116" s="22" t="s">
        <v>520</v>
      </c>
      <c r="B116" s="23" t="s">
        <v>521</v>
      </c>
      <c r="C116" s="23" t="s">
        <v>522</v>
      </c>
      <c r="D116" s="23" t="s">
        <v>429</v>
      </c>
      <c r="E116" s="28">
        <v>51501</v>
      </c>
      <c r="F116" s="23" t="s">
        <v>329</v>
      </c>
      <c r="G116" s="23" t="s">
        <v>252</v>
      </c>
      <c r="H116" s="23" t="s">
        <v>183</v>
      </c>
      <c r="I116" s="24">
        <v>41.266666666666701</v>
      </c>
      <c r="J116" s="25">
        <v>0</v>
      </c>
      <c r="K116" s="25">
        <v>0.16393442622950818</v>
      </c>
      <c r="L116" s="25">
        <v>1.8196721311475408</v>
      </c>
      <c r="M116" s="25">
        <v>2.3770491803278686</v>
      </c>
      <c r="N116" s="25">
        <v>4.3606557377049189</v>
      </c>
      <c r="O116" s="25">
        <v>0</v>
      </c>
      <c r="P116" s="25">
        <v>0</v>
      </c>
      <c r="Q116" s="25">
        <v>0</v>
      </c>
      <c r="R116" s="25">
        <v>0.26229508196721313</v>
      </c>
      <c r="S116" s="25">
        <v>0.19672131147540983</v>
      </c>
      <c r="T116" s="25">
        <v>0.29508196721311475</v>
      </c>
      <c r="U116" s="25">
        <v>3.6065573770491808</v>
      </c>
      <c r="V116" s="25"/>
      <c r="W116" s="26"/>
      <c r="X116" s="23" t="s">
        <v>184</v>
      </c>
      <c r="Y116" s="29" t="s">
        <v>289</v>
      </c>
      <c r="Z116" s="23" t="s">
        <v>302</v>
      </c>
      <c r="AA116" s="27" t="s">
        <v>523</v>
      </c>
      <c r="AB116" s="23" t="s">
        <v>184</v>
      </c>
      <c r="AC116" s="29" t="s">
        <v>289</v>
      </c>
      <c r="AD116" s="29" t="s">
        <v>302</v>
      </c>
      <c r="AE116" s="39">
        <v>42838</v>
      </c>
    </row>
    <row r="117" spans="1:31" ht="15.5" x14ac:dyDescent="0.35">
      <c r="A117" s="22" t="s">
        <v>537</v>
      </c>
      <c r="B117" s="23" t="s">
        <v>538</v>
      </c>
      <c r="C117" s="23" t="s">
        <v>539</v>
      </c>
      <c r="D117" s="23" t="s">
        <v>290</v>
      </c>
      <c r="E117" s="28">
        <v>15001</v>
      </c>
      <c r="F117" s="23" t="s">
        <v>291</v>
      </c>
      <c r="G117" s="23" t="s">
        <v>252</v>
      </c>
      <c r="H117" s="23" t="s">
        <v>183</v>
      </c>
      <c r="I117" s="24">
        <v>9.7777777777777803</v>
      </c>
      <c r="J117" s="25">
        <v>0</v>
      </c>
      <c r="K117" s="25">
        <v>0.75409836065573765</v>
      </c>
      <c r="L117" s="25">
        <v>2.6065573770491808</v>
      </c>
      <c r="M117" s="25">
        <v>0.80327868852459006</v>
      </c>
      <c r="N117" s="25">
        <v>3.5409836065573779</v>
      </c>
      <c r="O117" s="25">
        <v>9.8360655737704916E-2</v>
      </c>
      <c r="P117" s="25">
        <v>0.52459016393442626</v>
      </c>
      <c r="Q117" s="25">
        <v>0</v>
      </c>
      <c r="R117" s="25">
        <v>0.6885245901639343</v>
      </c>
      <c r="S117" s="25">
        <v>0.13114754098360656</v>
      </c>
      <c r="T117" s="25">
        <v>0</v>
      </c>
      <c r="U117" s="25">
        <v>3.3442622950819678</v>
      </c>
      <c r="V117" s="25"/>
      <c r="W117" s="26"/>
      <c r="X117" s="23" t="s">
        <v>474</v>
      </c>
      <c r="Y117" s="29" t="s">
        <v>289</v>
      </c>
      <c r="Z117" s="23" t="s">
        <v>302</v>
      </c>
      <c r="AA117" s="27" t="s">
        <v>540</v>
      </c>
      <c r="AB117" s="23" t="s">
        <v>209</v>
      </c>
      <c r="AC117" s="29"/>
      <c r="AD117" s="29"/>
      <c r="AE117" s="39"/>
    </row>
    <row r="118" spans="1:31" ht="15.5" x14ac:dyDescent="0.35">
      <c r="A118" s="22" t="s">
        <v>528</v>
      </c>
      <c r="B118" s="23" t="s">
        <v>529</v>
      </c>
      <c r="C118" s="23" t="s">
        <v>502</v>
      </c>
      <c r="D118" s="23" t="s">
        <v>298</v>
      </c>
      <c r="E118" s="28">
        <v>12180</v>
      </c>
      <c r="F118" s="23" t="s">
        <v>299</v>
      </c>
      <c r="G118" s="23" t="s">
        <v>252</v>
      </c>
      <c r="H118" s="23" t="s">
        <v>183</v>
      </c>
      <c r="I118" s="24">
        <v>27.5</v>
      </c>
      <c r="J118" s="25">
        <v>2.081967213114754</v>
      </c>
      <c r="K118" s="25">
        <v>0.98360655737704916</v>
      </c>
      <c r="L118" s="25">
        <v>9.8360655737704916E-2</v>
      </c>
      <c r="M118" s="25">
        <v>0.14754098360655737</v>
      </c>
      <c r="N118" s="25">
        <v>0.19672131147540983</v>
      </c>
      <c r="O118" s="25">
        <v>0.11475409836065574</v>
      </c>
      <c r="P118" s="25">
        <v>3</v>
      </c>
      <c r="Q118" s="25">
        <v>0</v>
      </c>
      <c r="R118" s="25">
        <v>1.9672131147540983</v>
      </c>
      <c r="S118" s="25">
        <v>0</v>
      </c>
      <c r="T118" s="25">
        <v>0.98360655737704916</v>
      </c>
      <c r="U118" s="25">
        <v>0.36065573770491804</v>
      </c>
      <c r="V118" s="25"/>
      <c r="W118" s="26"/>
      <c r="X118" s="23" t="s">
        <v>209</v>
      </c>
      <c r="Y118" s="29"/>
      <c r="Z118" s="23"/>
      <c r="AA118" s="27"/>
      <c r="AB118" s="23" t="s">
        <v>209</v>
      </c>
      <c r="AC118" s="29"/>
      <c r="AD118" s="29"/>
      <c r="AE118" s="39"/>
    </row>
    <row r="119" spans="1:31" ht="15.5" x14ac:dyDescent="0.35">
      <c r="A119" s="22" t="s">
        <v>507</v>
      </c>
      <c r="B119" s="23" t="s">
        <v>508</v>
      </c>
      <c r="C119" s="23" t="s">
        <v>509</v>
      </c>
      <c r="D119" s="23" t="s">
        <v>418</v>
      </c>
      <c r="E119" s="28">
        <v>68949</v>
      </c>
      <c r="F119" s="23" t="s">
        <v>329</v>
      </c>
      <c r="G119" s="23" t="s">
        <v>252</v>
      </c>
      <c r="H119" s="23" t="s">
        <v>183</v>
      </c>
      <c r="I119" s="24">
        <v>204</v>
      </c>
      <c r="J119" s="25">
        <v>0.45901639344262296</v>
      </c>
      <c r="K119" s="25">
        <v>0.45901639344262296</v>
      </c>
      <c r="L119" s="25">
        <v>0.68852459016393441</v>
      </c>
      <c r="M119" s="25">
        <v>1.4262295081967213</v>
      </c>
      <c r="N119" s="25">
        <v>3.0327868852459012</v>
      </c>
      <c r="O119" s="25">
        <v>0</v>
      </c>
      <c r="P119" s="25">
        <v>0</v>
      </c>
      <c r="Q119" s="25">
        <v>0</v>
      </c>
      <c r="R119" s="25">
        <v>0.27868852459016391</v>
      </c>
      <c r="S119" s="25">
        <v>0.98360655737704916</v>
      </c>
      <c r="T119" s="25">
        <v>0</v>
      </c>
      <c r="U119" s="25">
        <v>1.7704918032786887</v>
      </c>
      <c r="V119" s="25"/>
      <c r="W119" s="26"/>
      <c r="X119" s="23" t="s">
        <v>184</v>
      </c>
      <c r="Y119" s="29" t="s">
        <v>289</v>
      </c>
      <c r="Z119" s="23" t="s">
        <v>302</v>
      </c>
      <c r="AA119" s="27" t="s">
        <v>759</v>
      </c>
      <c r="AB119" s="23" t="s">
        <v>184</v>
      </c>
      <c r="AC119" s="29" t="s">
        <v>289</v>
      </c>
      <c r="AD119" s="29" t="s">
        <v>302</v>
      </c>
      <c r="AE119" s="39">
        <v>43664</v>
      </c>
    </row>
    <row r="120" spans="1:31" ht="15.5" x14ac:dyDescent="0.35">
      <c r="A120" s="22" t="s">
        <v>510</v>
      </c>
      <c r="B120" s="23" t="s">
        <v>511</v>
      </c>
      <c r="C120" s="23" t="s">
        <v>512</v>
      </c>
      <c r="D120" s="23" t="s">
        <v>429</v>
      </c>
      <c r="E120" s="28">
        <v>52401</v>
      </c>
      <c r="F120" s="23" t="s">
        <v>329</v>
      </c>
      <c r="G120" s="23" t="s">
        <v>252</v>
      </c>
      <c r="H120" s="23" t="s">
        <v>183</v>
      </c>
      <c r="I120" s="24">
        <v>33.5</v>
      </c>
      <c r="J120" s="25">
        <v>0.36065573770491804</v>
      </c>
      <c r="K120" s="25">
        <v>0.96721311475409832</v>
      </c>
      <c r="L120" s="25">
        <v>0.98360655737704916</v>
      </c>
      <c r="M120" s="25">
        <v>0.22950819672131145</v>
      </c>
      <c r="N120" s="25">
        <v>1.1967213114754098</v>
      </c>
      <c r="O120" s="25">
        <v>0.36065573770491804</v>
      </c>
      <c r="P120" s="25">
        <v>0.98360655737704916</v>
      </c>
      <c r="Q120" s="25">
        <v>0</v>
      </c>
      <c r="R120" s="25">
        <v>1.8852459016393444</v>
      </c>
      <c r="S120" s="25">
        <v>0.11475409836065574</v>
      </c>
      <c r="T120" s="25">
        <v>0</v>
      </c>
      <c r="U120" s="25">
        <v>0.54098360655737709</v>
      </c>
      <c r="V120" s="25"/>
      <c r="W120" s="26"/>
      <c r="X120" s="23" t="s">
        <v>184</v>
      </c>
      <c r="Y120" s="29" t="s">
        <v>289</v>
      </c>
      <c r="Z120" s="23" t="s">
        <v>302</v>
      </c>
      <c r="AA120" s="27" t="s">
        <v>513</v>
      </c>
      <c r="AB120" s="23" t="s">
        <v>184</v>
      </c>
      <c r="AC120" s="29" t="s">
        <v>289</v>
      </c>
      <c r="AD120" s="29" t="s">
        <v>302</v>
      </c>
      <c r="AE120" s="39">
        <v>43041</v>
      </c>
    </row>
    <row r="121" spans="1:31" ht="15.5" x14ac:dyDescent="0.35">
      <c r="A121" s="22" t="s">
        <v>468</v>
      </c>
      <c r="B121" s="23" t="s">
        <v>469</v>
      </c>
      <c r="C121" s="23" t="s">
        <v>470</v>
      </c>
      <c r="D121" s="23" t="s">
        <v>180</v>
      </c>
      <c r="E121" s="28">
        <v>92173</v>
      </c>
      <c r="F121" s="23" t="s">
        <v>224</v>
      </c>
      <c r="G121" s="23" t="s">
        <v>0</v>
      </c>
      <c r="H121" s="23" t="s">
        <v>183</v>
      </c>
      <c r="I121" s="24">
        <v>0.79166666666666696</v>
      </c>
      <c r="J121" s="25">
        <v>1.1147540983606565</v>
      </c>
      <c r="K121" s="25">
        <v>1</v>
      </c>
      <c r="L121" s="25">
        <v>0</v>
      </c>
      <c r="M121" s="25">
        <v>0.13114754098360656</v>
      </c>
      <c r="N121" s="25">
        <v>1.0491803278688525</v>
      </c>
      <c r="O121" s="25">
        <v>1.0000000000000007</v>
      </c>
      <c r="P121" s="25">
        <v>0</v>
      </c>
      <c r="Q121" s="25">
        <v>0.1967213114754098</v>
      </c>
      <c r="R121" s="25">
        <v>0</v>
      </c>
      <c r="S121" s="25">
        <v>0</v>
      </c>
      <c r="T121" s="25">
        <v>0</v>
      </c>
      <c r="U121" s="25">
        <v>2.2459016393442601</v>
      </c>
      <c r="V121" s="25"/>
      <c r="W121" s="26"/>
      <c r="X121" s="23" t="s">
        <v>209</v>
      </c>
      <c r="Y121" s="29"/>
      <c r="Z121" s="23"/>
      <c r="AA121" s="27"/>
      <c r="AB121" s="23" t="s">
        <v>209</v>
      </c>
      <c r="AC121" s="29"/>
      <c r="AD121" s="29"/>
      <c r="AE121" s="39"/>
    </row>
    <row r="122" spans="1:31" ht="15.5" x14ac:dyDescent="0.35">
      <c r="A122" s="22" t="s">
        <v>471</v>
      </c>
      <c r="B122" s="23" t="s">
        <v>472</v>
      </c>
      <c r="C122" s="23" t="s">
        <v>473</v>
      </c>
      <c r="D122" s="23" t="s">
        <v>284</v>
      </c>
      <c r="E122" s="28">
        <v>80814</v>
      </c>
      <c r="F122" s="23" t="s">
        <v>285</v>
      </c>
      <c r="G122" s="23" t="s">
        <v>208</v>
      </c>
      <c r="H122" s="23" t="s">
        <v>183</v>
      </c>
      <c r="I122" s="24">
        <v>103.333333333333</v>
      </c>
      <c r="J122" s="25">
        <v>0</v>
      </c>
      <c r="K122" s="25">
        <v>0</v>
      </c>
      <c r="L122" s="25">
        <v>2.1311475409836067</v>
      </c>
      <c r="M122" s="25">
        <v>9.8360655737704916E-2</v>
      </c>
      <c r="N122" s="25">
        <v>2.2295081967213113</v>
      </c>
      <c r="O122" s="25">
        <v>0</v>
      </c>
      <c r="P122" s="25">
        <v>0</v>
      </c>
      <c r="Q122" s="25">
        <v>0</v>
      </c>
      <c r="R122" s="25">
        <v>0.98360655737704916</v>
      </c>
      <c r="S122" s="25">
        <v>0</v>
      </c>
      <c r="T122" s="25">
        <v>0</v>
      </c>
      <c r="U122" s="25">
        <v>1.2459016393442623</v>
      </c>
      <c r="V122" s="25"/>
      <c r="W122" s="26"/>
      <c r="X122" s="23" t="s">
        <v>184</v>
      </c>
      <c r="Y122" s="29" t="s">
        <v>721</v>
      </c>
      <c r="Z122" s="23" t="s">
        <v>302</v>
      </c>
      <c r="AA122" s="27" t="s">
        <v>743</v>
      </c>
      <c r="AB122" s="23" t="s">
        <v>184</v>
      </c>
      <c r="AC122" s="29" t="s">
        <v>721</v>
      </c>
      <c r="AD122" s="29" t="s">
        <v>302</v>
      </c>
      <c r="AE122" s="39">
        <v>44286</v>
      </c>
    </row>
    <row r="123" spans="1:31" ht="15.5" x14ac:dyDescent="0.35">
      <c r="A123" s="22" t="s">
        <v>534</v>
      </c>
      <c r="B123" s="23" t="s">
        <v>535</v>
      </c>
      <c r="C123" s="23" t="s">
        <v>533</v>
      </c>
      <c r="D123" s="23" t="s">
        <v>479</v>
      </c>
      <c r="E123" s="28">
        <v>29072</v>
      </c>
      <c r="F123" s="23" t="s">
        <v>192</v>
      </c>
      <c r="G123" s="23" t="s">
        <v>252</v>
      </c>
      <c r="H123" s="23" t="s">
        <v>183</v>
      </c>
      <c r="I123" s="24">
        <v>1.98412698412698</v>
      </c>
      <c r="J123" s="25">
        <v>8.1967213114754106E-2</v>
      </c>
      <c r="K123" s="25">
        <v>0.95081967213114793</v>
      </c>
      <c r="L123" s="25">
        <v>0.49180327868852464</v>
      </c>
      <c r="M123" s="25">
        <v>0.39344262295081966</v>
      </c>
      <c r="N123" s="25">
        <v>1.5081967213114764</v>
      </c>
      <c r="O123" s="25">
        <v>0.4098360655737705</v>
      </c>
      <c r="P123" s="25">
        <v>0</v>
      </c>
      <c r="Q123" s="25">
        <v>0</v>
      </c>
      <c r="R123" s="25">
        <v>3.2786885245901641E-2</v>
      </c>
      <c r="S123" s="25">
        <v>1.6393442622950821E-2</v>
      </c>
      <c r="T123" s="25">
        <v>0</v>
      </c>
      <c r="U123" s="25">
        <v>1.8688524590163949</v>
      </c>
      <c r="V123" s="25"/>
      <c r="W123" s="26"/>
      <c r="X123" s="23" t="s">
        <v>474</v>
      </c>
      <c r="Y123" s="29" t="s">
        <v>289</v>
      </c>
      <c r="Z123" s="23" t="s">
        <v>302</v>
      </c>
      <c r="AA123" s="27" t="s">
        <v>536</v>
      </c>
      <c r="AB123" s="23" t="s">
        <v>474</v>
      </c>
      <c r="AC123" s="29" t="s">
        <v>289</v>
      </c>
      <c r="AD123" s="29" t="s">
        <v>302</v>
      </c>
      <c r="AE123" s="39">
        <v>42629</v>
      </c>
    </row>
    <row r="124" spans="1:31" ht="15.5" x14ac:dyDescent="0.35">
      <c r="A124" s="22" t="s">
        <v>514</v>
      </c>
      <c r="B124" s="23" t="s">
        <v>515</v>
      </c>
      <c r="C124" s="23" t="s">
        <v>516</v>
      </c>
      <c r="D124" s="23" t="s">
        <v>517</v>
      </c>
      <c r="E124" s="28">
        <v>25309</v>
      </c>
      <c r="F124" s="23" t="s">
        <v>291</v>
      </c>
      <c r="G124" s="23" t="s">
        <v>252</v>
      </c>
      <c r="H124" s="23" t="s">
        <v>183</v>
      </c>
      <c r="I124" s="24">
        <v>9.4285714285714306</v>
      </c>
      <c r="J124" s="25">
        <v>0</v>
      </c>
      <c r="K124" s="25">
        <v>0.24590163934426229</v>
      </c>
      <c r="L124" s="25">
        <v>1.360655737704918</v>
      </c>
      <c r="M124" s="25">
        <v>0.16393442622950818</v>
      </c>
      <c r="N124" s="25">
        <v>1.7704918032786887</v>
      </c>
      <c r="O124" s="25">
        <v>0</v>
      </c>
      <c r="P124" s="25">
        <v>0</v>
      </c>
      <c r="Q124" s="25">
        <v>0</v>
      </c>
      <c r="R124" s="25">
        <v>0.42622950819672129</v>
      </c>
      <c r="S124" s="25">
        <v>0.34426229508196721</v>
      </c>
      <c r="T124" s="25">
        <v>0</v>
      </c>
      <c r="U124" s="25">
        <v>1</v>
      </c>
      <c r="V124" s="25"/>
      <c r="W124" s="26"/>
      <c r="X124" s="23" t="s">
        <v>474</v>
      </c>
      <c r="Y124" s="29" t="s">
        <v>289</v>
      </c>
      <c r="Z124" s="23" t="s">
        <v>302</v>
      </c>
      <c r="AA124" s="27" t="s">
        <v>518</v>
      </c>
      <c r="AB124" s="23" t="s">
        <v>474</v>
      </c>
      <c r="AC124" s="29" t="s">
        <v>289</v>
      </c>
      <c r="AD124" s="29" t="s">
        <v>302</v>
      </c>
      <c r="AE124" s="39">
        <v>42996</v>
      </c>
    </row>
    <row r="125" spans="1:31" ht="15.5" x14ac:dyDescent="0.35">
      <c r="A125" s="22" t="s">
        <v>489</v>
      </c>
      <c r="B125" s="23" t="s">
        <v>705</v>
      </c>
      <c r="C125" s="23" t="s">
        <v>490</v>
      </c>
      <c r="D125" s="23" t="s">
        <v>475</v>
      </c>
      <c r="E125" s="28">
        <v>84737</v>
      </c>
      <c r="F125" s="23" t="s">
        <v>362</v>
      </c>
      <c r="G125" s="23" t="s">
        <v>252</v>
      </c>
      <c r="H125" s="23" t="s">
        <v>183</v>
      </c>
      <c r="I125" s="24">
        <v>7.125</v>
      </c>
      <c r="J125" s="25">
        <v>0.11475409836065574</v>
      </c>
      <c r="K125" s="25">
        <v>0.55737704918032793</v>
      </c>
      <c r="L125" s="25">
        <v>0.36065573770491804</v>
      </c>
      <c r="M125" s="25">
        <v>0.70491803278688514</v>
      </c>
      <c r="N125" s="25">
        <v>1.3278688524590161</v>
      </c>
      <c r="O125" s="25">
        <v>0.40983606557377056</v>
      </c>
      <c r="P125" s="25">
        <v>0</v>
      </c>
      <c r="Q125" s="25">
        <v>0</v>
      </c>
      <c r="R125" s="25">
        <v>0.14754098360655737</v>
      </c>
      <c r="S125" s="25">
        <v>1.0163934426229506</v>
      </c>
      <c r="T125" s="25">
        <v>0</v>
      </c>
      <c r="U125" s="25">
        <v>0.57377049180327877</v>
      </c>
      <c r="V125" s="25"/>
      <c r="W125" s="26"/>
      <c r="X125" s="23" t="s">
        <v>474</v>
      </c>
      <c r="Y125" s="29" t="s">
        <v>289</v>
      </c>
      <c r="Z125" s="23" t="s">
        <v>302</v>
      </c>
      <c r="AA125" s="27" t="s">
        <v>491</v>
      </c>
      <c r="AB125" s="23" t="s">
        <v>474</v>
      </c>
      <c r="AC125" s="29" t="s">
        <v>289</v>
      </c>
      <c r="AD125" s="29" t="s">
        <v>302</v>
      </c>
      <c r="AE125" s="39">
        <v>42978</v>
      </c>
    </row>
    <row r="126" spans="1:31" ht="15.5" x14ac:dyDescent="0.35">
      <c r="A126" s="22" t="s">
        <v>485</v>
      </c>
      <c r="B126" s="23" t="s">
        <v>486</v>
      </c>
      <c r="C126" s="23" t="s">
        <v>487</v>
      </c>
      <c r="D126" s="23" t="s">
        <v>195</v>
      </c>
      <c r="E126" s="28">
        <v>75202</v>
      </c>
      <c r="F126" s="23" t="s">
        <v>270</v>
      </c>
      <c r="G126" s="23" t="s">
        <v>252</v>
      </c>
      <c r="H126" s="23" t="s">
        <v>183</v>
      </c>
      <c r="I126" s="24">
        <v>1.6923076923076901</v>
      </c>
      <c r="J126" s="25">
        <v>1.4590163934426239</v>
      </c>
      <c r="K126" s="25">
        <v>0</v>
      </c>
      <c r="L126" s="25">
        <v>0</v>
      </c>
      <c r="M126" s="25">
        <v>0</v>
      </c>
      <c r="N126" s="25">
        <v>1.0000000000000004</v>
      </c>
      <c r="O126" s="25">
        <v>0.44262295081967218</v>
      </c>
      <c r="P126" s="25">
        <v>1.6393442622950821E-2</v>
      </c>
      <c r="Q126" s="25">
        <v>0</v>
      </c>
      <c r="R126" s="25">
        <v>0</v>
      </c>
      <c r="S126" s="25">
        <v>0</v>
      </c>
      <c r="T126" s="25">
        <v>0</v>
      </c>
      <c r="U126" s="25">
        <v>1.4590163934426239</v>
      </c>
      <c r="V126" s="25"/>
      <c r="W126" s="26"/>
      <c r="X126" s="23" t="s">
        <v>474</v>
      </c>
      <c r="Y126" s="29" t="s">
        <v>289</v>
      </c>
      <c r="Z126" s="23" t="s">
        <v>302</v>
      </c>
      <c r="AA126" s="27" t="s">
        <v>488</v>
      </c>
      <c r="AB126" s="23" t="s">
        <v>209</v>
      </c>
      <c r="AC126" s="29"/>
      <c r="AD126" s="29"/>
      <c r="AE126" s="39"/>
    </row>
    <row r="127" spans="1:31" ht="15.5" x14ac:dyDescent="0.35">
      <c r="A127" s="22" t="s">
        <v>530</v>
      </c>
      <c r="B127" s="23" t="s">
        <v>531</v>
      </c>
      <c r="C127" s="23" t="s">
        <v>532</v>
      </c>
      <c r="D127" s="23" t="s">
        <v>195</v>
      </c>
      <c r="E127" s="28">
        <v>78562</v>
      </c>
      <c r="F127" s="23" t="s">
        <v>718</v>
      </c>
      <c r="G127" s="23" t="s">
        <v>252</v>
      </c>
      <c r="H127" s="23" t="s">
        <v>183</v>
      </c>
      <c r="I127" s="24">
        <v>1.4375</v>
      </c>
      <c r="J127" s="25">
        <v>1.3114754098360657</v>
      </c>
      <c r="K127" s="25">
        <v>1.6393442622950821E-2</v>
      </c>
      <c r="L127" s="25">
        <v>9.836065573770493E-2</v>
      </c>
      <c r="M127" s="25">
        <v>3.2786885245901641E-2</v>
      </c>
      <c r="N127" s="25">
        <v>1.3606557377049184</v>
      </c>
      <c r="O127" s="25">
        <v>9.8360655737704916E-2</v>
      </c>
      <c r="P127" s="25">
        <v>0</v>
      </c>
      <c r="Q127" s="25">
        <v>0</v>
      </c>
      <c r="R127" s="25">
        <v>0.21311475409836064</v>
      </c>
      <c r="S127" s="25">
        <v>4.9180327868852458E-2</v>
      </c>
      <c r="T127" s="25">
        <v>0</v>
      </c>
      <c r="U127" s="25">
        <v>1.1967213114754101</v>
      </c>
      <c r="V127" s="25"/>
      <c r="W127" s="26"/>
      <c r="X127" s="23" t="s">
        <v>184</v>
      </c>
      <c r="Y127" s="29" t="s">
        <v>289</v>
      </c>
      <c r="Z127" s="23" t="s">
        <v>302</v>
      </c>
      <c r="AA127" s="27" t="s">
        <v>784</v>
      </c>
      <c r="AB127" s="23" t="s">
        <v>184</v>
      </c>
      <c r="AC127" s="29" t="s">
        <v>289</v>
      </c>
      <c r="AD127" s="29" t="s">
        <v>302</v>
      </c>
      <c r="AE127" s="39">
        <v>43714</v>
      </c>
    </row>
    <row r="128" spans="1:31" ht="15.5" x14ac:dyDescent="0.35">
      <c r="A128" s="22" t="s">
        <v>669</v>
      </c>
      <c r="B128" s="23" t="s">
        <v>706</v>
      </c>
      <c r="C128" s="23" t="s">
        <v>707</v>
      </c>
      <c r="D128" s="23" t="s">
        <v>180</v>
      </c>
      <c r="E128" s="28">
        <v>92225</v>
      </c>
      <c r="F128" s="23" t="s">
        <v>181</v>
      </c>
      <c r="G128" s="23" t="s">
        <v>208</v>
      </c>
      <c r="H128" s="23" t="s">
        <v>183</v>
      </c>
      <c r="I128" s="24"/>
      <c r="J128" s="25">
        <v>0</v>
      </c>
      <c r="K128" s="25">
        <v>0</v>
      </c>
      <c r="L128" s="25">
        <v>0</v>
      </c>
      <c r="M128" s="25">
        <v>0.77049180327868849</v>
      </c>
      <c r="N128" s="25">
        <v>0.77049180327868849</v>
      </c>
      <c r="O128" s="25">
        <v>0</v>
      </c>
      <c r="P128" s="25">
        <v>0</v>
      </c>
      <c r="Q128" s="25">
        <v>0</v>
      </c>
      <c r="R128" s="25">
        <v>0</v>
      </c>
      <c r="S128" s="25">
        <v>0</v>
      </c>
      <c r="T128" s="25">
        <v>0</v>
      </c>
      <c r="U128" s="25">
        <v>0.77049180327868849</v>
      </c>
      <c r="V128" s="25"/>
      <c r="W128" s="26"/>
      <c r="X128" s="23" t="s">
        <v>209</v>
      </c>
      <c r="Y128" s="29"/>
      <c r="Z128" s="23"/>
      <c r="AA128" s="27"/>
      <c r="AB128" s="23" t="s">
        <v>209</v>
      </c>
      <c r="AC128" s="29"/>
      <c r="AD128" s="29"/>
      <c r="AE128" s="39"/>
    </row>
    <row r="129" spans="1:31" ht="15.5" x14ac:dyDescent="0.35">
      <c r="A129" s="22" t="s">
        <v>497</v>
      </c>
      <c r="B129" s="23" t="s">
        <v>498</v>
      </c>
      <c r="C129" s="23" t="s">
        <v>499</v>
      </c>
      <c r="D129" s="23" t="s">
        <v>500</v>
      </c>
      <c r="E129" s="28">
        <v>58206</v>
      </c>
      <c r="F129" s="23" t="s">
        <v>329</v>
      </c>
      <c r="G129" s="23" t="s">
        <v>208</v>
      </c>
      <c r="H129" s="23" t="s">
        <v>183</v>
      </c>
      <c r="I129" s="24">
        <v>6.6666666666666696</v>
      </c>
      <c r="J129" s="25">
        <v>0</v>
      </c>
      <c r="K129" s="25">
        <v>0</v>
      </c>
      <c r="L129" s="25">
        <v>0.75409836065573776</v>
      </c>
      <c r="M129" s="25">
        <v>0</v>
      </c>
      <c r="N129" s="25">
        <v>0.72131147540983609</v>
      </c>
      <c r="O129" s="25">
        <v>3.2786885245901641E-2</v>
      </c>
      <c r="P129" s="25">
        <v>0</v>
      </c>
      <c r="Q129" s="25">
        <v>0</v>
      </c>
      <c r="R129" s="25">
        <v>0.13114754098360656</v>
      </c>
      <c r="S129" s="25">
        <v>0</v>
      </c>
      <c r="T129" s="25">
        <v>0</v>
      </c>
      <c r="U129" s="25">
        <v>0.62295081967213117</v>
      </c>
      <c r="V129" s="25"/>
      <c r="W129" s="26"/>
      <c r="X129" s="23" t="s">
        <v>184</v>
      </c>
      <c r="Y129" s="29" t="s">
        <v>289</v>
      </c>
      <c r="Z129" s="23" t="s">
        <v>435</v>
      </c>
      <c r="AA129" s="27" t="s">
        <v>501</v>
      </c>
      <c r="AB129" s="23" t="s">
        <v>474</v>
      </c>
      <c r="AC129" s="29" t="s">
        <v>289</v>
      </c>
      <c r="AD129" s="29" t="s">
        <v>302</v>
      </c>
      <c r="AE129" s="39">
        <v>42999</v>
      </c>
    </row>
    <row r="130" spans="1:31" ht="15.5" x14ac:dyDescent="0.35">
      <c r="A130" s="22" t="s">
        <v>670</v>
      </c>
      <c r="B130" s="23" t="s">
        <v>708</v>
      </c>
      <c r="C130" s="23" t="s">
        <v>709</v>
      </c>
      <c r="D130" s="23" t="s">
        <v>447</v>
      </c>
      <c r="E130" s="28">
        <v>46802</v>
      </c>
      <c r="F130" s="23" t="s">
        <v>36</v>
      </c>
      <c r="G130" s="23" t="s">
        <v>252</v>
      </c>
      <c r="H130" s="23" t="s">
        <v>183</v>
      </c>
      <c r="I130" s="24">
        <v>1.8947368421052599</v>
      </c>
      <c r="J130" s="25">
        <v>9.8360655737704916E-2</v>
      </c>
      <c r="K130" s="25">
        <v>1.6393442622950821E-2</v>
      </c>
      <c r="L130" s="25">
        <v>0.26229508196721313</v>
      </c>
      <c r="M130" s="25">
        <v>0.22950819672131148</v>
      </c>
      <c r="N130" s="25">
        <v>0.55737704918032782</v>
      </c>
      <c r="O130" s="25">
        <v>4.9180327868852458E-2</v>
      </c>
      <c r="P130" s="25">
        <v>0</v>
      </c>
      <c r="Q130" s="25">
        <v>0</v>
      </c>
      <c r="R130" s="25">
        <v>0</v>
      </c>
      <c r="S130" s="25">
        <v>1.6393442622950821E-2</v>
      </c>
      <c r="T130" s="25">
        <v>0</v>
      </c>
      <c r="U130" s="25">
        <v>0.5901639344262295</v>
      </c>
      <c r="V130" s="25"/>
      <c r="W130" s="26"/>
      <c r="X130" s="23" t="s">
        <v>209</v>
      </c>
      <c r="Y130" s="29"/>
      <c r="Z130" s="23"/>
      <c r="AA130" s="27"/>
      <c r="AB130" s="23" t="s">
        <v>209</v>
      </c>
      <c r="AC130" s="29"/>
      <c r="AD130" s="29"/>
      <c r="AE130" s="39"/>
    </row>
    <row r="131" spans="1:31" ht="15.5" x14ac:dyDescent="0.35">
      <c r="A131" s="22" t="s">
        <v>541</v>
      </c>
      <c r="B131" s="23" t="s">
        <v>542</v>
      </c>
      <c r="C131" s="23" t="s">
        <v>543</v>
      </c>
      <c r="D131" s="23" t="s">
        <v>453</v>
      </c>
      <c r="E131" s="28">
        <v>28429</v>
      </c>
      <c r="F131" s="23" t="s">
        <v>192</v>
      </c>
      <c r="G131" s="23" t="s">
        <v>208</v>
      </c>
      <c r="H131" s="23" t="s">
        <v>183</v>
      </c>
      <c r="I131" s="24">
        <v>2.25</v>
      </c>
      <c r="J131" s="25">
        <v>0.16393442622950821</v>
      </c>
      <c r="K131" s="25">
        <v>9.8360655737704916E-2</v>
      </c>
      <c r="L131" s="25">
        <v>6.5573770491803282E-2</v>
      </c>
      <c r="M131" s="25">
        <v>0.16393442622950821</v>
      </c>
      <c r="N131" s="25">
        <v>0.49180327868852453</v>
      </c>
      <c r="O131" s="25">
        <v>0</v>
      </c>
      <c r="P131" s="25">
        <v>0</v>
      </c>
      <c r="Q131" s="25">
        <v>0</v>
      </c>
      <c r="R131" s="25">
        <v>0</v>
      </c>
      <c r="S131" s="25">
        <v>4.9180327868852458E-2</v>
      </c>
      <c r="T131" s="25">
        <v>0</v>
      </c>
      <c r="U131" s="25">
        <v>0.44262295081967212</v>
      </c>
      <c r="V131" s="25"/>
      <c r="W131" s="26"/>
      <c r="X131" s="23" t="s">
        <v>184</v>
      </c>
      <c r="Y131" s="29" t="s">
        <v>721</v>
      </c>
      <c r="Z131" s="23"/>
      <c r="AA131" s="27" t="s">
        <v>785</v>
      </c>
      <c r="AB131" s="23" t="s">
        <v>474</v>
      </c>
      <c r="AC131" s="29" t="s">
        <v>289</v>
      </c>
      <c r="AD131" s="29" t="s">
        <v>302</v>
      </c>
      <c r="AE131" s="39">
        <v>42993</v>
      </c>
    </row>
    <row r="132" spans="1:31" ht="15.5" x14ac:dyDescent="0.35">
      <c r="A132" s="22" t="s">
        <v>671</v>
      </c>
      <c r="B132" s="23" t="s">
        <v>710</v>
      </c>
      <c r="C132" s="23" t="s">
        <v>711</v>
      </c>
      <c r="D132" s="23" t="s">
        <v>195</v>
      </c>
      <c r="E132" s="28">
        <v>79772</v>
      </c>
      <c r="F132" s="23" t="s">
        <v>239</v>
      </c>
      <c r="G132" s="23" t="s">
        <v>208</v>
      </c>
      <c r="H132" s="23" t="s">
        <v>183</v>
      </c>
      <c r="I132" s="24"/>
      <c r="J132" s="25">
        <v>0.34426229508196721</v>
      </c>
      <c r="K132" s="25">
        <v>0</v>
      </c>
      <c r="L132" s="25">
        <v>0</v>
      </c>
      <c r="M132" s="25">
        <v>0</v>
      </c>
      <c r="N132" s="25">
        <v>0</v>
      </c>
      <c r="O132" s="25">
        <v>0</v>
      </c>
      <c r="P132" s="25">
        <v>0</v>
      </c>
      <c r="Q132" s="25">
        <v>0.34426229508196721</v>
      </c>
      <c r="R132" s="25">
        <v>0</v>
      </c>
      <c r="S132" s="25">
        <v>0</v>
      </c>
      <c r="T132" s="25">
        <v>0</v>
      </c>
      <c r="U132" s="25">
        <v>0.34426229508196721</v>
      </c>
      <c r="V132" s="25"/>
      <c r="W132" s="26"/>
      <c r="X132" s="23" t="s">
        <v>209</v>
      </c>
      <c r="Y132" s="29"/>
      <c r="Z132" s="23"/>
      <c r="AA132" s="27"/>
      <c r="AB132" s="23" t="s">
        <v>209</v>
      </c>
      <c r="AC132" s="29"/>
      <c r="AD132" s="29"/>
      <c r="AE132" s="39"/>
    </row>
    <row r="133" spans="1:31" ht="15.5" x14ac:dyDescent="0.35">
      <c r="A133" s="22" t="s">
        <v>672</v>
      </c>
      <c r="B133" s="23" t="s">
        <v>712</v>
      </c>
      <c r="C133" s="23" t="s">
        <v>259</v>
      </c>
      <c r="D133" s="23" t="s">
        <v>195</v>
      </c>
      <c r="E133" s="28">
        <v>77009</v>
      </c>
      <c r="F133" s="23" t="s">
        <v>243</v>
      </c>
      <c r="G133" s="23" t="s">
        <v>524</v>
      </c>
      <c r="H133" s="23" t="s">
        <v>183</v>
      </c>
      <c r="I133" s="24"/>
      <c r="J133" s="25">
        <v>0.32786885245901637</v>
      </c>
      <c r="K133" s="25">
        <v>0</v>
      </c>
      <c r="L133" s="25">
        <v>0</v>
      </c>
      <c r="M133" s="25">
        <v>0</v>
      </c>
      <c r="N133" s="25">
        <v>0</v>
      </c>
      <c r="O133" s="25">
        <v>0.32786885245901637</v>
      </c>
      <c r="P133" s="25">
        <v>0</v>
      </c>
      <c r="Q133" s="25">
        <v>0</v>
      </c>
      <c r="R133" s="25">
        <v>0</v>
      </c>
      <c r="S133" s="25">
        <v>0</v>
      </c>
      <c r="T133" s="25">
        <v>0</v>
      </c>
      <c r="U133" s="25">
        <v>0.32786885245901637</v>
      </c>
      <c r="V133" s="25"/>
      <c r="W133" s="26"/>
      <c r="X133" s="23" t="s">
        <v>209</v>
      </c>
      <c r="Y133" s="29"/>
      <c r="Z133" s="23"/>
      <c r="AA133" s="27"/>
      <c r="AB133" s="23" t="s">
        <v>209</v>
      </c>
      <c r="AC133" s="29"/>
      <c r="AD133" s="29"/>
      <c r="AE133" s="39"/>
    </row>
    <row r="134" spans="1:31" ht="15.5" x14ac:dyDescent="0.35">
      <c r="A134" s="22" t="s">
        <v>673</v>
      </c>
      <c r="B134" s="23" t="s">
        <v>713</v>
      </c>
      <c r="C134" s="23" t="s">
        <v>714</v>
      </c>
      <c r="D134" s="23" t="s">
        <v>195</v>
      </c>
      <c r="E134" s="28">
        <v>78216</v>
      </c>
      <c r="F134" s="23" t="s">
        <v>196</v>
      </c>
      <c r="G134" s="23" t="s">
        <v>0</v>
      </c>
      <c r="H134" s="23" t="s">
        <v>183</v>
      </c>
      <c r="I134" s="24"/>
      <c r="J134" s="25">
        <v>0.32786885245901637</v>
      </c>
      <c r="K134" s="25">
        <v>0</v>
      </c>
      <c r="L134" s="25">
        <v>0</v>
      </c>
      <c r="M134" s="25">
        <v>0</v>
      </c>
      <c r="N134" s="25">
        <v>0</v>
      </c>
      <c r="O134" s="25">
        <v>0.32786885245901637</v>
      </c>
      <c r="P134" s="25">
        <v>0</v>
      </c>
      <c r="Q134" s="25">
        <v>0</v>
      </c>
      <c r="R134" s="25">
        <v>0</v>
      </c>
      <c r="S134" s="25">
        <v>0</v>
      </c>
      <c r="T134" s="25">
        <v>0</v>
      </c>
      <c r="U134" s="25">
        <v>0.32786885245901637</v>
      </c>
      <c r="V134" s="25"/>
      <c r="W134" s="26"/>
      <c r="X134" s="23" t="s">
        <v>209</v>
      </c>
      <c r="Y134" s="29"/>
      <c r="Z134" s="23"/>
      <c r="AA134" s="27"/>
      <c r="AB134" s="23" t="s">
        <v>209</v>
      </c>
      <c r="AC134" s="29"/>
      <c r="AD134" s="29"/>
      <c r="AE134" s="39"/>
    </row>
    <row r="135" spans="1:31" ht="15.5" x14ac:dyDescent="0.35">
      <c r="A135" s="22" t="s">
        <v>674</v>
      </c>
      <c r="B135" s="23" t="s">
        <v>715</v>
      </c>
      <c r="C135" s="23" t="s">
        <v>716</v>
      </c>
      <c r="D135" s="23" t="s">
        <v>220</v>
      </c>
      <c r="E135" s="28">
        <v>39520</v>
      </c>
      <c r="F135" s="23" t="s">
        <v>207</v>
      </c>
      <c r="G135" s="23" t="s">
        <v>208</v>
      </c>
      <c r="H135" s="23" t="s">
        <v>183</v>
      </c>
      <c r="I135" s="24">
        <v>1.6</v>
      </c>
      <c r="J135" s="25">
        <v>0.18032786885245905</v>
      </c>
      <c r="K135" s="25">
        <v>3.2786885245901641E-2</v>
      </c>
      <c r="L135" s="25">
        <v>1.6393442622950821E-2</v>
      </c>
      <c r="M135" s="25">
        <v>3.2786885245901641E-2</v>
      </c>
      <c r="N135" s="25">
        <v>8.1967213114754106E-2</v>
      </c>
      <c r="O135" s="25">
        <v>0.18032786885245905</v>
      </c>
      <c r="P135" s="25">
        <v>0</v>
      </c>
      <c r="Q135" s="25">
        <v>0</v>
      </c>
      <c r="R135" s="25">
        <v>0</v>
      </c>
      <c r="S135" s="25">
        <v>0</v>
      </c>
      <c r="T135" s="25">
        <v>1.6393442622950821E-2</v>
      </c>
      <c r="U135" s="25">
        <v>0.24590163934426235</v>
      </c>
      <c r="V135" s="25"/>
      <c r="W135" s="26"/>
      <c r="X135" s="23" t="s">
        <v>209</v>
      </c>
      <c r="Y135" s="29"/>
      <c r="Z135" s="23"/>
      <c r="AA135" s="27"/>
      <c r="AB135" s="23" t="s">
        <v>209</v>
      </c>
      <c r="AC135" s="29"/>
      <c r="AD135" s="29"/>
      <c r="AE135" s="39"/>
    </row>
    <row r="136" spans="1:31" ht="15.5" x14ac:dyDescent="0.35">
      <c r="A136" s="22" t="s">
        <v>46</v>
      </c>
      <c r="B136" s="23" t="s">
        <v>525</v>
      </c>
      <c r="C136" s="23" t="s">
        <v>526</v>
      </c>
      <c r="D136" s="23" t="s">
        <v>527</v>
      </c>
      <c r="E136" s="28">
        <v>37918</v>
      </c>
      <c r="F136" s="23" t="s">
        <v>207</v>
      </c>
      <c r="G136" s="23" t="s">
        <v>252</v>
      </c>
      <c r="H136" s="23" t="s">
        <v>183</v>
      </c>
      <c r="I136" s="24">
        <v>2</v>
      </c>
      <c r="J136" s="25">
        <v>0.11475409836065575</v>
      </c>
      <c r="K136" s="25">
        <v>0</v>
      </c>
      <c r="L136" s="25">
        <v>1.6393442622950821E-2</v>
      </c>
      <c r="M136" s="25">
        <v>4.9180327868852458E-2</v>
      </c>
      <c r="N136" s="25">
        <v>6.5573770491803282E-2</v>
      </c>
      <c r="O136" s="25">
        <v>0.11475409836065575</v>
      </c>
      <c r="P136" s="25">
        <v>0</v>
      </c>
      <c r="Q136" s="25">
        <v>0</v>
      </c>
      <c r="R136" s="25">
        <v>1.6393442622950821E-2</v>
      </c>
      <c r="S136" s="25">
        <v>0</v>
      </c>
      <c r="T136" s="25">
        <v>0</v>
      </c>
      <c r="U136" s="25">
        <v>0.16393442622950821</v>
      </c>
      <c r="V136" s="25"/>
      <c r="W136" s="26"/>
      <c r="X136" s="23" t="s">
        <v>474</v>
      </c>
      <c r="Y136" s="29" t="s">
        <v>289</v>
      </c>
      <c r="Z136" s="23" t="s">
        <v>302</v>
      </c>
      <c r="AA136" s="27" t="s">
        <v>519</v>
      </c>
      <c r="AB136" s="23" t="s">
        <v>209</v>
      </c>
      <c r="AC136" s="29"/>
      <c r="AD136" s="29"/>
      <c r="AE136" s="39"/>
    </row>
    <row r="137" spans="1:31" ht="15.5" x14ac:dyDescent="0.35">
      <c r="A137" s="22" t="s">
        <v>483</v>
      </c>
      <c r="B137" s="23" t="s">
        <v>484</v>
      </c>
      <c r="C137" s="23" t="s">
        <v>223</v>
      </c>
      <c r="D137" s="23" t="s">
        <v>180</v>
      </c>
      <c r="E137" s="28">
        <v>92154</v>
      </c>
      <c r="F137" s="23" t="s">
        <v>224</v>
      </c>
      <c r="G137" s="23" t="s">
        <v>0</v>
      </c>
      <c r="H137" s="23" t="s">
        <v>183</v>
      </c>
      <c r="I137" s="24">
        <v>1.75</v>
      </c>
      <c r="J137" s="25">
        <v>4.9180327868852458E-2</v>
      </c>
      <c r="K137" s="25">
        <v>0</v>
      </c>
      <c r="L137" s="25">
        <v>0</v>
      </c>
      <c r="M137" s="25">
        <v>0.11475409836065574</v>
      </c>
      <c r="N137" s="25">
        <v>0.11475409836065574</v>
      </c>
      <c r="O137" s="25">
        <v>4.9180327868852458E-2</v>
      </c>
      <c r="P137" s="25">
        <v>0</v>
      </c>
      <c r="Q137" s="25">
        <v>0</v>
      </c>
      <c r="R137" s="25">
        <v>4.9180327868852458E-2</v>
      </c>
      <c r="S137" s="25">
        <v>0</v>
      </c>
      <c r="T137" s="25">
        <v>0</v>
      </c>
      <c r="U137" s="25">
        <v>0.11475409836065575</v>
      </c>
      <c r="V137" s="25"/>
      <c r="W137" s="26"/>
      <c r="X137" s="23" t="s">
        <v>209</v>
      </c>
      <c r="Y137" s="29"/>
      <c r="Z137" s="23"/>
      <c r="AA137" s="27"/>
      <c r="AB137" s="23" t="s">
        <v>209</v>
      </c>
      <c r="AC137" s="29"/>
      <c r="AD137" s="29"/>
      <c r="AE137" s="39"/>
    </row>
    <row r="138" spans="1:31" ht="15.5" x14ac:dyDescent="0.35">
      <c r="A138" s="22" t="s">
        <v>675</v>
      </c>
      <c r="B138" s="23" t="s">
        <v>717</v>
      </c>
      <c r="C138" s="23" t="s">
        <v>689</v>
      </c>
      <c r="D138" s="23" t="s">
        <v>211</v>
      </c>
      <c r="E138" s="28">
        <v>85040</v>
      </c>
      <c r="F138" s="23" t="s">
        <v>212</v>
      </c>
      <c r="G138" s="23" t="s">
        <v>0</v>
      </c>
      <c r="H138" s="23" t="s">
        <v>183</v>
      </c>
      <c r="I138" s="24">
        <v>1</v>
      </c>
      <c r="J138" s="25">
        <v>8.1967213114754106E-2</v>
      </c>
      <c r="K138" s="25">
        <v>0</v>
      </c>
      <c r="L138" s="25">
        <v>0</v>
      </c>
      <c r="M138" s="25">
        <v>0</v>
      </c>
      <c r="N138" s="25">
        <v>0</v>
      </c>
      <c r="O138" s="25">
        <v>4.9180327868852458E-2</v>
      </c>
      <c r="P138" s="25">
        <v>0</v>
      </c>
      <c r="Q138" s="25">
        <v>3.2786885245901641E-2</v>
      </c>
      <c r="R138" s="25">
        <v>0</v>
      </c>
      <c r="S138" s="25">
        <v>0</v>
      </c>
      <c r="T138" s="25">
        <v>0</v>
      </c>
      <c r="U138" s="25">
        <v>8.1967213114754106E-2</v>
      </c>
      <c r="V138" s="25"/>
      <c r="W138" s="26"/>
      <c r="X138" s="23" t="s">
        <v>209</v>
      </c>
      <c r="Y138" s="29"/>
      <c r="Z138" s="23"/>
      <c r="AA138" s="27"/>
      <c r="AB138" s="23" t="s">
        <v>209</v>
      </c>
      <c r="AC138" s="29"/>
      <c r="AD138" s="29"/>
      <c r="AE138" s="39"/>
    </row>
  </sheetData>
  <mergeCells count="15">
    <mergeCell ref="A1:D1"/>
    <mergeCell ref="A2:D2"/>
    <mergeCell ref="A3:D3"/>
    <mergeCell ref="E3:H3"/>
    <mergeCell ref="I3:L3"/>
    <mergeCell ref="Y3:AB3"/>
    <mergeCell ref="AC3:AE3"/>
    <mergeCell ref="W5:AE5"/>
    <mergeCell ref="A4:V4"/>
    <mergeCell ref="J5:M5"/>
    <mergeCell ref="N5:Q5"/>
    <mergeCell ref="R5:U5"/>
    <mergeCell ref="M3:P3"/>
    <mergeCell ref="Q3:T3"/>
    <mergeCell ref="U3:X3"/>
  </mergeCells>
  <conditionalFormatting sqref="AE7">
    <cfRule type="cellIs" dxfId="0" priority="1" stopIfTrue="1" operator="equal">
      <formula>0</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BC1C2-914A-4927-AD2C-B839FA28242B}">
  <dimension ref="A1:F19"/>
  <sheetViews>
    <sheetView workbookViewId="0">
      <selection sqref="A1:F1"/>
    </sheetView>
  </sheetViews>
  <sheetFormatPr defaultRowHeight="14.5" x14ac:dyDescent="0.35"/>
  <cols>
    <col min="1" max="1" width="45.54296875" customWidth="1"/>
    <col min="2" max="2" width="19" customWidth="1"/>
  </cols>
  <sheetData>
    <row r="1" spans="1:6" ht="26" x14ac:dyDescent="0.35">
      <c r="A1" s="165" t="s">
        <v>48</v>
      </c>
      <c r="B1" s="165"/>
      <c r="C1" s="165"/>
      <c r="D1" s="165"/>
      <c r="E1" s="165"/>
      <c r="F1" s="165"/>
    </row>
    <row r="3" spans="1:6" x14ac:dyDescent="0.35">
      <c r="A3" s="176" t="s">
        <v>641</v>
      </c>
      <c r="B3" s="212"/>
      <c r="C3" s="212"/>
      <c r="D3" s="212"/>
      <c r="E3" s="212"/>
    </row>
    <row r="4" spans="1:6" x14ac:dyDescent="0.35">
      <c r="A4" s="144" t="s">
        <v>640</v>
      </c>
      <c r="B4" s="144" t="s">
        <v>546</v>
      </c>
    </row>
    <row r="5" spans="1:6" ht="15" thickBot="1" x14ac:dyDescent="0.4">
      <c r="A5" s="152" t="s">
        <v>639</v>
      </c>
      <c r="B5" s="151">
        <v>17</v>
      </c>
    </row>
    <row r="6" spans="1:6" ht="15" thickTop="1" x14ac:dyDescent="0.35">
      <c r="A6" s="148" t="s">
        <v>638</v>
      </c>
      <c r="B6" s="150">
        <v>6</v>
      </c>
    </row>
    <row r="7" spans="1:6" x14ac:dyDescent="0.35">
      <c r="A7" s="149" t="s">
        <v>637</v>
      </c>
      <c r="B7" s="145">
        <v>1</v>
      </c>
    </row>
    <row r="8" spans="1:6" x14ac:dyDescent="0.35">
      <c r="A8" s="149" t="s">
        <v>636</v>
      </c>
      <c r="B8" s="145">
        <v>5</v>
      </c>
    </row>
    <row r="9" spans="1:6" x14ac:dyDescent="0.35">
      <c r="A9" s="148" t="s">
        <v>635</v>
      </c>
      <c r="B9" s="148">
        <v>6</v>
      </c>
    </row>
    <row r="10" spans="1:6" x14ac:dyDescent="0.35">
      <c r="A10" s="147" t="s">
        <v>634</v>
      </c>
      <c r="B10" s="146">
        <v>1</v>
      </c>
    </row>
    <row r="11" spans="1:6" x14ac:dyDescent="0.35">
      <c r="A11" s="147" t="s">
        <v>633</v>
      </c>
      <c r="B11" s="146">
        <v>2</v>
      </c>
    </row>
    <row r="12" spans="1:6" x14ac:dyDescent="0.35">
      <c r="A12" s="147" t="s">
        <v>632</v>
      </c>
      <c r="B12" s="146">
        <v>1</v>
      </c>
    </row>
    <row r="13" spans="1:6" x14ac:dyDescent="0.35">
      <c r="A13" s="147" t="s">
        <v>631</v>
      </c>
      <c r="B13" s="146">
        <v>1</v>
      </c>
    </row>
    <row r="14" spans="1:6" x14ac:dyDescent="0.35">
      <c r="A14" s="147" t="s">
        <v>630</v>
      </c>
      <c r="B14" s="146">
        <v>1</v>
      </c>
    </row>
    <row r="16" spans="1:6" x14ac:dyDescent="0.35">
      <c r="A16" s="213" t="s">
        <v>629</v>
      </c>
      <c r="B16" s="213"/>
    </row>
    <row r="17" spans="1:2" x14ac:dyDescent="0.35">
      <c r="A17" s="213"/>
      <c r="B17" s="213"/>
    </row>
    <row r="18" spans="1:2" x14ac:dyDescent="0.35">
      <c r="A18" s="213"/>
      <c r="B18" s="213"/>
    </row>
    <row r="19" spans="1:2" x14ac:dyDescent="0.35">
      <c r="A19" s="213"/>
      <c r="B19" s="213"/>
    </row>
  </sheetData>
  <mergeCells count="3">
    <mergeCell ref="A1:F1"/>
    <mergeCell ref="A3:E3"/>
    <mergeCell ref="A16:B19"/>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12F63-9269-48C6-985F-A14894B25CE1}">
  <sheetPr>
    <pageSetUpPr fitToPage="1"/>
  </sheetPr>
  <dimension ref="A1:AE115"/>
  <sheetViews>
    <sheetView showGridLines="0" zoomScale="80" zoomScaleNormal="80" workbookViewId="0">
      <selection sqref="A1:D1"/>
    </sheetView>
  </sheetViews>
  <sheetFormatPr defaultRowHeight="14.5" x14ac:dyDescent="0.35"/>
  <cols>
    <col min="1" max="1" width="26.54296875" style="6" customWidth="1"/>
    <col min="2" max="2" width="151.453125" style="6" customWidth="1"/>
    <col min="3" max="5" width="8.54296875" customWidth="1"/>
    <col min="6" max="6" width="8.54296875" bestFit="1" customWidth="1"/>
    <col min="7" max="7" width="10.453125" customWidth="1"/>
    <col min="8" max="8" width="9" bestFit="1" customWidth="1"/>
    <col min="9" max="9" width="7.54296875" bestFit="1" customWidth="1"/>
    <col min="11" max="11" width="7.54296875" bestFit="1" customWidth="1"/>
    <col min="12" max="12" width="9" bestFit="1" customWidth="1"/>
    <col min="13" max="13" width="7.54296875" customWidth="1"/>
    <col min="26" max="26" width="10.54296875" bestFit="1" customWidth="1"/>
  </cols>
  <sheetData>
    <row r="1" spans="1:31" s="10" customFormat="1" ht="26" x14ac:dyDescent="0.35">
      <c r="A1" s="165" t="s">
        <v>48</v>
      </c>
      <c r="B1" s="165"/>
      <c r="C1" s="165"/>
      <c r="D1" s="165"/>
      <c r="E1" s="30"/>
      <c r="F1" s="30"/>
      <c r="G1" s="30"/>
      <c r="H1" s="30"/>
      <c r="I1" s="30"/>
      <c r="J1" s="30"/>
      <c r="K1" s="30"/>
      <c r="L1" s="30"/>
      <c r="M1" s="30"/>
      <c r="N1" s="30"/>
      <c r="O1" s="30"/>
      <c r="P1" s="30"/>
      <c r="Q1" s="30"/>
      <c r="R1" s="30"/>
      <c r="S1" s="30"/>
      <c r="T1" s="30"/>
      <c r="U1" s="30"/>
      <c r="V1" s="30"/>
      <c r="W1" s="30"/>
      <c r="X1" s="30"/>
      <c r="Y1" s="30"/>
      <c r="Z1" s="30"/>
      <c r="AA1" s="30"/>
      <c r="AB1" s="30"/>
      <c r="AC1" s="30"/>
      <c r="AD1" s="30"/>
      <c r="AE1" s="30"/>
    </row>
    <row r="2" spans="1:31" s="10" customFormat="1" ht="74.25" customHeight="1" x14ac:dyDescent="0.35">
      <c r="A2" s="166" t="s">
        <v>49</v>
      </c>
      <c r="B2" s="166"/>
      <c r="C2" s="166"/>
      <c r="D2" s="166"/>
      <c r="E2" s="30"/>
      <c r="F2" s="30"/>
      <c r="G2" s="30"/>
      <c r="H2" s="30"/>
      <c r="I2" s="30"/>
      <c r="J2" s="30"/>
      <c r="K2" s="30"/>
      <c r="L2" s="30"/>
      <c r="M2" s="30"/>
      <c r="N2" s="30"/>
      <c r="O2" s="30"/>
      <c r="P2" s="30"/>
      <c r="Q2" s="30"/>
      <c r="R2" s="30"/>
      <c r="S2" s="30"/>
      <c r="T2" s="30"/>
      <c r="U2" s="30"/>
      <c r="V2" s="30"/>
      <c r="W2" s="30"/>
      <c r="X2" s="30"/>
      <c r="Y2" s="30"/>
      <c r="Z2" s="30"/>
      <c r="AA2" s="30"/>
      <c r="AB2" s="30"/>
      <c r="AC2" s="30"/>
      <c r="AD2" s="30"/>
      <c r="AE2" s="30"/>
    </row>
    <row r="3" spans="1:31" s="10" customFormat="1" ht="48.65" customHeight="1" thickBot="1" x14ac:dyDescent="0.4">
      <c r="A3" s="63" t="s">
        <v>577</v>
      </c>
      <c r="B3" s="63"/>
      <c r="C3" s="66"/>
      <c r="D3" s="66"/>
      <c r="E3" s="214"/>
      <c r="F3" s="214"/>
      <c r="G3" s="214"/>
      <c r="H3" s="214"/>
      <c r="I3" s="214"/>
      <c r="J3" s="214"/>
      <c r="K3" s="214"/>
      <c r="L3" s="214"/>
      <c r="M3" s="214"/>
      <c r="N3" s="214"/>
      <c r="O3" s="214"/>
      <c r="P3" s="214"/>
      <c r="Q3" s="214"/>
      <c r="R3" s="214"/>
      <c r="S3" s="214"/>
      <c r="T3" s="214"/>
      <c r="U3" s="214"/>
      <c r="V3" s="214"/>
      <c r="W3" s="214"/>
      <c r="X3" s="214"/>
      <c r="Y3" s="214"/>
      <c r="Z3" s="214"/>
      <c r="AA3" s="214"/>
      <c r="AB3" s="214"/>
      <c r="AC3" s="214"/>
      <c r="AD3" s="214"/>
      <c r="AE3" s="214"/>
    </row>
    <row r="4" spans="1:31" ht="18" x14ac:dyDescent="0.35">
      <c r="A4" s="129" t="s">
        <v>118</v>
      </c>
      <c r="B4" s="130" t="s">
        <v>119</v>
      </c>
    </row>
    <row r="5" spans="1:31" ht="15.5" x14ac:dyDescent="0.35">
      <c r="A5" s="162" t="s">
        <v>50</v>
      </c>
      <c r="B5" s="131" t="s">
        <v>51</v>
      </c>
    </row>
    <row r="6" spans="1:31" ht="15.5" x14ac:dyDescent="0.35">
      <c r="A6" s="162" t="s">
        <v>52</v>
      </c>
      <c r="B6" s="131" t="s">
        <v>53</v>
      </c>
    </row>
    <row r="7" spans="1:31" ht="15.5" x14ac:dyDescent="0.35">
      <c r="A7" s="162" t="s">
        <v>54</v>
      </c>
      <c r="B7" s="131" t="s">
        <v>55</v>
      </c>
    </row>
    <row r="8" spans="1:31" ht="15.5" x14ac:dyDescent="0.35">
      <c r="A8" s="162" t="s">
        <v>56</v>
      </c>
      <c r="B8" s="131" t="s">
        <v>57</v>
      </c>
    </row>
    <row r="9" spans="1:31" ht="15.5" x14ac:dyDescent="0.35">
      <c r="A9" s="162" t="s">
        <v>4</v>
      </c>
      <c r="B9" s="131" t="s">
        <v>58</v>
      </c>
    </row>
    <row r="10" spans="1:31" ht="15.5" x14ac:dyDescent="0.35">
      <c r="A10" s="162" t="s">
        <v>59</v>
      </c>
      <c r="B10" s="131" t="s">
        <v>60</v>
      </c>
    </row>
    <row r="11" spans="1:31" ht="15.5" x14ac:dyDescent="0.35">
      <c r="A11" s="162" t="s">
        <v>61</v>
      </c>
      <c r="B11" s="131" t="s">
        <v>62</v>
      </c>
    </row>
    <row r="12" spans="1:31" ht="15.5" x14ac:dyDescent="0.35">
      <c r="A12" s="162" t="s">
        <v>63</v>
      </c>
      <c r="B12" s="131" t="s">
        <v>64</v>
      </c>
      <c r="Z12" s="65"/>
    </row>
    <row r="13" spans="1:31" ht="46.5" x14ac:dyDescent="0.35">
      <c r="A13" s="162" t="s">
        <v>65</v>
      </c>
      <c r="B13" s="131" t="s">
        <v>66</v>
      </c>
    </row>
    <row r="14" spans="1:31" ht="46.5" x14ac:dyDescent="0.35">
      <c r="A14" s="162" t="s">
        <v>68</v>
      </c>
      <c r="B14" s="131" t="s">
        <v>69</v>
      </c>
    </row>
    <row r="15" spans="1:31" ht="15.5" x14ac:dyDescent="0.35">
      <c r="A15" s="162" t="s">
        <v>70</v>
      </c>
      <c r="B15" s="131" t="s">
        <v>71</v>
      </c>
    </row>
    <row r="16" spans="1:31" ht="47.25" customHeight="1" x14ac:dyDescent="0.35">
      <c r="A16" s="217" t="s">
        <v>72</v>
      </c>
      <c r="B16" s="131" t="s">
        <v>73</v>
      </c>
    </row>
    <row r="17" spans="1:2" ht="46.5" x14ac:dyDescent="0.35">
      <c r="A17" s="217"/>
      <c r="B17" s="131" t="s">
        <v>74</v>
      </c>
    </row>
    <row r="18" spans="1:2" ht="47.15" customHeight="1" x14ac:dyDescent="0.35">
      <c r="A18" s="215" t="s">
        <v>584</v>
      </c>
      <c r="B18" s="131" t="s">
        <v>585</v>
      </c>
    </row>
    <row r="19" spans="1:2" ht="46.5" x14ac:dyDescent="0.35">
      <c r="A19" s="216"/>
      <c r="B19" s="131" t="s">
        <v>586</v>
      </c>
    </row>
    <row r="20" spans="1:2" ht="31" x14ac:dyDescent="0.35">
      <c r="A20" s="162" t="s">
        <v>75</v>
      </c>
      <c r="B20" s="131" t="s">
        <v>827</v>
      </c>
    </row>
    <row r="21" spans="1:2" ht="15.5" x14ac:dyDescent="0.35">
      <c r="A21" s="162" t="s">
        <v>76</v>
      </c>
      <c r="B21" s="131" t="s">
        <v>77</v>
      </c>
    </row>
    <row r="22" spans="1:2" ht="15.5" x14ac:dyDescent="0.35">
      <c r="A22" s="162" t="s">
        <v>78</v>
      </c>
      <c r="B22" s="131" t="s">
        <v>79</v>
      </c>
    </row>
    <row r="23" spans="1:2" ht="15.5" x14ac:dyDescent="0.35">
      <c r="A23" s="162" t="s">
        <v>80</v>
      </c>
      <c r="B23" s="131" t="s">
        <v>81</v>
      </c>
    </row>
    <row r="24" spans="1:2" ht="46.5" x14ac:dyDescent="0.35">
      <c r="A24" s="162" t="s">
        <v>82</v>
      </c>
      <c r="B24" s="131" t="s">
        <v>83</v>
      </c>
    </row>
    <row r="25" spans="1:2" ht="31" x14ac:dyDescent="0.35">
      <c r="A25" s="162" t="s">
        <v>84</v>
      </c>
      <c r="B25" s="131" t="s">
        <v>85</v>
      </c>
    </row>
    <row r="26" spans="1:2" ht="15.5" x14ac:dyDescent="0.35">
      <c r="A26" s="162" t="s">
        <v>86</v>
      </c>
      <c r="B26" s="131" t="s">
        <v>87</v>
      </c>
    </row>
    <row r="27" spans="1:2" ht="15.5" x14ac:dyDescent="0.35">
      <c r="A27" s="162" t="s">
        <v>88</v>
      </c>
      <c r="B27" s="131" t="s">
        <v>89</v>
      </c>
    </row>
    <row r="28" spans="1:2" ht="15.5" x14ac:dyDescent="0.35">
      <c r="A28" s="162" t="s">
        <v>90</v>
      </c>
      <c r="B28" s="131" t="s">
        <v>91</v>
      </c>
    </row>
    <row r="29" spans="1:2" ht="31" x14ac:dyDescent="0.35">
      <c r="A29" s="162" t="s">
        <v>92</v>
      </c>
      <c r="B29" s="131" t="s">
        <v>93</v>
      </c>
    </row>
    <row r="30" spans="1:2" ht="15.5" x14ac:dyDescent="0.35">
      <c r="A30" s="162" t="s">
        <v>94</v>
      </c>
      <c r="B30" s="131" t="s">
        <v>95</v>
      </c>
    </row>
    <row r="31" spans="1:2" ht="15.5" x14ac:dyDescent="0.35">
      <c r="A31" s="162" t="s">
        <v>2</v>
      </c>
      <c r="B31" s="131" t="s">
        <v>96</v>
      </c>
    </row>
    <row r="32" spans="1:2" ht="31" x14ac:dyDescent="0.35">
      <c r="A32" s="162" t="s">
        <v>616</v>
      </c>
      <c r="B32" s="131" t="s">
        <v>97</v>
      </c>
    </row>
    <row r="33" spans="1:2" ht="15.5" x14ac:dyDescent="0.35">
      <c r="A33" s="162" t="s">
        <v>3</v>
      </c>
      <c r="B33" s="131" t="s">
        <v>98</v>
      </c>
    </row>
    <row r="34" spans="1:2" ht="31" x14ac:dyDescent="0.35">
      <c r="A34" s="162" t="s">
        <v>100</v>
      </c>
      <c r="B34" s="131" t="s">
        <v>101</v>
      </c>
    </row>
    <row r="35" spans="1:2" ht="15.5" x14ac:dyDescent="0.35">
      <c r="A35" s="162" t="s">
        <v>102</v>
      </c>
      <c r="B35" s="131" t="s">
        <v>103</v>
      </c>
    </row>
    <row r="36" spans="1:2" ht="31" x14ac:dyDescent="0.35">
      <c r="A36" s="162" t="s">
        <v>104</v>
      </c>
      <c r="B36" s="131" t="s">
        <v>105</v>
      </c>
    </row>
    <row r="37" spans="1:2" ht="15.5" x14ac:dyDescent="0.35">
      <c r="A37" s="162" t="s">
        <v>106</v>
      </c>
      <c r="B37" s="131" t="s">
        <v>587</v>
      </c>
    </row>
    <row r="38" spans="1:2" ht="15.5" x14ac:dyDescent="0.35">
      <c r="A38" s="162" t="s">
        <v>23</v>
      </c>
      <c r="B38" s="131" t="s">
        <v>588</v>
      </c>
    </row>
    <row r="39" spans="1:2" ht="15.5" x14ac:dyDescent="0.35">
      <c r="A39" s="217" t="s">
        <v>107</v>
      </c>
      <c r="B39" s="131" t="s">
        <v>108</v>
      </c>
    </row>
    <row r="40" spans="1:2" ht="15.5" x14ac:dyDescent="0.35">
      <c r="A40" s="217"/>
      <c r="B40" s="131" t="s">
        <v>109</v>
      </c>
    </row>
    <row r="41" spans="1:2" ht="46.5" x14ac:dyDescent="0.35">
      <c r="A41" s="217"/>
      <c r="B41" s="131" t="s">
        <v>110</v>
      </c>
    </row>
    <row r="42" spans="1:2" ht="15.5" x14ac:dyDescent="0.35">
      <c r="A42" s="217"/>
      <c r="B42" s="131" t="s">
        <v>111</v>
      </c>
    </row>
    <row r="43" spans="1:2" ht="46.5" x14ac:dyDescent="0.35">
      <c r="A43" s="217"/>
      <c r="B43" s="131" t="s">
        <v>112</v>
      </c>
    </row>
    <row r="44" spans="1:2" ht="15.5" x14ac:dyDescent="0.35">
      <c r="A44" s="217"/>
      <c r="B44" s="131" t="s">
        <v>113</v>
      </c>
    </row>
    <row r="45" spans="1:2" ht="31" x14ac:dyDescent="0.35">
      <c r="A45" s="217"/>
      <c r="B45" s="131" t="s">
        <v>114</v>
      </c>
    </row>
    <row r="46" spans="1:2" ht="31" x14ac:dyDescent="0.35">
      <c r="A46" s="217"/>
      <c r="B46" s="131" t="s">
        <v>115</v>
      </c>
    </row>
    <row r="47" spans="1:2" ht="15.5" x14ac:dyDescent="0.35">
      <c r="A47" s="162" t="s">
        <v>116</v>
      </c>
      <c r="B47" s="131" t="s">
        <v>117</v>
      </c>
    </row>
    <row r="48" spans="1:2" ht="31" x14ac:dyDescent="0.35">
      <c r="A48" s="215" t="s">
        <v>607</v>
      </c>
      <c r="B48" s="131" t="s">
        <v>589</v>
      </c>
    </row>
    <row r="49" spans="1:2" ht="15.5" x14ac:dyDescent="0.35">
      <c r="A49" s="221"/>
      <c r="B49" s="131" t="s">
        <v>590</v>
      </c>
    </row>
    <row r="50" spans="1:2" ht="15.5" x14ac:dyDescent="0.35">
      <c r="A50" s="216"/>
      <c r="B50" s="131" t="s">
        <v>591</v>
      </c>
    </row>
    <row r="51" spans="1:2" ht="15.75" customHeight="1" x14ac:dyDescent="0.35">
      <c r="A51" s="218" t="s">
        <v>828</v>
      </c>
      <c r="B51" s="132" t="s">
        <v>829</v>
      </c>
    </row>
    <row r="52" spans="1:2" ht="15.5" x14ac:dyDescent="0.35">
      <c r="A52" s="219"/>
      <c r="B52" s="131" t="s">
        <v>592</v>
      </c>
    </row>
    <row r="53" spans="1:2" ht="35.5" customHeight="1" x14ac:dyDescent="0.35">
      <c r="A53" s="219"/>
      <c r="B53" s="131" t="s">
        <v>593</v>
      </c>
    </row>
    <row r="54" spans="1:2" ht="86.25" customHeight="1" x14ac:dyDescent="0.35">
      <c r="A54" s="219"/>
      <c r="B54" s="131" t="s">
        <v>830</v>
      </c>
    </row>
    <row r="55" spans="1:2" ht="87.65" customHeight="1" x14ac:dyDescent="0.35">
      <c r="A55" s="219"/>
      <c r="B55" s="131" t="s">
        <v>612</v>
      </c>
    </row>
    <row r="56" spans="1:2" ht="31" x14ac:dyDescent="0.35">
      <c r="A56" s="219"/>
      <c r="B56" s="131" t="s">
        <v>594</v>
      </c>
    </row>
    <row r="57" spans="1:2" ht="77.5" x14ac:dyDescent="0.35">
      <c r="A57" s="219"/>
      <c r="B57" s="131" t="s">
        <v>608</v>
      </c>
    </row>
    <row r="58" spans="1:2" ht="15.5" x14ac:dyDescent="0.35">
      <c r="A58" s="219"/>
      <c r="B58" s="131" t="s">
        <v>595</v>
      </c>
    </row>
    <row r="59" spans="1:2" ht="31" x14ac:dyDescent="0.35">
      <c r="A59" s="219"/>
      <c r="B59" s="131" t="s">
        <v>831</v>
      </c>
    </row>
    <row r="60" spans="1:2" ht="31" x14ac:dyDescent="0.35">
      <c r="A60" s="220"/>
      <c r="B60" s="131" t="s">
        <v>596</v>
      </c>
    </row>
    <row r="61" spans="1:2" ht="15.5" x14ac:dyDescent="0.35">
      <c r="A61" s="215" t="s">
        <v>832</v>
      </c>
      <c r="B61" s="132" t="s">
        <v>833</v>
      </c>
    </row>
    <row r="62" spans="1:2" ht="31" x14ac:dyDescent="0.35">
      <c r="A62" s="221"/>
      <c r="B62" s="131" t="s">
        <v>597</v>
      </c>
    </row>
    <row r="63" spans="1:2" ht="15.5" x14ac:dyDescent="0.35">
      <c r="A63" s="221"/>
      <c r="B63" s="131" t="s">
        <v>598</v>
      </c>
    </row>
    <row r="64" spans="1:2" ht="15.5" x14ac:dyDescent="0.35">
      <c r="A64" s="221"/>
      <c r="B64" s="131" t="s">
        <v>599</v>
      </c>
    </row>
    <row r="65" spans="1:2" ht="77.5" x14ac:dyDescent="0.35">
      <c r="A65" s="221"/>
      <c r="B65" s="131" t="s">
        <v>611</v>
      </c>
    </row>
    <row r="66" spans="1:2" ht="50.15" customHeight="1" x14ac:dyDescent="0.35">
      <c r="A66" s="216"/>
      <c r="B66" s="131" t="s">
        <v>596</v>
      </c>
    </row>
    <row r="67" spans="1:2" ht="15.5" x14ac:dyDescent="0.35">
      <c r="A67" s="215" t="s">
        <v>834</v>
      </c>
      <c r="B67" s="132" t="s">
        <v>835</v>
      </c>
    </row>
    <row r="68" spans="1:2" ht="15.5" x14ac:dyDescent="0.35">
      <c r="A68" s="221"/>
      <c r="B68" s="131" t="s">
        <v>600</v>
      </c>
    </row>
    <row r="69" spans="1:2" ht="50.5" customHeight="1" x14ac:dyDescent="0.35">
      <c r="A69" s="221"/>
      <c r="B69" s="131" t="s">
        <v>836</v>
      </c>
    </row>
    <row r="70" spans="1:2" ht="62" x14ac:dyDescent="0.35">
      <c r="A70" s="221"/>
      <c r="B70" s="131" t="s">
        <v>837</v>
      </c>
    </row>
    <row r="71" spans="1:2" ht="31" x14ac:dyDescent="0.35">
      <c r="A71" s="216"/>
      <c r="B71" s="131" t="s">
        <v>596</v>
      </c>
    </row>
    <row r="72" spans="1:2" ht="30" customHeight="1" x14ac:dyDescent="0.35">
      <c r="A72" s="161" t="s">
        <v>613</v>
      </c>
      <c r="B72" s="132" t="s">
        <v>838</v>
      </c>
    </row>
    <row r="73" spans="1:2" ht="15.5" x14ac:dyDescent="0.35">
      <c r="A73" s="161"/>
      <c r="B73" s="131" t="s">
        <v>601</v>
      </c>
    </row>
    <row r="74" spans="1:2" ht="83.5" customHeight="1" x14ac:dyDescent="0.35">
      <c r="A74" s="133"/>
      <c r="B74" s="131" t="s">
        <v>611</v>
      </c>
    </row>
    <row r="75" spans="1:2" ht="77.5" x14ac:dyDescent="0.35">
      <c r="A75" s="134"/>
      <c r="B75" s="132" t="s">
        <v>608</v>
      </c>
    </row>
    <row r="76" spans="1:2" ht="15.5" x14ac:dyDescent="0.35">
      <c r="A76" s="134"/>
      <c r="B76" s="131" t="s">
        <v>595</v>
      </c>
    </row>
    <row r="77" spans="1:2" ht="31" x14ac:dyDescent="0.35">
      <c r="A77" s="134"/>
      <c r="B77" s="131" t="s">
        <v>839</v>
      </c>
    </row>
    <row r="78" spans="1:2" ht="31" x14ac:dyDescent="0.35">
      <c r="A78" s="135"/>
      <c r="B78" s="131" t="s">
        <v>609</v>
      </c>
    </row>
    <row r="79" spans="1:2" ht="15.5" x14ac:dyDescent="0.35">
      <c r="A79" s="134" t="s">
        <v>840</v>
      </c>
      <c r="B79" s="132" t="s">
        <v>829</v>
      </c>
    </row>
    <row r="80" spans="1:2" ht="15.5" x14ac:dyDescent="0.35">
      <c r="A80" s="134"/>
      <c r="B80" s="131" t="s">
        <v>601</v>
      </c>
    </row>
    <row r="81" spans="1:2" ht="31" x14ac:dyDescent="0.35">
      <c r="A81" s="134"/>
      <c r="B81" s="131" t="s">
        <v>594</v>
      </c>
    </row>
    <row r="82" spans="1:2" ht="15.5" x14ac:dyDescent="0.35">
      <c r="A82" s="134"/>
      <c r="B82" s="131" t="s">
        <v>602</v>
      </c>
    </row>
    <row r="83" spans="1:2" ht="46.5" x14ac:dyDescent="0.35">
      <c r="A83" s="133"/>
      <c r="B83" s="131" t="s">
        <v>603</v>
      </c>
    </row>
    <row r="84" spans="1:2" ht="31" x14ac:dyDescent="0.35">
      <c r="A84" s="133"/>
      <c r="B84" s="131" t="s">
        <v>604</v>
      </c>
    </row>
    <row r="85" spans="1:2" ht="15.5" x14ac:dyDescent="0.35">
      <c r="A85" s="133"/>
      <c r="B85" s="131" t="s">
        <v>605</v>
      </c>
    </row>
    <row r="86" spans="1:2" ht="15.5" x14ac:dyDescent="0.35">
      <c r="A86" s="133"/>
      <c r="B86" s="131" t="s">
        <v>595</v>
      </c>
    </row>
    <row r="87" spans="1:2" ht="77.5" x14ac:dyDescent="0.35">
      <c r="A87" s="133"/>
      <c r="B87" s="131" t="s">
        <v>611</v>
      </c>
    </row>
    <row r="88" spans="1:2" ht="15.5" x14ac:dyDescent="0.35">
      <c r="A88" s="136"/>
      <c r="B88" s="131" t="s">
        <v>841</v>
      </c>
    </row>
    <row r="89" spans="1:2" ht="15.65" customHeight="1" x14ac:dyDescent="0.35">
      <c r="A89" s="320" t="s">
        <v>619</v>
      </c>
      <c r="B89" s="137" t="s">
        <v>842</v>
      </c>
    </row>
    <row r="90" spans="1:2" ht="15.5" x14ac:dyDescent="0.35">
      <c r="A90" s="320"/>
      <c r="B90" s="137" t="s">
        <v>843</v>
      </c>
    </row>
    <row r="91" spans="1:2" ht="15.5" x14ac:dyDescent="0.35">
      <c r="A91" s="320"/>
      <c r="B91" s="138" t="s">
        <v>601</v>
      </c>
    </row>
    <row r="92" spans="1:2" ht="15.5" x14ac:dyDescent="0.35">
      <c r="A92" s="320"/>
      <c r="B92" s="137" t="s">
        <v>844</v>
      </c>
    </row>
    <row r="93" spans="1:2" ht="77.5" x14ac:dyDescent="0.35">
      <c r="A93" s="320"/>
      <c r="B93" s="138" t="s">
        <v>845</v>
      </c>
    </row>
    <row r="94" spans="1:2" ht="31" x14ac:dyDescent="0.35">
      <c r="A94" s="320"/>
      <c r="B94" s="138" t="s">
        <v>614</v>
      </c>
    </row>
    <row r="95" spans="1:2" ht="46.5" x14ac:dyDescent="0.35">
      <c r="A95" s="320"/>
      <c r="B95" s="137" t="s">
        <v>846</v>
      </c>
    </row>
    <row r="96" spans="1:2" ht="31" x14ac:dyDescent="0.35">
      <c r="A96" s="320"/>
      <c r="B96" s="138" t="s">
        <v>847</v>
      </c>
    </row>
    <row r="97" spans="1:2" ht="139.5" x14ac:dyDescent="0.35">
      <c r="A97" s="320"/>
      <c r="B97" s="137" t="s">
        <v>848</v>
      </c>
    </row>
    <row r="98" spans="1:2" ht="62" x14ac:dyDescent="0.35">
      <c r="A98" s="320"/>
      <c r="B98" s="138" t="s">
        <v>615</v>
      </c>
    </row>
    <row r="99" spans="1:2" ht="31" x14ac:dyDescent="0.35">
      <c r="A99" s="320" t="s">
        <v>849</v>
      </c>
      <c r="B99" s="321" t="s">
        <v>850</v>
      </c>
    </row>
    <row r="100" spans="1:2" ht="139.5" x14ac:dyDescent="0.35">
      <c r="A100" s="320"/>
      <c r="B100" s="322" t="s">
        <v>851</v>
      </c>
    </row>
    <row r="101" spans="1:2" ht="15.5" x14ac:dyDescent="0.35">
      <c r="A101" s="320"/>
      <c r="B101" s="321" t="s">
        <v>852</v>
      </c>
    </row>
    <row r="102" spans="1:2" ht="15.5" x14ac:dyDescent="0.35">
      <c r="A102" s="320"/>
      <c r="B102" s="323" t="s">
        <v>853</v>
      </c>
    </row>
    <row r="103" spans="1:2" ht="31" x14ac:dyDescent="0.35">
      <c r="A103" s="320"/>
      <c r="B103" s="324" t="s">
        <v>854</v>
      </c>
    </row>
    <row r="104" spans="1:2" ht="16" thickBot="1" x14ac:dyDescent="0.4">
      <c r="A104" s="325"/>
      <c r="B104" s="326" t="s">
        <v>855</v>
      </c>
    </row>
    <row r="107" spans="1:2" ht="15" x14ac:dyDescent="0.35">
      <c r="B107" s="327"/>
    </row>
    <row r="108" spans="1:2" ht="15.5" x14ac:dyDescent="0.35">
      <c r="B108" s="328"/>
    </row>
    <row r="109" spans="1:2" ht="16" x14ac:dyDescent="0.35">
      <c r="B109" s="329"/>
    </row>
    <row r="110" spans="1:2" ht="15.5" x14ac:dyDescent="0.35">
      <c r="B110" s="328"/>
    </row>
    <row r="111" spans="1:2" ht="16" x14ac:dyDescent="0.35">
      <c r="B111" s="329"/>
    </row>
    <row r="112" spans="1:2" ht="15.5" x14ac:dyDescent="0.35">
      <c r="B112" s="328"/>
    </row>
    <row r="113" spans="2:2" ht="16" x14ac:dyDescent="0.35">
      <c r="B113" s="329"/>
    </row>
    <row r="114" spans="2:2" ht="15.5" x14ac:dyDescent="0.35">
      <c r="B114" s="328"/>
    </row>
    <row r="115" spans="2:2" ht="16" x14ac:dyDescent="0.35">
      <c r="B115" s="329"/>
    </row>
  </sheetData>
  <mergeCells count="18">
    <mergeCell ref="A48:A50"/>
    <mergeCell ref="A51:A60"/>
    <mergeCell ref="A61:A66"/>
    <mergeCell ref="A67:A71"/>
    <mergeCell ref="A89:A98"/>
    <mergeCell ref="A99:A104"/>
    <mergeCell ref="U3:X3"/>
    <mergeCell ref="Y3:AB3"/>
    <mergeCell ref="AC3:AE3"/>
    <mergeCell ref="A16:A17"/>
    <mergeCell ref="A18:A19"/>
    <mergeCell ref="A39:A46"/>
    <mergeCell ref="A1:D1"/>
    <mergeCell ref="A2:D2"/>
    <mergeCell ref="E3:H3"/>
    <mergeCell ref="I3:L3"/>
    <mergeCell ref="M3:P3"/>
    <mergeCell ref="Q3:T3"/>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7F57B024AAA2849AD5D4D6F3B5DAC10" ma:contentTypeVersion="10" ma:contentTypeDescription="Create a new document." ma:contentTypeScope="" ma:versionID="42595b092136b02773741809332009bc">
  <xsd:schema xmlns:xsd="http://www.w3.org/2001/XMLSchema" xmlns:xs="http://www.w3.org/2001/XMLSchema" xmlns:p="http://schemas.microsoft.com/office/2006/metadata/properties" xmlns:ns2="4fb1db5d-19c2-4c8a-82e5-c8fdf1b06038" targetNamespace="http://schemas.microsoft.com/office/2006/metadata/properties" ma:root="true" ma:fieldsID="1709c59da27f89f77c362d0f9a22c9b6" ns2:_="">
    <xsd:import namespace="4fb1db5d-19c2-4c8a-82e5-c8fdf1b0603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1db5d-19c2-4c8a-82e5-c8fdf1b06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A08AC0-783C-4C1B-927A-AB27E36B29B1}">
  <ds:schemaRefs>
    <ds:schemaRef ds:uri="http://purl.org/dc/elements/1.1/"/>
    <ds:schemaRef ds:uri="4fb1db5d-19c2-4c8a-82e5-c8fdf1b06038"/>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3.xml><?xml version="1.0" encoding="utf-8"?>
<ds:datastoreItem xmlns:ds="http://schemas.openxmlformats.org/officeDocument/2006/customXml" ds:itemID="{B8E07FF2-3C7B-4638-8CCB-7D34BC5C5D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b1db5d-19c2-4c8a-82e5-c8fdf1b060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Header</vt:lpstr>
      <vt:lpstr>ATD FY22 YTD</vt:lpstr>
      <vt:lpstr>Detention FY22</vt:lpstr>
      <vt:lpstr> ICLOS and Detainees</vt:lpstr>
      <vt:lpstr>Facilities FY22 YTD</vt:lpstr>
      <vt:lpstr>Trans. Detainee Pop. FY22 YTD </vt:lpstr>
      <vt:lpstr>Footnotes</vt:lpstr>
      <vt:lpstr>'Detention FY22'!Print_Area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Tyler M (CTR)</dc:creator>
  <cp:lastModifiedBy>Goins, Grant M (CTR)</cp:lastModifiedBy>
  <cp:lastPrinted>2020-02-10T19:14:43Z</cp:lastPrinted>
  <dcterms:created xsi:type="dcterms:W3CDTF">2020-01-31T18:40:16Z</dcterms:created>
  <dcterms:modified xsi:type="dcterms:W3CDTF">2021-12-09T16:41:06Z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0x01010027F57B024AAA2849AD5D4D6F3B5DAC10</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ies>
</file>