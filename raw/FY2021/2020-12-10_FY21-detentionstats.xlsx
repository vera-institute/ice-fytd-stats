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fileSharing readOnlyRecommended="1"/>
  <workbookPr defaultThemeVersion="166925"/>
  <mc:AlternateContent xmlns:mc="http://schemas.openxmlformats.org/markup-compatibility/2006">
    <mc:Choice Requires="x15">
      <x15ac:absPath xmlns:x15ac="http://schemas.microsoft.com/office/spreadsheetml/2010/11/ac" url="https://icegov-my.sharepoint.com/personal/0409776322_ice_dhs_gov/Documents/Documents/"/>
    </mc:Choice>
  </mc:AlternateContent>
  <xr:revisionPtr revIDLastSave="0" documentId="8_{67A75E98-1F3A-4EA2-8A4F-BB2EE6C43EFD}" xr6:coauthVersionLast="45" xr6:coauthVersionMax="45" xr10:uidLastSave="{00000000-0000-0000-0000-000000000000}"/>
  <bookViews>
    <workbookView xWindow="5475" yWindow="1950" windowWidth="28800" windowHeight="11385" tabRatio="668" activeTab="3" xr2:uid="{00000000-000D-0000-FFFF-FFFF00000000}"/>
  </bookViews>
  <sheets>
    <sheet name="Header" sheetId="9" r:id="rId1"/>
    <sheet name="ATD FY21 YTD" sheetId="13" r:id="rId2"/>
    <sheet name="Detention FY21 YTD" sheetId="3" r:id="rId3"/>
    <sheet name="Facilities FY21 YTD" sheetId="14" r:id="rId4"/>
    <sheet name="Footnotes" sheetId="4" r:id="rId5"/>
  </sheets>
  <definedNames>
    <definedName name="_xlnm.Print_Area" localSheetId="2">'Detention FY21 YTD'!$A$1:$V$94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9" i="3" l="1"/>
  <c r="D39" i="3"/>
  <c r="C39" i="3"/>
  <c r="B39" i="3"/>
  <c r="E23" i="3"/>
  <c r="E22" i="3"/>
  <c r="E21" i="3"/>
  <c r="E20" i="3"/>
  <c r="C23" i="3" l="1"/>
  <c r="C22" i="3"/>
  <c r="C21" i="3"/>
  <c r="C20" i="3"/>
</calcChain>
</file>

<file path=xl/sharedStrings.xml><?xml version="1.0" encoding="utf-8"?>
<sst xmlns="http://schemas.openxmlformats.org/spreadsheetml/2006/main" count="2707" uniqueCount="931">
  <si>
    <t>Other</t>
  </si>
  <si>
    <t>Total</t>
  </si>
  <si>
    <t>Order of Recognizance</t>
  </si>
  <si>
    <t>Order of Supervision</t>
  </si>
  <si>
    <t>ATD</t>
  </si>
  <si>
    <t>Male</t>
  </si>
  <si>
    <t>ADELANTO ICE PROCESSING CENTER</t>
  </si>
  <si>
    <t>ALLEN PARISH PUBLIC SAFETY COMPLEX</t>
  </si>
  <si>
    <t>BROWARD TRANSITIONAL CENTER</t>
  </si>
  <si>
    <t>ALEXANDRIA STAGING FACILITY</t>
  </si>
  <si>
    <t>Female</t>
  </si>
  <si>
    <t>EL VALLE DETENTION FACILITY</t>
  </si>
  <si>
    <t>BRAZIL</t>
  </si>
  <si>
    <t>FLORENCE STAGING FACILITY</t>
  </si>
  <si>
    <t>SENECA COUNTY JAIL</t>
  </si>
  <si>
    <t>RIO GRANDE DETENTION CENTER</t>
  </si>
  <si>
    <t>LA PALMA CORRECTIONAL CENTER</t>
  </si>
  <si>
    <t>LAREDO PROCESSING CENTER</t>
  </si>
  <si>
    <t>GLADES COUNTY DETENTION CENTER</t>
  </si>
  <si>
    <t>T DON HUTTO RESIDENTIAL CENTER</t>
  </si>
  <si>
    <t>SOUTH TEXAS ICE PROCESSING CENTER</t>
  </si>
  <si>
    <t>SHERBURNE COUNTY JAIL</t>
  </si>
  <si>
    <t>JACKSON PARISH CORRECTIONAL CENTER</t>
  </si>
  <si>
    <t>MONTGOMERY COUNTY JAIL</t>
  </si>
  <si>
    <t>MONROE COUNTY DETENTION-DORM</t>
  </si>
  <si>
    <t>ELIZABETH</t>
  </si>
  <si>
    <t>TR</t>
  </si>
  <si>
    <t>KARNES COUNTY RESIDENTIAL CENTER</t>
  </si>
  <si>
    <t>WEBB COUNTY DETENTION CENTER (CCA)</t>
  </si>
  <si>
    <t>ADAMS COUNTY DET CENTER</t>
  </si>
  <si>
    <t>HAMILTON</t>
  </si>
  <si>
    <t>ORANGE COUNTY JAIL</t>
  </si>
  <si>
    <t>MA</t>
  </si>
  <si>
    <t>MIA</t>
  </si>
  <si>
    <t>ALEXANDRIA</t>
  </si>
  <si>
    <t>NEVADA SOUTHERN DETENTION CENTER</t>
  </si>
  <si>
    <t>OKMULGEE COUNTY JAIL</t>
  </si>
  <si>
    <t>ELOY</t>
  </si>
  <si>
    <t>BERKS COUNTY FAMILY SHELTER</t>
  </si>
  <si>
    <t>TAYLOR</t>
  </si>
  <si>
    <t>CHI</t>
  </si>
  <si>
    <t>EDEN</t>
  </si>
  <si>
    <t>MD</t>
  </si>
  <si>
    <t>PINE PRAIRIE ICE PROCESSING CENTER</t>
  </si>
  <si>
    <t>IRWIN COUNTY DETENTION CENTER</t>
  </si>
  <si>
    <t>ALVARADO</t>
  </si>
  <si>
    <t>AURORA</t>
  </si>
  <si>
    <t>JEFFERSON COUNTY JAIL</t>
  </si>
  <si>
    <t>PINELLAS COUNTY JAIL</t>
  </si>
  <si>
    <t>GEAUGA COUNTY JAIL</t>
  </si>
  <si>
    <t>AL</t>
  </si>
  <si>
    <t>HENDERSON</t>
  </si>
  <si>
    <t>GUAYNABO MDC (SAN JUAN)</t>
  </si>
  <si>
    <t>BERGEN COUNTY JAIL</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</si>
  <si>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</si>
  <si>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</si>
  <si>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</si>
  <si>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</si>
  <si>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</si>
  <si>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</si>
  <si>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</si>
  <si>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</si>
  <si>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</si>
  <si>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</si>
  <si>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</si>
  <si>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</si>
  <si>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</si>
  <si>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</si>
  <si>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</si>
  <si>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</si>
  <si>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</si>
  <si>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</si>
  <si>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</si>
  <si>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</si>
  <si>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Convicted Criminal</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</si>
  <si>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</si>
  <si>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</si>
  <si>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</si>
  <si>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</si>
  <si>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</si>
  <si>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</si>
  <si>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</si>
  <si>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</si>
  <si>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Non-U.S. citizen child or children under the age of 18, accompanied by his/her/their parent(s) or legal guardian(s).</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</si>
  <si>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</si>
  <si>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</si>
  <si>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</si>
  <si>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</si>
  <si>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</si>
  <si>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</si>
  <si>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</si>
  <si>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</si>
  <si>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</si>
  <si>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</si>
  <si>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</si>
  <si>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</si>
  <si>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</si>
  <si>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</si>
  <si>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</si>
  <si>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</si>
  <si>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</si>
  <si>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</si>
  <si>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</si>
  <si>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</si>
  <si>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</si>
  <si>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</si>
  <si>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</si>
  <si>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Pending Criminal Charges</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</si>
  <si>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</si>
  <si>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</si>
  <si>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</si>
  <si>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</si>
  <si>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</si>
  <si>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</si>
  <si>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</si>
  <si>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</si>
  <si>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</si>
  <si>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</si>
  <si>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</si>
  <si>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</si>
  <si>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</si>
  <si>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</si>
  <si>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</si>
  <si>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</si>
  <si>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</si>
  <si>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</si>
  <si>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</si>
  <si>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</si>
  <si>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Detention Facility Type</t>
  </si>
  <si>
    <t>Total Detained</t>
  </si>
  <si>
    <t>FRC</t>
  </si>
  <si>
    <t>Adult</t>
  </si>
  <si>
    <t>ICE Release Fiscal Year</t>
  </si>
  <si>
    <t>Criminality</t>
  </si>
  <si>
    <t>Percent ICE</t>
  </si>
  <si>
    <t>Percent CBP</t>
  </si>
  <si>
    <t>Other Immigration Violator</t>
  </si>
  <si>
    <t>Expedited Removal (I-860)</t>
  </si>
  <si>
    <t>Notice to Appear (I-862)</t>
  </si>
  <si>
    <t>Reinstatement of Deport Order (I-871)</t>
  </si>
  <si>
    <t>Agency</t>
  </si>
  <si>
    <t>Oct</t>
  </si>
  <si>
    <t>Nov</t>
  </si>
  <si>
    <t>Dec</t>
  </si>
  <si>
    <t>Jan</t>
  </si>
  <si>
    <t>Feb</t>
  </si>
  <si>
    <t>Mar</t>
  </si>
  <si>
    <t>Apr</t>
  </si>
  <si>
    <t>May</t>
  </si>
  <si>
    <t>Jun</t>
  </si>
  <si>
    <t>Removals</t>
  </si>
  <si>
    <t>Jul</t>
  </si>
  <si>
    <t>Aug</t>
  </si>
  <si>
    <t>Sep</t>
  </si>
  <si>
    <t>Release Reason</t>
  </si>
  <si>
    <t>Facility Type</t>
  </si>
  <si>
    <t>CBP Average</t>
  </si>
  <si>
    <t xml:space="preserve">ICE Average  </t>
  </si>
  <si>
    <t xml:space="preserve">Average </t>
  </si>
  <si>
    <t>FY Overall</t>
  </si>
  <si>
    <t>Facility Information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</si>
  <si>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</si>
  <si>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</si>
  <si>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</si>
  <si>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</si>
  <si>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</si>
  <si>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</si>
  <si>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</si>
  <si>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</si>
  <si>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</si>
  <si>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</si>
  <si>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</si>
  <si>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</si>
  <si>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</si>
  <si>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</si>
  <si>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</si>
  <si>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</si>
  <si>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</si>
  <si>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</si>
  <si>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</si>
  <si>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</si>
  <si>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</si>
  <si>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</si>
  <si>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</si>
  <si>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Rating - Final</t>
  </si>
  <si>
    <t>Second to Last Inspection Type</t>
  </si>
  <si>
    <t>Second to Last Inspection Rating</t>
  </si>
  <si>
    <t>10250 RANCHO ROAD</t>
  </si>
  <si>
    <t>ADELANTO</t>
  </si>
  <si>
    <t>CA</t>
  </si>
  <si>
    <t>LOS</t>
  </si>
  <si>
    <t>DIGSA</t>
  </si>
  <si>
    <t>Female/Male</t>
  </si>
  <si>
    <t>Regular</t>
  </si>
  <si>
    <t>PBNDS 2011</t>
  </si>
  <si>
    <t>Meets Standard</t>
  </si>
  <si>
    <t>11/21/2019</t>
  </si>
  <si>
    <t>Pending</t>
  </si>
  <si>
    <t>STEWART DETENTION CENTER</t>
  </si>
  <si>
    <t>146 CCA ROAD</t>
  </si>
  <si>
    <t>LUMPKIN</t>
  </si>
  <si>
    <t>GA</t>
  </si>
  <si>
    <t>ATL</t>
  </si>
  <si>
    <t>566 VETERANS DRIVE</t>
  </si>
  <si>
    <t>PEARSALL</t>
  </si>
  <si>
    <t>TX</t>
  </si>
  <si>
    <t>SNA</t>
  </si>
  <si>
    <t>CDF</t>
  </si>
  <si>
    <t>SOUTH TEXAS FAMILY RESIDENTIAL CENTER</t>
  </si>
  <si>
    <t>DILLEY</t>
  </si>
  <si>
    <t>FAMILY</t>
  </si>
  <si>
    <t>JFRMU Family</t>
  </si>
  <si>
    <t>1/9/2020</t>
  </si>
  <si>
    <t>WINN CORRECTIONAL CENTER</t>
  </si>
  <si>
    <t>560 GUM SPRING ROAD</t>
  </si>
  <si>
    <t>WINNFIELD</t>
  </si>
  <si>
    <t>LA</t>
  </si>
  <si>
    <t>NOL</t>
  </si>
  <si>
    <t>IGSA</t>
  </si>
  <si>
    <t>10/10/2019</t>
  </si>
  <si>
    <t>N/A</t>
  </si>
  <si>
    <t>5501 NORTH LA PALMA ROAD</t>
  </si>
  <si>
    <t>AZ</t>
  </si>
  <si>
    <t>PHO</t>
  </si>
  <si>
    <t>6/27/2019</t>
  </si>
  <si>
    <t>LASALLE ICE PROCESSING CENTER (JENA)</t>
  </si>
  <si>
    <t>830 PINEHILL ROAD</t>
  </si>
  <si>
    <t>JENA</t>
  </si>
  <si>
    <t>9/26/2019</t>
  </si>
  <si>
    <t>ELOY FEDERAL CONTRACT FACILITY</t>
  </si>
  <si>
    <t>1705 EAST HANNA RD.</t>
  </si>
  <si>
    <t>2/6/2020</t>
  </si>
  <si>
    <t>20 HOBO FORK RD.</t>
  </si>
  <si>
    <t>NATCHEZ</t>
  </si>
  <si>
    <t>MS</t>
  </si>
  <si>
    <t>OTAY MESA DETENTION CENTER (SAN DIEGO CDF)</t>
  </si>
  <si>
    <t>7488 CALZADA DE LA FUENTE</t>
  </si>
  <si>
    <t>SAN DIEGO</t>
  </si>
  <si>
    <t>SND</t>
  </si>
  <si>
    <t>USMS CDF</t>
  </si>
  <si>
    <t>1/24/2020</t>
  </si>
  <si>
    <t>TACOMA ICE PROCESSING CENTER (NORTHWEST DET CTR)</t>
  </si>
  <si>
    <t>1623 E. J STREET</t>
  </si>
  <si>
    <t>TACOMA</t>
  </si>
  <si>
    <t>WA</t>
  </si>
  <si>
    <t>SEA</t>
  </si>
  <si>
    <t>5/16/2019</t>
  </si>
  <si>
    <t>PORT ISABEL</t>
  </si>
  <si>
    <t>27991 BUENA VISTA BOULEVARD</t>
  </si>
  <si>
    <t>LOS FRESNOS</t>
  </si>
  <si>
    <t>SPC</t>
  </si>
  <si>
    <t>1/30/2020</t>
  </si>
  <si>
    <t>OTERO COUNTY PROCESSING CENTER</t>
  </si>
  <si>
    <t>26 MCGREGOR RANGE ROAD</t>
  </si>
  <si>
    <t>CHAPARRAL</t>
  </si>
  <si>
    <t>NM</t>
  </si>
  <si>
    <t>ELP</t>
  </si>
  <si>
    <t>MONTGOMERY ICE PROCESSING CENTER</t>
  </si>
  <si>
    <t>806 HILBIG RD</t>
  </si>
  <si>
    <t>CONROE</t>
  </si>
  <si>
    <t>HOU</t>
  </si>
  <si>
    <t>12/19/2019</t>
  </si>
  <si>
    <t>RICHWOOD CORRECTIONAL CENTER</t>
  </si>
  <si>
    <t>180 PINE BAYOU CIRCLE</t>
  </si>
  <si>
    <t>RICHWOOD</t>
  </si>
  <si>
    <t>10/3/2019</t>
  </si>
  <si>
    <t>327 INDUSTRIAL DRIVE</t>
  </si>
  <si>
    <t>JONESBORO</t>
  </si>
  <si>
    <t>11/7/2019</t>
  </si>
  <si>
    <t>1800 INDUSTRIAL DRIVE</t>
  </si>
  <si>
    <t>RAYMONDVILLE</t>
  </si>
  <si>
    <t>10/24/2019</t>
  </si>
  <si>
    <t>132 COTTON DRIVE</t>
  </si>
  <si>
    <t>OCILLA</t>
  </si>
  <si>
    <t>USMS IGA</t>
  </si>
  <si>
    <t>PBNDS 2008</t>
  </si>
  <si>
    <t>6/13/2019</t>
  </si>
  <si>
    <t>EL PASO SERVICE PROCESSING CENTER</t>
  </si>
  <si>
    <t>8915 MONTANA AVE.</t>
  </si>
  <si>
    <t>EL PASO</t>
  </si>
  <si>
    <t>12/12/2019</t>
  </si>
  <si>
    <t>HOUSTON CONTRACT DETENTION FACILITY</t>
  </si>
  <si>
    <t>15850 EXPORT PLAZA DRIVE</t>
  </si>
  <si>
    <t>HOUSTON</t>
  </si>
  <si>
    <t>1133 HAMPTON DUPRE ROAD</t>
  </si>
  <si>
    <t>PINE PRAIRIE</t>
  </si>
  <si>
    <t>4/25/2019</t>
  </si>
  <si>
    <t>SOUTH LOUISIANA DETENTION CENTER</t>
  </si>
  <si>
    <t>3843 STAGG AVENUE</t>
  </si>
  <si>
    <t>BASILE</t>
  </si>
  <si>
    <t>IMPERIAL REGIONAL DETENTION FACILITY</t>
  </si>
  <si>
    <t>1572 GATEWAY</t>
  </si>
  <si>
    <t>CALEXICO</t>
  </si>
  <si>
    <t>1/16/2020</t>
  </si>
  <si>
    <t>PRAIRIELAND DETENTION FACILITY</t>
  </si>
  <si>
    <t>1209 SUNFLOWER LN</t>
  </si>
  <si>
    <t>DAL</t>
  </si>
  <si>
    <t>2/13/2020</t>
  </si>
  <si>
    <t>ESSEX COUNTY CORRECTIONAL FACILITY</t>
  </si>
  <si>
    <t>354 DOREMUS AVENUE</t>
  </si>
  <si>
    <t>NEWARK</t>
  </si>
  <si>
    <t>NJ</t>
  </si>
  <si>
    <t>NEW</t>
  </si>
  <si>
    <t>IMMIGRATION CENTERS OF AMERICA FARMVILLE</t>
  </si>
  <si>
    <t>508 WATERWORKS ROAD</t>
  </si>
  <si>
    <t>FARMVILLE</t>
  </si>
  <si>
    <t>VA</t>
  </si>
  <si>
    <t>WAS</t>
  </si>
  <si>
    <t>KROME NORTH SERVICE PROCESSING CENTER</t>
  </si>
  <si>
    <t>18201 SOUTHWEST 12TH STREET</t>
  </si>
  <si>
    <t>MIAMI</t>
  </si>
  <si>
    <t>FL</t>
  </si>
  <si>
    <t>DENVER CONTRACT DETENTION FACILITY</t>
  </si>
  <si>
    <t>3130 N. OAKLAND ST.</t>
  </si>
  <si>
    <t>CO</t>
  </si>
  <si>
    <t>DEN</t>
  </si>
  <si>
    <t>11/27/2019</t>
  </si>
  <si>
    <t>MAIN - FOLKSTON IPC (D RAY JAMES)</t>
  </si>
  <si>
    <t>3026 HIGHWAY 252 EAST</t>
  </si>
  <si>
    <t>FOLKSTON</t>
  </si>
  <si>
    <t>3900 NORTH POWERLINE ROAD</t>
  </si>
  <si>
    <t>POMPANO BEACH</t>
  </si>
  <si>
    <t>8/22/2019</t>
  </si>
  <si>
    <t>NDS</t>
  </si>
  <si>
    <t>Superior</t>
  </si>
  <si>
    <t>YORK COUNTY PRISON</t>
  </si>
  <si>
    <t>3400 CONCORD ROAD</t>
  </si>
  <si>
    <t>YORK</t>
  </si>
  <si>
    <t>PA</t>
  </si>
  <si>
    <t>PHI</t>
  </si>
  <si>
    <t>10/18/2019</t>
  </si>
  <si>
    <t>1001 WELCH STREET</t>
  </si>
  <si>
    <t>8/29/2019</t>
  </si>
  <si>
    <t>LA PALMA CORRECTION CENTER - APSO</t>
  </si>
  <si>
    <t>New Facility</t>
  </si>
  <si>
    <t>11/15/2019</t>
  </si>
  <si>
    <t>BUFFALO (BATAVIA) SERVICE PROCESSING CENTER</t>
  </si>
  <si>
    <t>4250 FEDERAL DRIVE</t>
  </si>
  <si>
    <t>BATAVIA</t>
  </si>
  <si>
    <t>NY</t>
  </si>
  <si>
    <t>BUF</t>
  </si>
  <si>
    <t>4/4/2019</t>
  </si>
  <si>
    <t>1297 EAST SR 78</t>
  </si>
  <si>
    <t>MOORE HAVEN</t>
  </si>
  <si>
    <t>Acceptable</t>
  </si>
  <si>
    <t>1001 SAN RIO BOULEVARD</t>
  </si>
  <si>
    <t>LAREDO</t>
  </si>
  <si>
    <t>RIVER CORRECTIONAL CENTER</t>
  </si>
  <si>
    <t>26362 HIGHWAY 15</t>
  </si>
  <si>
    <t>FERRIDAY</t>
  </si>
  <si>
    <t>TAR Assigned</t>
  </si>
  <si>
    <t>IAH SECURE ADULT DETENTION FACILITY (POLK)</t>
  </si>
  <si>
    <t>3400 FM 350 SOUTH</t>
  </si>
  <si>
    <t>LIVINGSTON</t>
  </si>
  <si>
    <t>EDEN DETENTION CENTER</t>
  </si>
  <si>
    <t>702 E BROADWAY ST</t>
  </si>
  <si>
    <t>FLORENCE SERVICE PROCESSING CENTER</t>
  </si>
  <si>
    <t>3250 NORTH PINAL PARKWAY</t>
  </si>
  <si>
    <t>FLORENCE</t>
  </si>
  <si>
    <t>4/11/2019</t>
  </si>
  <si>
    <t>425 GOLDEN STATE AVE</t>
  </si>
  <si>
    <t>BAKERSFIELD</t>
  </si>
  <si>
    <t>SFR</t>
  </si>
  <si>
    <t>LIMESTONE COUNTY DETENTION CENTER</t>
  </si>
  <si>
    <t>910 NORTH TYUS STREET</t>
  </si>
  <si>
    <t>GROESBECK</t>
  </si>
  <si>
    <t>Special Review - Pre-Occupancy</t>
  </si>
  <si>
    <t>PLYMOUTH COUNTY CORRECTIONAL FACILITY</t>
  </si>
  <si>
    <t>26 LONG POND ROAD</t>
  </si>
  <si>
    <t>PLYMOUTH</t>
  </si>
  <si>
    <t>BOS</t>
  </si>
  <si>
    <t>13880 BUSINESS CENTER DRIVE</t>
  </si>
  <si>
    <t>ELK RIVER</t>
  </si>
  <si>
    <t>MN</t>
  </si>
  <si>
    <t>SPM</t>
  </si>
  <si>
    <t>HUDSON COUNTY CORRECTIONAL CENTER</t>
  </si>
  <si>
    <t>30-35 HACKENSACK AVE.</t>
  </si>
  <si>
    <t>KEARNY</t>
  </si>
  <si>
    <t>NYC</t>
  </si>
  <si>
    <t>TORRANCE COUNTY DETENTION FACILITY</t>
  </si>
  <si>
    <t>209 COUNTY ROAD 49</t>
  </si>
  <si>
    <t>ESTANCIA</t>
  </si>
  <si>
    <t>96 GEORGE THOMPSON DRIVE</t>
  </si>
  <si>
    <t>STAGING</t>
  </si>
  <si>
    <t>CAROLINE DETENTION FACILITY</t>
  </si>
  <si>
    <t>11093 S.W. LEWIS MEMORIAL DRIVE</t>
  </si>
  <si>
    <t>BOWLING GREEN</t>
  </si>
  <si>
    <t>5/2/2019</t>
  </si>
  <si>
    <t>BAKER COUNTY SHERIFF'S OFFICE</t>
  </si>
  <si>
    <t>1 SHERIFF OFFICE DRIVE</t>
  </si>
  <si>
    <t>MACCLENNY</t>
  </si>
  <si>
    <t>5/31/2019</t>
  </si>
  <si>
    <t>MCHENRY COUNTY CORRECTIONAL FACILITY</t>
  </si>
  <si>
    <t>2200 NORTH SEMINARY AVENUE</t>
  </si>
  <si>
    <t>WOODSTOCK</t>
  </si>
  <si>
    <t>IL</t>
  </si>
  <si>
    <t>ANNEX - FOLKSTON IPC</t>
  </si>
  <si>
    <t>3424 HIGHWAY 252 EAST</t>
  </si>
  <si>
    <t>4702 EAST SAUNDERS STREET</t>
  </si>
  <si>
    <t>6/4/2019</t>
  </si>
  <si>
    <t>ETOWAH COUNTY JAIL (ALABAMA)</t>
  </si>
  <si>
    <t>827 FORREST AVENUE</t>
  </si>
  <si>
    <t>GADSDEN</t>
  </si>
  <si>
    <t>7/18/2019</t>
  </si>
  <si>
    <t>ELIZABETH CONTRACT DETENTION FACILITY</t>
  </si>
  <si>
    <t>625 EVANS STREET</t>
  </si>
  <si>
    <t>314 W. 7TH STREET</t>
  </si>
  <si>
    <t>OKMULGEE</t>
  </si>
  <si>
    <t>OK</t>
  </si>
  <si>
    <t>DENVER CONTRACT DETENTION FACILITY (CDF) II</t>
  </si>
  <si>
    <t>11901 E. 30th AVE</t>
  </si>
  <si>
    <t>160 SOUTH RIVER STREET</t>
  </si>
  <si>
    <t>HACKENSACK</t>
  </si>
  <si>
    <t>HENDERSON DETENTION CENTER</t>
  </si>
  <si>
    <t>18 E BASIC ROAD</t>
  </si>
  <si>
    <t>NV</t>
  </si>
  <si>
    <t>SLC</t>
  </si>
  <si>
    <t>PIKE COUNTY CORRECTIONAL FACILITY</t>
  </si>
  <si>
    <t>175 PIKE COUNTY BOULEVARD</t>
  </si>
  <si>
    <t>LORDS VALLEY</t>
  </si>
  <si>
    <t>2190 EAST MESQUITE AVENUE</t>
  </si>
  <si>
    <t>PAHRUMP</t>
  </si>
  <si>
    <t>7/25/2019</t>
  </si>
  <si>
    <t>FM 1144 AT US HIGHWAY 181</t>
  </si>
  <si>
    <t>KARNES CITY</t>
  </si>
  <si>
    <t>1/23/2020</t>
  </si>
  <si>
    <t>YUBA COUNTY JAIL</t>
  </si>
  <si>
    <t>215 5TH STREET</t>
  </si>
  <si>
    <t>MARYSVILLE</t>
  </si>
  <si>
    <t>JOHNSON COUNTY CORRECTIONS CENTER</t>
  </si>
  <si>
    <t>1800 RIDGEMAR DRIVE</t>
  </si>
  <si>
    <t>CLEBURNE</t>
  </si>
  <si>
    <t>BRISTOL COUNTY DETENTION CENTER</t>
  </si>
  <si>
    <t>400 FAUNCE CORNER ROAD</t>
  </si>
  <si>
    <t>NORTH DARTMOUTH</t>
  </si>
  <si>
    <t>OH</t>
  </si>
  <si>
    <t>DET</t>
  </si>
  <si>
    <t>PULASKI COUNTY JAIL</t>
  </si>
  <si>
    <t>1026 SHAWNEE COLLEGE ROAD</t>
  </si>
  <si>
    <t>ULLIN</t>
  </si>
  <si>
    <t>WI</t>
  </si>
  <si>
    <t>CALHOUN COUNTY CORRECTIONAL CENTER</t>
  </si>
  <si>
    <t>185 EAST MICHIGAN AVENUE</t>
  </si>
  <si>
    <t>BATTLE CREEK</t>
  </si>
  <si>
    <t>MI</t>
  </si>
  <si>
    <t>WORCESTER COUNTY JAIL</t>
  </si>
  <si>
    <t>5022 JOYNER ROAD</t>
  </si>
  <si>
    <t>SNOW HILL</t>
  </si>
  <si>
    <t>BAL</t>
  </si>
  <si>
    <t>8/15/2019</t>
  </si>
  <si>
    <t>BLUEBONNET DETENTION FACILITY</t>
  </si>
  <si>
    <t>400 2ND STREET</t>
  </si>
  <si>
    <t>ANSON</t>
  </si>
  <si>
    <t>KANKAKEE COUNTY JAIL (JEROME COMBS DET CTR)</t>
  </si>
  <si>
    <t>3050 JUSTICE WAY</t>
  </si>
  <si>
    <t>KANKAKEE</t>
  </si>
  <si>
    <t>BOONE COUNTY JAIL</t>
  </si>
  <si>
    <t>3020 CONRAD LANE</t>
  </si>
  <si>
    <t>BURLINGTON</t>
  </si>
  <si>
    <t>KY</t>
  </si>
  <si>
    <t>BUTLER COUNTY JAIL</t>
  </si>
  <si>
    <t>705 HANOVER STREET</t>
  </si>
  <si>
    <t>DODGE COUNTY JAIL</t>
  </si>
  <si>
    <t>215 WEST CENTRAL STREET</t>
  </si>
  <si>
    <t>JUNEAU</t>
  </si>
  <si>
    <t>4/18/2019</t>
  </si>
  <si>
    <t>110 WELLS FARM ROAD</t>
  </si>
  <si>
    <t>GOSHEN</t>
  </si>
  <si>
    <t>7340 HIGHWAY 26 WEST</t>
  </si>
  <si>
    <t>OBERLIN</t>
  </si>
  <si>
    <t>12/5/2019</t>
  </si>
  <si>
    <t>WYATT DETENTION CENTER</t>
  </si>
  <si>
    <t>950 HIGH STREET</t>
  </si>
  <si>
    <t>CENTRAL FALLS</t>
  </si>
  <si>
    <t>RI</t>
  </si>
  <si>
    <t>9998 SOUTH HIGHWAY 83</t>
  </si>
  <si>
    <t>KAY COUNTY JUSTICE FACILITY</t>
  </si>
  <si>
    <t>1101 WEST DRY ROAD</t>
  </si>
  <si>
    <t>NEWKIRK</t>
  </si>
  <si>
    <t>WAKULLA COUNTY JAIL</t>
  </si>
  <si>
    <t>15 OAK STREET</t>
  </si>
  <si>
    <t>CRAWFORDVILLE</t>
  </si>
  <si>
    <t>ROLLING PLAINS DETENTION CENTER</t>
  </si>
  <si>
    <t>118 COUNTY ROAD 206</t>
  </si>
  <si>
    <t>HASKELL</t>
  </si>
  <si>
    <t>STRAFFORD COUNTY CORRECTIONS</t>
  </si>
  <si>
    <t>266 COUNTY FARM ROAD</t>
  </si>
  <si>
    <t>DOVER</t>
  </si>
  <si>
    <t>NH</t>
  </si>
  <si>
    <t>8/1/2019</t>
  </si>
  <si>
    <t>NYE COUNTY DETENTION CENTER, SOUTHERN (PAHRUMP)</t>
  </si>
  <si>
    <t>1520 E. BASIN ROAD</t>
  </si>
  <si>
    <t>HALL COUNTY DEPARTMENT OF CORRECTIONS</t>
  </si>
  <si>
    <t>110 PUBLIC SAFETY DRIVE</t>
  </si>
  <si>
    <t>GRAND ISLAND</t>
  </si>
  <si>
    <t>NE</t>
  </si>
  <si>
    <t>7/11/2019</t>
  </si>
  <si>
    <t>7000 EAST DUNBAR ROAD</t>
  </si>
  <si>
    <t>MONROE</t>
  </si>
  <si>
    <t>CHASE COUNTY DETENTION FACILITY</t>
  </si>
  <si>
    <t>301 SOUTH WALNUT STREET</t>
  </si>
  <si>
    <t>COTTONWOOD FALLS</t>
  </si>
  <si>
    <t>KS</t>
  </si>
  <si>
    <t>CLINTON COUNTY CORRECTIONAL FACILITY</t>
  </si>
  <si>
    <t>419 SHOEMAKER ROAD</t>
  </si>
  <si>
    <t>LOCK HAVEN</t>
  </si>
  <si>
    <t>TULSA COUNTY JAIL (DAVID L. MOSS JUSTICE CTR)</t>
  </si>
  <si>
    <t>300 NORTH DENVER AVENUE</t>
  </si>
  <si>
    <t>TULSA</t>
  </si>
  <si>
    <t>HOWARD COUNTY DETENTION CENTER</t>
  </si>
  <si>
    <t>7301 WATERLOO ROAD</t>
  </si>
  <si>
    <t>JESSUP</t>
  </si>
  <si>
    <t>Does Not Meet Standards</t>
  </si>
  <si>
    <t>HARDIN COUNTY JAIL</t>
  </si>
  <si>
    <t>1116 14TH AVENUE</t>
  </si>
  <si>
    <t>ELDORA</t>
  </si>
  <si>
    <t>IA</t>
  </si>
  <si>
    <t>9/12/2019</t>
  </si>
  <si>
    <t>SAINT CLAIR COUNTY JAIL</t>
  </si>
  <si>
    <t>1170 MICHIGAN ROAD</t>
  </si>
  <si>
    <t>PORT HURON</t>
  </si>
  <si>
    <t>1040 BERKS ROAD</t>
  </si>
  <si>
    <t>LEESPORT</t>
  </si>
  <si>
    <t>3040 SOUTH STATE HIGHWAY 100</t>
  </si>
  <si>
    <t>TIFFIN</t>
  </si>
  <si>
    <t>Deficient</t>
  </si>
  <si>
    <t>SAN LUIS REGIONAL DETENTION CENTER</t>
  </si>
  <si>
    <t>406 NORTH AVENUE D</t>
  </si>
  <si>
    <t>SAN LUIS</t>
  </si>
  <si>
    <t>KANDIYOHI COUNTY JAIL</t>
  </si>
  <si>
    <t>2201 23RD ST NE</t>
  </si>
  <si>
    <t>WILLMAR</t>
  </si>
  <si>
    <t>MORGAN COUNTY ADULT DETENTION CENTER</t>
  </si>
  <si>
    <t>211 EAST NEWTON STREET</t>
  </si>
  <si>
    <t>VERSAILLES</t>
  </si>
  <si>
    <t>MO</t>
  </si>
  <si>
    <t>2/22/2019</t>
  </si>
  <si>
    <t>FREEBORN COUNTY ADULT DETENTION CENTER</t>
  </si>
  <si>
    <t>411 SOUTH BROADWAY AVENUE</t>
  </si>
  <si>
    <t>ALBERT LEA</t>
  </si>
  <si>
    <t>CLAY COUNTY JAIL</t>
  </si>
  <si>
    <t>611 EAST JACKSON STREET</t>
  </si>
  <si>
    <t>IN</t>
  </si>
  <si>
    <t>12450 MERRITT DR</t>
  </si>
  <si>
    <t>CHARDON</t>
  </si>
  <si>
    <t>ALAMANCE COUNTY DETENTION FACILITY</t>
  </si>
  <si>
    <t>109 SOUTH MAPLE STREET</t>
  </si>
  <si>
    <t>GRAHAM</t>
  </si>
  <si>
    <t>NC</t>
  </si>
  <si>
    <t>CAMBRIA COUNTY JAIL</t>
  </si>
  <si>
    <t>425 MANOR DRIVE</t>
  </si>
  <si>
    <t>EBENSBURG</t>
  </si>
  <si>
    <t>HONOLULU FEDERAL DETENTION CENTER</t>
  </si>
  <si>
    <t>351 ELLIOTT ST.</t>
  </si>
  <si>
    <t>HONOLULU</t>
  </si>
  <si>
    <t>HI</t>
  </si>
  <si>
    <t>BOP</t>
  </si>
  <si>
    <t>POLK COUNTY JAIL</t>
  </si>
  <si>
    <t>1985 NE 51ST PLACE</t>
  </si>
  <si>
    <t>DES MOINES</t>
  </si>
  <si>
    <t>MORROW COUNTY CORRECTIONAL FACILITY</t>
  </si>
  <si>
    <t>101 HOME ROAD</t>
  </si>
  <si>
    <t>MOUNT GILEAD</t>
  </si>
  <si>
    <t>3/8/2018</t>
  </si>
  <si>
    <t>CHIPPEWA COUNTY SSM</t>
  </si>
  <si>
    <t>325 COURT STREET</t>
  </si>
  <si>
    <t>SAULT SAINTE MARIE</t>
  </si>
  <si>
    <t>3/28/2019</t>
  </si>
  <si>
    <t>COASTAL BEND DETENTION FACILITY</t>
  </si>
  <si>
    <t>4909 FM (FARM TO MARKET) 2826</t>
  </si>
  <si>
    <t>ROBSTOWN</t>
  </si>
  <si>
    <t>211 EAST THIRD STREET</t>
  </si>
  <si>
    <t>MONTGOMERY CITY</t>
  </si>
  <si>
    <t>ROBERT A. DEYTON DETENTION FACILITY</t>
  </si>
  <si>
    <t>11866 HASTINGS BRIDGE RD</t>
  </si>
  <si>
    <t>LOVEJOY</t>
  </si>
  <si>
    <t>CBP SAN YSIDRO POE</t>
  </si>
  <si>
    <t>720 E SAN YSIDRO BLVD</t>
  </si>
  <si>
    <t>SAN YSIDRO</t>
  </si>
  <si>
    <t>FRANKLIN COUNTY HOUSE OF CORRECTION</t>
  </si>
  <si>
    <t>160 ELM STREET</t>
  </si>
  <si>
    <t>GREENFIELD</t>
  </si>
  <si>
    <t>TELLER COUNTY JAIL</t>
  </si>
  <si>
    <t>288 WEAVERVILLE ROAD</t>
  </si>
  <si>
    <t>DIVIDE</t>
  </si>
  <si>
    <t>ORSA</t>
  </si>
  <si>
    <t>CACHE COUNTY JAIL</t>
  </si>
  <si>
    <t>50 WEST 200 NORTH</t>
  </si>
  <si>
    <t>LOGAN</t>
  </si>
  <si>
    <t>UT</t>
  </si>
  <si>
    <t>11/8/2018</t>
  </si>
  <si>
    <t>CARVER COUNTY JAIL</t>
  </si>
  <si>
    <t>600 EAST FOURTH ST.</t>
  </si>
  <si>
    <t>CHASKA</t>
  </si>
  <si>
    <t>WASHOE COUNTY JAIL</t>
  </si>
  <si>
    <t>911 PARR BOULEVARD</t>
  </si>
  <si>
    <t>RENO</t>
  </si>
  <si>
    <t>SC</t>
  </si>
  <si>
    <t>CHRISTIAN COUNTY JAIL</t>
  </si>
  <si>
    <t>110 WEST ELM</t>
  </si>
  <si>
    <t>OZARK</t>
  </si>
  <si>
    <t>5/24/2018</t>
  </si>
  <si>
    <t>DOUGLAS COUNTY DEPARTMENT OF CORRECTIONS</t>
  </si>
  <si>
    <t>710 SOUTH 17TH ST</t>
  </si>
  <si>
    <t>OMAHA</t>
  </si>
  <si>
    <t>DEKALB COUNTY DETENTION CENTER</t>
  </si>
  <si>
    <t>2801 JORDAN ROAD</t>
  </si>
  <si>
    <t>FORT PAYNE</t>
  </si>
  <si>
    <t>CBP CHULA VISTA BPS</t>
  </si>
  <si>
    <t>311 ATHEY AVE</t>
  </si>
  <si>
    <t>COLLIER COUNTY NAPLES JAIL CENTER</t>
  </si>
  <si>
    <t>3301 TAMIAMI TRAIL EAST</t>
  </si>
  <si>
    <t>NAPLES</t>
  </si>
  <si>
    <t>2/7/2019</t>
  </si>
  <si>
    <t>DALLAS COUNTY JAIL - LEW STERRETT JUSTICE CENTER</t>
  </si>
  <si>
    <t>111 WEST COMMERCE STREET</t>
  </si>
  <si>
    <t>DALLAS</t>
  </si>
  <si>
    <t>10/20/2017</t>
  </si>
  <si>
    <t>14400 49TH STREET NORTH</t>
  </si>
  <si>
    <t>CLEARWATER</t>
  </si>
  <si>
    <t>9/21/2018</t>
  </si>
  <si>
    <t>WASHINGTON COUNTY JAIL (PURGATORY CORRECTIONAL FAC</t>
  </si>
  <si>
    <t>HURRICANE</t>
  </si>
  <si>
    <t>9/15/2018</t>
  </si>
  <si>
    <t>HWY 28 INTSECT OF ROAD 165</t>
  </si>
  <si>
    <t>SAN JUAN</t>
  </si>
  <si>
    <t>PR</t>
  </si>
  <si>
    <t>5/8/2008</t>
  </si>
  <si>
    <t>SAIPAN DEPARTMENT OF CORRECTIONS (SUSUPE)</t>
  </si>
  <si>
    <t>TEKKEN ST., SUSUPE VILLAGE</t>
  </si>
  <si>
    <t>SAIPAN</t>
  </si>
  <si>
    <t>MP</t>
  </si>
  <si>
    <t>TROY</t>
  </si>
  <si>
    <t xml:space="preserve">DEPARTMENT OF CORRECTIONS HAGATNA </t>
  </si>
  <si>
    <t>203 ASPINALL AVENUE</t>
  </si>
  <si>
    <t>HAGATNA</t>
  </si>
  <si>
    <t>GU</t>
  </si>
  <si>
    <t>PHELPS COUNTY JAIL</t>
  </si>
  <si>
    <t>715 5TH AVENUE</t>
  </si>
  <si>
    <t>HOLDREGE</t>
  </si>
  <si>
    <t>LINN COUNTY JAIL</t>
  </si>
  <si>
    <t>53 3RD AVENUE BRIDGE</t>
  </si>
  <si>
    <t>CEDAR RAPIDS</t>
  </si>
  <si>
    <t>6/20/2019</t>
  </si>
  <si>
    <t>SOUTH CENTRAL REGIONAL JAIL</t>
  </si>
  <si>
    <t>1001 CENTRE WAY</t>
  </si>
  <si>
    <t>CHARLESTON</t>
  </si>
  <si>
    <t>WV</t>
  </si>
  <si>
    <t>8/23/2018</t>
  </si>
  <si>
    <t>9/11/2018</t>
  </si>
  <si>
    <t>ID</t>
  </si>
  <si>
    <t>9/17/2018</t>
  </si>
  <si>
    <t>200 COURTHOUSE WAY</t>
  </si>
  <si>
    <t>RIGBY</t>
  </si>
  <si>
    <t>POTTAWATTAMIE COUNTY JAIL</t>
  </si>
  <si>
    <t>1400 BIG LAKE ROAD</t>
  </si>
  <si>
    <t>COUNCIL BLUFFS</t>
  </si>
  <si>
    <t>4/12/2018</t>
  </si>
  <si>
    <t>COWLITZ COUNTY JUVENILE</t>
  </si>
  <si>
    <t>1725 1ST AVE.</t>
  </si>
  <si>
    <t>LONGVIEW</t>
  </si>
  <si>
    <t>JUVENILE</t>
  </si>
  <si>
    <t>JFRMU Juvenile</t>
  </si>
  <si>
    <t>TN</t>
  </si>
  <si>
    <t>RENSSELAER COUNTY CORRECTIONAL FACILITY</t>
  </si>
  <si>
    <t>4000 MAIN STREET</t>
  </si>
  <si>
    <t>WESTERN TENNESSEE DETENTION FACILITY</t>
  </si>
  <si>
    <t>6299 FINDE NAIFEH DRIVE</t>
  </si>
  <si>
    <t>MASON</t>
  </si>
  <si>
    <t>WASHINGTON COUNTY DETENTION CENTER</t>
  </si>
  <si>
    <t>1155 WEST CLYDESDALE DRIVE</t>
  </si>
  <si>
    <t>FAYETTEVILLE</t>
  </si>
  <si>
    <t>AR</t>
  </si>
  <si>
    <t>9/18/2018</t>
  </si>
  <si>
    <t>EAST HIDALGO DETENTION CENTER</t>
  </si>
  <si>
    <t>1330 HIGHWAY 107</t>
  </si>
  <si>
    <t>LA VILLA</t>
  </si>
  <si>
    <t>FAYETTE COUNTY DETENTION CENTER</t>
  </si>
  <si>
    <t>600 OLD FRANKFORD CR</t>
  </si>
  <si>
    <t>LEXINGTON</t>
  </si>
  <si>
    <t>8/14/2018</t>
  </si>
  <si>
    <t>LEXINGTON COUNTY JAIL</t>
  </si>
  <si>
    <t>521 GIBSON ROAD</t>
  </si>
  <si>
    <t>9/15/2017</t>
  </si>
  <si>
    <t>9/24/2018</t>
  </si>
  <si>
    <t>10/16/2018</t>
  </si>
  <si>
    <t>CHAUTAUQUA COUNTY JAIL</t>
  </si>
  <si>
    <t>15 E. CHAUTAUQUA STREET</t>
  </si>
  <si>
    <t>MAYVILLE</t>
  </si>
  <si>
    <t>9/25/2018</t>
  </si>
  <si>
    <t>LONOKE POLICE DEPARTMENT</t>
  </si>
  <si>
    <t>203 W. FRONT STREET</t>
  </si>
  <si>
    <t>LONOKE</t>
  </si>
  <si>
    <t>SEBASTIAN COUNTY DETENTION CENTER</t>
  </si>
  <si>
    <t>801 SOUTH A STREET</t>
  </si>
  <si>
    <t>FORT SMITH</t>
  </si>
  <si>
    <t>10/1/2018</t>
  </si>
  <si>
    <t>SD</t>
  </si>
  <si>
    <t>MILLER COUNTY JAIL</t>
  </si>
  <si>
    <t>2300 EAST STREET</t>
  </si>
  <si>
    <t>TEXARKANA</t>
  </si>
  <si>
    <t>KARNES COUNTY CORRECTIONAL CENTER</t>
  </si>
  <si>
    <t>810 COMMERCE STREET</t>
  </si>
  <si>
    <t>3/16/2017</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</si>
  <si>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</si>
  <si>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</si>
  <si>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</si>
  <si>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</si>
  <si>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</si>
  <si>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</si>
  <si>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</si>
  <si>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</si>
  <si>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</si>
  <si>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</si>
  <si>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</si>
  <si>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</si>
  <si>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Detroit</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</si>
  <si>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</si>
  <si>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</si>
  <si>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</si>
  <si>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</si>
  <si>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</si>
  <si>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</si>
  <si>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</si>
  <si>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</si>
  <si>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</si>
  <si>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</si>
  <si>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</si>
  <si>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</si>
  <si>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</si>
  <si>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</si>
  <si>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</si>
  <si>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</si>
  <si>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</si>
  <si>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</si>
  <si>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</si>
  <si>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</si>
  <si>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 xml:space="preserve">ICE  provides the following Detention and Alternatives to Detention (ATD) statistics, which may be downloaded by clicking below. The data tables are searchable and sortable, and worksheets are protected to ensure their accuracy and reliability. </t>
  </si>
  <si>
    <t>ICE FOOTNOTES</t>
  </si>
  <si>
    <t>Bonded Out</t>
  </si>
  <si>
    <t>Bond Set by ICE</t>
  </si>
  <si>
    <t>Bond Set by IJ</t>
  </si>
  <si>
    <t>Paroled</t>
  </si>
  <si>
    <t>Prosecutorial Discretion</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</si>
  <si>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</si>
  <si>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</si>
  <si>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</si>
  <si>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</si>
  <si>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</si>
  <si>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</si>
  <si>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</si>
  <si>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</si>
  <si>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</si>
  <si>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</si>
  <si>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</si>
  <si>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</si>
  <si>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</si>
  <si>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</si>
  <si>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FRCs are Family Residential Centers and include the following ICE facilities:  Berks County Family Shelter, Karnes County Residential Center, and South Texas Family Residential Center.</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</si>
  <si>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</si>
  <si>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</si>
  <si>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An alien may have multiple releases; only the most recent release is included in this report.</t>
  </si>
  <si>
    <t>ICE Removal Data Include Returns.  Returns include Voluntary Returns, Voluntary Departures and Withdrawals Under Docket Control.</t>
  </si>
  <si>
    <t>ICE Removals include aliens processed for Expedited Removal (ER) or Voluntary Return (VR) that are turned over to ERO for detention.  Aliens processed for ER and not detained by ERO or VR after June 1st, 2013 and not detained by ERO are primarily processed by Border Patrol.  CBP should be contacted for those statistics.</t>
  </si>
  <si>
    <t>ICE Detention data excludes ORR transfers/facilities, as well as U.S. Marshals Service Prisoners.</t>
  </si>
  <si>
    <t>Processing dispositions of Other may include, but are not limited to, aliens processed under Administrative Removal, Visa Waiver Program Removal, Stowaway or Crewmember.</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</si>
  <si>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</si>
  <si>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</si>
  <si>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</si>
  <si>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</si>
  <si>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Processing Disposition</t>
  </si>
  <si>
    <t>Removals with an FRC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</si>
  <si>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</si>
  <si>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FRCs are Family Residential Centers and include the following ICE facilities: Berks County Family Shelter, Karnes County Residential Center, and South Texas Family Residential Center.</t>
  </si>
  <si>
    <t>Average Time from USCIS Fear Decision Service Date to ICE Release (In Days)</t>
  </si>
  <si>
    <t>ICE Currently Detained Population Breakdown</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</si>
  <si>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</si>
  <si>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</si>
  <si>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Aliens Currently in ICE Detention Facilities and the Average Time from USCIS Fear Decision Service Date to ICE Release include detentions not associated with a removal case.</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</si>
  <si>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</si>
  <si>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Order of Supervision-No SLRFF</t>
  </si>
  <si>
    <t>Washington DC</t>
  </si>
  <si>
    <t xml:space="preserve">ICE  </t>
  </si>
  <si>
    <t>USCIS Average Time from USCIS Fear Decision Service Date to ICE Release (In Days) &amp; Aliens with USCIS-Established Fear Decisions in an ICE Detention Facility</t>
  </si>
  <si>
    <t xml:space="preserve">ICE Currently Detained by Processing Disposition and Detention Facility Type: </t>
  </si>
  <si>
    <t>ICE Currently Detained by Criminality and Arresting Agency</t>
  </si>
  <si>
    <t>Aliens with USCIS-Established Fear Decisions in an ICE Detention Facility by Facility Type</t>
  </si>
  <si>
    <t>ICE DETENTION DATA, FY21 YTD</t>
  </si>
  <si>
    <t>ICE FACILITIES DATA, FY21 YTD</t>
  </si>
  <si>
    <t>FY21 ADP: Detainee Classification Level</t>
  </si>
  <si>
    <t>FY21 ADP: Criminality</t>
  </si>
  <si>
    <t>FY21 ADP: ICE Threat Level</t>
  </si>
  <si>
    <t>FY21 ADP: Mandatory</t>
  </si>
  <si>
    <t>FY21 ALOS</t>
  </si>
  <si>
    <t>FY2021</t>
  </si>
  <si>
    <t>ICE Initial Book-Ins by Arresting Agency and Month: FY2021 YTD</t>
  </si>
  <si>
    <t>ICE Initial Book-Ins by Facility Type and Criminality: FY2021 YTD</t>
  </si>
  <si>
    <t>ICE Final Releases by Facility Type: FY2021 YTD</t>
  </si>
  <si>
    <t>ICE Removals: FY2021 YTD</t>
  </si>
  <si>
    <t>ICE Average Daily Population by Arresting Agency, Month and Criminality: FY2021 YTD</t>
  </si>
  <si>
    <t>ICE Average Length of Stay by Arresting Agency, Month and Criminality: FY2021 YTD</t>
  </si>
  <si>
    <t>ICE Average Daily Population by Facility Type and Month: FY2021 YTD</t>
  </si>
  <si>
    <t>ICE Average Length of Stay by Facility Type and Month: FY2021 YTD</t>
  </si>
  <si>
    <t>ICE Enforcement and Removal Operations Data, FY2021 YTD</t>
  </si>
  <si>
    <t>ADP by Arresting Agency, Month and Criminality : FY2021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</si>
  <si>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FY2021 ICE Final Releases</t>
  </si>
  <si>
    <t>ICE Final Releases by Release Reason and Criminality: FY2021 YTD</t>
  </si>
  <si>
    <t>FY2021 YTD ICE Average Daily Population and ICE Average Length of Stay</t>
  </si>
  <si>
    <t>FY2019 ICE Alternatives to Detention</t>
  </si>
  <si>
    <t>FY2021 YTD ICE Removals</t>
  </si>
  <si>
    <t>FY2021 YTD ICE Initial Book-Ins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</si>
  <si>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</si>
  <si>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</si>
  <si>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</si>
  <si>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FY2021 YTD ICE Detention data are updated through 12/05/2020 (IIDS v.1.34 run date 12/07/2020; EID as of 12/05/2020).</t>
  </si>
  <si>
    <t>FY2021 YTD ICE Final Releases data are updated through 12/05/2020 (IIDS v.1.34 run date 12/07/2020; EID as of 12/05/2020).</t>
  </si>
  <si>
    <t>FY2021 YTD ICE Removals data are updated through 12/05/2020 (IIDS v.1.34 run date 12/07/2020; EID as of 12/05/2020).</t>
  </si>
  <si>
    <t>ICE National Docket data are a snapshot as of 12/05/2020 (IIDS v.1.34 run date 12/07/2020; EID as of 12/05/2020).</t>
  </si>
  <si>
    <t>Aliens Currently in ICE Detention Facilities data are a snapshot as of 12/05/2020 (IIDS v1.34 run date 12/07/2020; EID as of 12/05/2020).</t>
  </si>
  <si>
    <t>FY2021 YTD ICE Releases data are updated through 12/05/2020 (IIDS v1.34 run date 12/07/2020; EID as of 12/05/2020)</t>
  </si>
  <si>
    <t>USCIS provided data containing APSO (Asylum Pre Screening Officer) cases clocked during FY2019 - FY2021 YTD.  Data were received on 12/07/2020.</t>
  </si>
  <si>
    <t xml:space="preserve">Of the 157,691 records in the USCIS provided data the breakdown of the fear screening determinations is as follows; 91,099 positive fear screening determinations, 40,306 negative fear screening determinations and 26,286 without an identified determination. Of the 91,099 with positive fear screening determinations; 59,206 have Persecution Claim Established and 31,893 have Torture Claim Established. 	</t>
  </si>
  <si>
    <t>The data provided by USCIS contains multiple records for some Alien File Numbers.  There are 157,158 unique fear determinations and 1,155 of those have multiple records in the data provided by USCIS. The Alien File Numbers with multiple USCIS records are treated as follows: 
• If an Alien File Number is associated with both positive and negative fear screening determinations, only positive fear screening determinations are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</si>
  <si>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Active ATD Participants and Average Length in Program, FY21,  as of 12/05/2020, by AOR and Technology</t>
  </si>
  <si>
    <t>Data from OBP Report, 10.31.2020</t>
  </si>
  <si>
    <t>Data from BI Inc. Participants Report, 12.05.2020</t>
  </si>
  <si>
    <t>ATD Active Population by Status, Extended Case Management Service, Count and ALIP, FY21</t>
  </si>
  <si>
    <t>ICE ALTERNATIVES TO DETENTION DATA, FY21</t>
  </si>
  <si>
    <t>2/21/2020</t>
  </si>
  <si>
    <t>6/12/2007</t>
  </si>
  <si>
    <t>ROSWELL</t>
  </si>
  <si>
    <t>3701 S. ATKINSON</t>
  </si>
  <si>
    <t>CHAVEZ DETENTION CENTER</t>
  </si>
  <si>
    <t>NORTH PLATTE</t>
  </si>
  <si>
    <t>3020 N JEFFERS</t>
  </si>
  <si>
    <t>LINCOLN COUNTY JAIL</t>
  </si>
  <si>
    <t>6/26/2014</t>
  </si>
  <si>
    <t>KARNES COUNTY CIVIL DETENTION CENTER</t>
  </si>
  <si>
    <t>6/15/2006</t>
  </si>
  <si>
    <t>GARDEN CITY</t>
  </si>
  <si>
    <t>304 N. 9TH STREET</t>
  </si>
  <si>
    <t>FINNEY COUNTY JAIL</t>
  </si>
  <si>
    <t>OREGON</t>
  </si>
  <si>
    <t>103 JEFFERSON STREET</t>
  </si>
  <si>
    <t>OGLE COUNTY JAIL</t>
  </si>
  <si>
    <t>9/17/2020</t>
  </si>
  <si>
    <t>SIERRA BLANCA</t>
  </si>
  <si>
    <t>401 S. VAQUERO AVE.</t>
  </si>
  <si>
    <t>WEST TEXAS DETENTION FACILITY</t>
  </si>
  <si>
    <t>RAPID CITY</t>
  </si>
  <si>
    <t>307 SAINT JOSEPH STREET</t>
  </si>
  <si>
    <t>PENNINGTON COUNTY JAIL (SOUTH DAKOTA)</t>
  </si>
  <si>
    <t>YANKTON</t>
  </si>
  <si>
    <t>410 WALNUT STREET</t>
  </si>
  <si>
    <t>YANKTON COUNTY JAIL</t>
  </si>
  <si>
    <t>FT. WAYNE</t>
  </si>
  <si>
    <t>417 S. CALHOUN</t>
  </si>
  <si>
    <t>ALLEN COUNTY JAIL</t>
  </si>
  <si>
    <t>WORTHINGTON</t>
  </si>
  <si>
    <t>1530 AIRPORT ROAD</t>
  </si>
  <si>
    <t>NOBLES COUNTY JAIL</t>
  </si>
  <si>
    <t>MOUNTAIN HOME</t>
  </si>
  <si>
    <t>2255 E. 8TH NORTH</t>
  </si>
  <si>
    <t>ELMORE COUNTY JAIL</t>
  </si>
  <si>
    <t>LUBBOCK</t>
  </si>
  <si>
    <t>811 MAIN STREET</t>
  </si>
  <si>
    <t>LUBBOCK COUNTY DETENTION CENTER</t>
  </si>
  <si>
    <t>27991 BUENA VISTA BLVD</t>
  </si>
  <si>
    <t>RIO GRANDE VALLEY STAGING</t>
  </si>
  <si>
    <t>MARIETTA</t>
  </si>
  <si>
    <t>1825 COUNTY SERVICES PARKWAY</t>
  </si>
  <si>
    <t>COBB COUNTY JAIL</t>
  </si>
  <si>
    <t>2/5/2009</t>
  </si>
  <si>
    <t>WACO</t>
  </si>
  <si>
    <t>501 WASHINGTON AVENUE</t>
  </si>
  <si>
    <t>MCCLELLAN COUNTY JAIL</t>
  </si>
  <si>
    <t>10450 RANCHO ROAD</t>
  </si>
  <si>
    <t>DESERT VIEW</t>
  </si>
  <si>
    <t>10/9/2020</t>
  </si>
  <si>
    <t>BAY ST. LOUIS</t>
  </si>
  <si>
    <t>8450 HIGHWAY 90</t>
  </si>
  <si>
    <t>HANCOCK CO PUB SFTY CPLX</t>
  </si>
  <si>
    <t>CARROLLTON</t>
  </si>
  <si>
    <t>188 CEMETERY ST</t>
  </si>
  <si>
    <t>PICKENS COUNTY DET CTR</t>
  </si>
  <si>
    <t>9/5/2018</t>
  </si>
  <si>
    <t>ME</t>
  </si>
  <si>
    <t>PORTLAND</t>
  </si>
  <si>
    <t>50 COUNTY WAY</t>
  </si>
  <si>
    <t>CUMBERLAND COUNTY JAIL</t>
  </si>
  <si>
    <t>10/25/2018</t>
  </si>
  <si>
    <t>PLATTSBURGH</t>
  </si>
  <si>
    <t>25 MCCARTHY DRIVE</t>
  </si>
  <si>
    <t>CLINTON COUNTY JAIL</t>
  </si>
  <si>
    <t>750 SOUTH 5300 WEST</t>
  </si>
  <si>
    <t>10/11/2017</t>
  </si>
  <si>
    <t>BEDFORD</t>
  </si>
  <si>
    <t>2121 L DON DODSON DRIVE</t>
  </si>
  <si>
    <t>BEDFORD MUNICIPAL DETENTION CENTER</t>
  </si>
  <si>
    <t>EULESS</t>
  </si>
  <si>
    <t>1102 W. EULESS BLVD.</t>
  </si>
  <si>
    <t>EULESS CITY JAIL</t>
  </si>
  <si>
    <t>10/15/2020</t>
  </si>
  <si>
    <t>10/21/2020</t>
  </si>
  <si>
    <t>10/1/2020</t>
  </si>
  <si>
    <t>10/14/2020</t>
  </si>
  <si>
    <t>ENCINAL</t>
  </si>
  <si>
    <t>832 EAST TEXAS STATE HIGHWAY 44</t>
  </si>
  <si>
    <t>LA SALLE COUNTY REGIONAL DETENTION CENTER</t>
  </si>
  <si>
    <t>9/10/2020</t>
  </si>
  <si>
    <t>500 HILBIG RD</t>
  </si>
  <si>
    <t>JOE CORLEY PROCESSING CTR</t>
  </si>
  <si>
    <t>10/8/2020</t>
  </si>
  <si>
    <t>10/16/2020</t>
  </si>
  <si>
    <t>MCFARLAND</t>
  </si>
  <si>
    <t>611 FRONTAGE RD</t>
  </si>
  <si>
    <t>GOLDEN STATE ANNEX</t>
  </si>
  <si>
    <t>3/5/2020</t>
  </si>
  <si>
    <t>10/7/2020</t>
  </si>
  <si>
    <t>3/12/2020</t>
  </si>
  <si>
    <t>409 FM 1144</t>
  </si>
  <si>
    <t>1100 BOWLING ROAD</t>
  </si>
  <si>
    <t>CCA, FLORENCE CORRECTIONAL CENTER</t>
  </si>
  <si>
    <t>10/23/2020</t>
  </si>
  <si>
    <t>2/27/2020</t>
  </si>
  <si>
    <t>2/14/2020</t>
  </si>
  <si>
    <t>300 EL RANCHO WAY</t>
  </si>
  <si>
    <t>PBNDS 2011 - 2016 Revisions</t>
  </si>
  <si>
    <t>9/24/2020</t>
  </si>
  <si>
    <t>9/25/2020</t>
  </si>
  <si>
    <t>Source: ICE Integrated Decision Support (IIDS), 11/30/2020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</si>
</sst>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_);_(* \(#,##0\);_(* &quot;-&quot;??_);_(@_)"/>
    <numFmt numFmtId="165" formatCode="0.0"/>
    <numFmt numFmtId="166" formatCode="00000"/>
    <numFmt numFmtId="167" formatCode="_(* #,##0.0_);_(* \(#,##0.0\);_(* &quot;-&quot;_);_(@_)"/>
    <numFmt numFmtId="168" formatCode="#,##0.0"/>
  </numFmts>
  <fonts count="35" x14ac:knownFonts="1">
    <font>
      <sz val="11"/>
      <color theme="1"/>
      <name val="Calibri"/>
      <family val="2"/>
      <scheme val="minor"/>
    </font>
    <font>
      <sz val="11"/>
      <color theme="1"/>
      <name val="Calibri"/>
      <family val="2"/>
      <scheme val="minor"/>
    </font>
    <font>
      <sz val="9"/>
      <color theme="1"/>
      <name val="Calibri"/>
      <family val="2"/>
      <scheme val="minor"/>
    </font>
    <font>
      <b/>
      <sz val="9"/>
      <color theme="1"/>
      <name val="Times New Roman"/>
      <family val="1"/>
    </font>
    <font>
      <b/>
      <sz val="9"/>
      <color theme="0"/>
      <name val="Times New Roman"/>
      <family val="1"/>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sz val="10"/>
      <color indexed="72"/>
      <name val="Arial"/>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12"/>
      <color rgb="FFFF0000"/>
      <name val="Times New Roman"/>
      <family val="1"/>
    </font>
    <font>
      <b/>
      <sz val="18"/>
      <color theme="3" tint="-0.499984740745262"/>
      <name val="Calibri"/>
      <family val="2"/>
      <scheme val="minor"/>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s>
  <fills count="10">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3"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43" fontId="1" fillId="0" borderId="0" applyFont="0" applyFill="0" applyBorder="0" applyAlignment="0" applyProtection="0"/>
    <xf numFmtId="0" fontId="5" fillId="0" borderId="0"/>
    <xf numFmtId="0" fontId="6" fillId="0" borderId="0"/>
    <xf numFmtId="0" fontId="12" fillId="0" borderId="0"/>
    <xf numFmtId="9" fontId="1" fillId="0" borderId="0" applyFont="0" applyFill="0" applyBorder="0" applyAlignment="0" applyProtection="0"/>
  </cellStyleXfs>
  <cellXfs count="281">
    <xf numFmtId="0" fontId="0" fillId="0" borderId="0" xfId="0"/>
    <xf numFmtId="0" fontId="2" fillId="0" borderId="0" xfId="0" applyFont="1"/>
    <xf numFmtId="0" fontId="3" fillId="0" borderId="0" xfId="0" applyFont="1" applyAlignment="1">
      <alignment horizontal="center"/>
    </xf>
    <xf numFmtId="0" fontId="2" fillId="0" borderId="0" xfId="0" applyFont="1" applyAlignment="1">
      <alignment horizontal="center" wrapText="1"/>
    </xf>
    <xf numFmtId="0" fontId="3" fillId="2" borderId="0" xfId="0" applyFont="1" applyFill="1" applyBorder="1" applyAlignment="1">
      <alignment horizontal="center"/>
    </xf>
    <xf numFmtId="0" fontId="2" fillId="2" borderId="0" xfId="0" applyFont="1" applyFill="1" applyBorder="1"/>
    <xf numFmtId="0" fontId="2" fillId="0" borderId="0" xfId="0" applyFont="1" applyBorder="1"/>
    <xf numFmtId="0" fontId="0" fillId="0" borderId="0" xfId="0" applyAlignment="1">
      <alignment horizontal="left" vertical="top"/>
    </xf>
    <xf numFmtId="0" fontId="2" fillId="2" borderId="0" xfId="0" applyFont="1" applyFill="1"/>
    <xf numFmtId="0" fontId="2" fillId="2" borderId="0" xfId="0" applyFont="1" applyFill="1" applyAlignment="1">
      <alignment wrapText="1"/>
    </xf>
    <xf numFmtId="0" fontId="4" fillId="2" borderId="0" xfId="0" applyFont="1" applyFill="1" applyAlignment="1"/>
    <xf numFmtId="0" fontId="6" fillId="0" borderId="0" xfId="4" applyFont="1" applyAlignment="1">
      <alignment horizontal="left" vertical="center"/>
    </xf>
    <xf numFmtId="0" fontId="9" fillId="3" borderId="9" xfId="4" applyFont="1" applyFill="1" applyBorder="1" applyAlignment="1">
      <alignment vertical="top" wrapText="1"/>
    </xf>
    <xf numFmtId="0" fontId="14" fillId="4" borderId="18" xfId="0" applyFont="1" applyFill="1" applyBorder="1" applyAlignment="1">
      <alignment horizontal="left" wrapText="1"/>
    </xf>
    <xf numFmtId="0" fontId="14" fillId="4" borderId="19" xfId="0" applyFont="1" applyFill="1" applyBorder="1" applyAlignment="1">
      <alignment horizontal="left" wrapText="1"/>
    </xf>
    <xf numFmtId="166" fontId="14" fillId="4" borderId="19" xfId="0" applyNumberFormat="1" applyFont="1" applyFill="1" applyBorder="1" applyAlignment="1">
      <alignment horizontal="left" wrapText="1"/>
    </xf>
    <xf numFmtId="0" fontId="14" fillId="4" borderId="20" xfId="0" applyFont="1" applyFill="1" applyBorder="1" applyAlignment="1">
      <alignment horizontal="left" wrapText="1"/>
    </xf>
    <xf numFmtId="0" fontId="14" fillId="4" borderId="1" xfId="0" applyFont="1" applyFill="1" applyBorder="1" applyAlignment="1">
      <alignment horizontal="left" wrapText="1"/>
    </xf>
    <xf numFmtId="0" fontId="14" fillId="4" borderId="1" xfId="4" applyFont="1" applyFill="1" applyBorder="1" applyAlignment="1">
      <alignment horizontal="left" wrapText="1"/>
    </xf>
    <xf numFmtId="3" fontId="14" fillId="4" borderId="21" xfId="0" applyNumberFormat="1" applyFont="1" applyFill="1" applyBorder="1" applyAlignment="1">
      <alignment horizontal="left" wrapText="1"/>
    </xf>
    <xf numFmtId="3" fontId="14" fillId="4" borderId="19" xfId="0" applyNumberFormat="1" applyFont="1" applyFill="1" applyBorder="1" applyAlignment="1">
      <alignment horizontal="left" wrapText="1"/>
    </xf>
    <xf numFmtId="3" fontId="14" fillId="4" borderId="20" xfId="0" applyNumberFormat="1" applyFont="1" applyFill="1" applyBorder="1" applyAlignment="1">
      <alignment horizontal="left" wrapText="1"/>
    </xf>
    <xf numFmtId="3" fontId="14" fillId="4" borderId="1" xfId="0" applyNumberFormat="1" applyFont="1" applyFill="1" applyBorder="1" applyAlignment="1">
      <alignment horizontal="left" wrapText="1"/>
    </xf>
    <xf numFmtId="0" fontId="15" fillId="0" borderId="5" xfId="0" applyFont="1" applyBorder="1" applyAlignment="1">
      <alignment vertical="center"/>
    </xf>
    <xf numFmtId="0" fontId="15" fillId="0" borderId="1" xfId="0" applyFont="1" applyBorder="1" applyAlignment="1">
      <alignment vertical="center"/>
    </xf>
    <xf numFmtId="3" fontId="15" fillId="0" borderId="1" xfId="1" applyNumberFormat="1" applyFont="1" applyBorder="1" applyAlignment="1">
      <alignment vertical="center"/>
    </xf>
    <xf numFmtId="3" fontId="15" fillId="0" borderId="1" xfId="0" applyNumberFormat="1" applyFont="1" applyBorder="1" applyAlignment="1">
      <alignment horizontal="right" vertical="center"/>
    </xf>
    <xf numFmtId="3" fontId="8" fillId="0" borderId="1" xfId="0" applyNumberFormat="1" applyFont="1" applyBorder="1" applyAlignment="1">
      <alignment horizontal="right" vertical="center"/>
    </xf>
    <xf numFmtId="0" fontId="8" fillId="0" borderId="1" xfId="0" applyFont="1" applyBorder="1" applyAlignment="1">
      <alignment horizontal="right" vertical="center"/>
    </xf>
    <xf numFmtId="166" fontId="15" fillId="0" borderId="1" xfId="0" applyNumberFormat="1" applyFont="1" applyBorder="1" applyAlignment="1">
      <alignment vertical="center"/>
    </xf>
    <xf numFmtId="0" fontId="8" fillId="0" borderId="1" xfId="0" applyFont="1" applyBorder="1" applyAlignment="1">
      <alignment horizontal="left" vertical="center"/>
    </xf>
    <xf numFmtId="0" fontId="7" fillId="6" borderId="0" xfId="3" applyFont="1" applyFill="1" applyAlignment="1">
      <alignment vertical="center" wrapText="1"/>
    </xf>
    <xf numFmtId="3" fontId="14" fillId="4" borderId="3" xfId="0" applyNumberFormat="1" applyFont="1" applyFill="1" applyBorder="1" applyAlignment="1">
      <alignment horizontal="left" wrapText="1"/>
    </xf>
    <xf numFmtId="3" fontId="9" fillId="3" borderId="0" xfId="1" applyNumberFormat="1" applyFont="1" applyFill="1" applyBorder="1" applyAlignment="1">
      <alignment vertical="top" wrapText="1"/>
    </xf>
    <xf numFmtId="0" fontId="7" fillId="6" borderId="0" xfId="3" applyFont="1" applyFill="1" applyBorder="1" applyAlignment="1">
      <alignment vertical="center" wrapText="1"/>
    </xf>
    <xf numFmtId="0" fontId="14" fillId="4" borderId="20" xfId="4" applyFont="1" applyFill="1" applyBorder="1" applyAlignment="1">
      <alignment horizontal="left" wrapText="1"/>
    </xf>
    <xf numFmtId="14" fontId="15" fillId="0" borderId="12" xfId="0" applyNumberFormat="1" applyFont="1" applyBorder="1" applyAlignment="1">
      <alignment vertical="center"/>
    </xf>
    <xf numFmtId="14" fontId="8" fillId="0" borderId="12" xfId="0" applyNumberFormat="1" applyFont="1" applyBorder="1" applyAlignment="1">
      <alignment horizontal="right" vertical="center"/>
    </xf>
    <xf numFmtId="0" fontId="7" fillId="6" borderId="0" xfId="3" applyFont="1" applyFill="1" applyAlignment="1">
      <alignment horizontal="left" vertical="center" wrapText="1"/>
    </xf>
    <xf numFmtId="0" fontId="19" fillId="3" borderId="10" xfId="0" applyFont="1" applyFill="1" applyBorder="1" applyAlignment="1">
      <alignment horizontal="center" vertical="center" wrapText="1"/>
    </xf>
    <xf numFmtId="0" fontId="2" fillId="5" borderId="4" xfId="0" applyFont="1" applyFill="1" applyBorder="1"/>
    <xf numFmtId="164" fontId="2" fillId="2" borderId="3" xfId="1" applyNumberFormat="1" applyFont="1" applyFill="1" applyBorder="1" applyAlignment="1">
      <alignment horizontal="left"/>
    </xf>
    <xf numFmtId="0" fontId="11" fillId="2" borderId="0"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0" xfId="0" applyFont="1" applyFill="1" applyAlignment="1">
      <alignment horizontal="center"/>
    </xf>
    <xf numFmtId="165" fontId="2" fillId="2" borderId="1" xfId="1" applyNumberFormat="1" applyFont="1" applyFill="1" applyBorder="1"/>
    <xf numFmtId="164" fontId="2" fillId="2" borderId="0" xfId="1" applyNumberFormat="1" applyFont="1" applyFill="1" applyBorder="1" applyAlignment="1">
      <alignment horizontal="left"/>
    </xf>
    <xf numFmtId="0" fontId="11" fillId="2" borderId="0" xfId="0" applyFont="1" applyFill="1" applyAlignment="1">
      <alignment horizontal="center" wrapText="1"/>
    </xf>
    <xf numFmtId="0" fontId="11" fillId="2" borderId="8" xfId="0" applyFont="1" applyFill="1" applyBorder="1" applyAlignment="1">
      <alignment horizontal="center"/>
    </xf>
    <xf numFmtId="0" fontId="11" fillId="0" borderId="0" xfId="0" applyFont="1" applyAlignment="1">
      <alignment horizontal="center"/>
    </xf>
    <xf numFmtId="0" fontId="11" fillId="2" borderId="0" xfId="0" applyFont="1" applyFill="1" applyBorder="1" applyAlignment="1">
      <alignment horizontal="center"/>
    </xf>
    <xf numFmtId="0" fontId="11" fillId="0" borderId="0" xfId="0" applyFont="1"/>
    <xf numFmtId="0" fontId="0" fillId="0" borderId="0" xfId="0" applyFont="1" applyBorder="1"/>
    <xf numFmtId="0" fontId="0" fillId="0" borderId="0" xfId="0" applyFont="1"/>
    <xf numFmtId="0" fontId="21" fillId="3" borderId="9" xfId="4" applyFont="1" applyFill="1" applyBorder="1" applyAlignment="1">
      <alignment vertical="top" wrapText="1"/>
    </xf>
    <xf numFmtId="0" fontId="22" fillId="3" borderId="7" xfId="4" applyFont="1" applyFill="1" applyBorder="1" applyAlignment="1">
      <alignment horizontal="left" vertical="top" wrapText="1"/>
    </xf>
    <xf numFmtId="0" fontId="24" fillId="6" borderId="0" xfId="3" applyFont="1" applyFill="1" applyAlignment="1">
      <alignment vertical="center" wrapText="1"/>
    </xf>
    <xf numFmtId="0" fontId="17" fillId="0" borderId="1" xfId="0" applyFont="1" applyBorder="1" applyAlignment="1">
      <alignment vertical="center"/>
    </xf>
    <xf numFmtId="0" fontId="16" fillId="7" borderId="1" xfId="0" applyFont="1" applyFill="1" applyBorder="1" applyAlignment="1">
      <alignment vertical="center"/>
    </xf>
    <xf numFmtId="3" fontId="17" fillId="0" borderId="1" xfId="0" applyNumberFormat="1" applyFont="1" applyBorder="1" applyAlignment="1">
      <alignment vertical="center"/>
    </xf>
    <xf numFmtId="3" fontId="16" fillId="7" borderId="1" xfId="0" applyNumberFormat="1" applyFont="1" applyFill="1" applyBorder="1" applyAlignment="1">
      <alignment vertical="center"/>
    </xf>
    <xf numFmtId="0" fontId="18" fillId="8" borderId="1" xfId="0" applyFont="1" applyFill="1" applyBorder="1" applyAlignment="1">
      <alignment vertical="center"/>
    </xf>
    <xf numFmtId="0" fontId="23" fillId="6" borderId="11" xfId="3" applyFont="1" applyFill="1" applyBorder="1" applyAlignment="1">
      <alignment vertical="center" wrapText="1"/>
    </xf>
    <xf numFmtId="0" fontId="29" fillId="6" borderId="6" xfId="3" applyFont="1" applyFill="1" applyBorder="1" applyAlignment="1">
      <alignment vertical="center" wrapText="1"/>
    </xf>
    <xf numFmtId="0" fontId="7" fillId="5" borderId="0" xfId="3" applyFont="1" applyFill="1" applyAlignment="1">
      <alignment vertical="center" wrapText="1"/>
    </xf>
    <xf numFmtId="0" fontId="28" fillId="5" borderId="0" xfId="2" applyFont="1" applyFill="1" applyAlignment="1">
      <alignment vertical="top"/>
    </xf>
    <xf numFmtId="0" fontId="23" fillId="6" borderId="0" xfId="3" applyFont="1" applyFill="1" applyAlignment="1">
      <alignment vertical="center" wrapText="1"/>
    </xf>
    <xf numFmtId="0" fontId="23" fillId="6" borderId="0" xfId="3" applyFont="1" applyFill="1" applyBorder="1" applyAlignment="1">
      <alignment vertical="center" wrapText="1"/>
    </xf>
    <xf numFmtId="0" fontId="7" fillId="5" borderId="0" xfId="3" applyFont="1" applyFill="1" applyBorder="1" applyAlignment="1">
      <alignment vertical="center" wrapText="1"/>
    </xf>
    <xf numFmtId="0" fontId="0" fillId="2" borderId="0" xfId="0" applyFill="1"/>
    <xf numFmtId="0" fontId="28" fillId="2" borderId="0" xfId="2" applyFont="1" applyFill="1" applyAlignment="1">
      <alignment vertical="top"/>
    </xf>
    <xf numFmtId="0" fontId="31" fillId="3" borderId="23" xfId="0" applyFont="1" applyFill="1" applyBorder="1" applyAlignment="1">
      <alignment horizontal="center" vertical="center" wrapText="1"/>
    </xf>
    <xf numFmtId="0" fontId="31" fillId="3" borderId="24" xfId="0" applyFont="1" applyFill="1" applyBorder="1" applyAlignment="1">
      <alignment horizontal="center" vertical="center" wrapText="1"/>
    </xf>
    <xf numFmtId="0" fontId="32" fillId="4" borderId="25" xfId="0" applyFont="1" applyFill="1" applyBorder="1"/>
    <xf numFmtId="41" fontId="33" fillId="4" borderId="4" xfId="0" applyNumberFormat="1" applyFont="1" applyFill="1" applyBorder="1" applyAlignment="1">
      <alignment horizontal="center"/>
    </xf>
    <xf numFmtId="167" fontId="33" fillId="4" borderId="4" xfId="0" applyNumberFormat="1" applyFont="1" applyFill="1" applyBorder="1" applyAlignment="1">
      <alignment horizontal="center"/>
    </xf>
    <xf numFmtId="0" fontId="32" fillId="9" borderId="1" xfId="0" applyFont="1" applyFill="1" applyBorder="1" applyAlignment="1">
      <alignment vertical="center"/>
    </xf>
    <xf numFmtId="3" fontId="32" fillId="9" borderId="1" xfId="0" applyNumberFormat="1" applyFont="1" applyFill="1" applyBorder="1" applyAlignment="1">
      <alignment vertical="center"/>
    </xf>
    <xf numFmtId="168" fontId="32" fillId="9" borderId="1" xfId="0" applyNumberFormat="1" applyFont="1" applyFill="1" applyBorder="1" applyAlignment="1">
      <alignment vertical="center"/>
    </xf>
    <xf numFmtId="0" fontId="8" fillId="0" borderId="1" xfId="0" applyFont="1" applyBorder="1" applyAlignment="1">
      <alignment horizontal="left" indent="1"/>
    </xf>
    <xf numFmtId="3" fontId="8" fillId="0" borderId="1" xfId="0" applyNumberFormat="1" applyFont="1" applyBorder="1"/>
    <xf numFmtId="168" fontId="8" fillId="0" borderId="1" xfId="0" applyNumberFormat="1" applyFont="1" applyBorder="1"/>
    <xf numFmtId="0" fontId="7" fillId="2" borderId="0" xfId="3" applyFont="1" applyFill="1" applyAlignment="1">
      <alignment vertical="center" wrapText="1"/>
    </xf>
    <xf numFmtId="164" fontId="2" fillId="2" borderId="1" xfId="1" applyNumberFormat="1" applyFont="1" applyFill="1" applyBorder="1" applyAlignment="1">
      <alignment horizontal="left"/>
    </xf>
    <xf numFmtId="0" fontId="11" fillId="2" borderId="0" xfId="0" applyFont="1" applyFill="1" applyBorder="1" applyAlignment="1">
      <alignment vertical="center" wrapText="1"/>
    </xf>
    <xf numFmtId="0" fontId="19" fillId="3" borderId="1" xfId="0" applyFont="1" applyFill="1" applyBorder="1" applyAlignment="1">
      <alignment horizontal="center" vertical="center" wrapText="1"/>
    </xf>
    <xf numFmtId="0" fontId="0" fillId="2" borderId="0" xfId="0" applyFont="1" applyFill="1"/>
    <xf numFmtId="0" fontId="11" fillId="2" borderId="0" xfId="0" applyFont="1" applyFill="1" applyBorder="1" applyAlignment="1">
      <alignment horizontal="center" vertical="center" wrapText="1"/>
    </xf>
    <xf numFmtId="0" fontId="11" fillId="2" borderId="0" xfId="0" applyFont="1" applyFill="1" applyBorder="1" applyAlignment="1">
      <alignment horizontal="left" vertical="center" wrapText="1"/>
    </xf>
    <xf numFmtId="0" fontId="2" fillId="2" borderId="0" xfId="0" applyFont="1" applyFill="1" applyAlignment="1">
      <alignment horizontal="left"/>
    </xf>
    <xf numFmtId="0" fontId="11" fillId="2" borderId="0" xfId="0" applyFont="1" applyFill="1" applyAlignment="1">
      <alignment horizontal="left"/>
    </xf>
    <xf numFmtId="0" fontId="2" fillId="2" borderId="0" xfId="0" applyFont="1" applyFill="1" applyBorder="1" applyAlignment="1"/>
    <xf numFmtId="0" fontId="2" fillId="2" borderId="0" xfId="0" applyFont="1" applyFill="1" applyAlignment="1"/>
    <xf numFmtId="0" fontId="11" fillId="2" borderId="8" xfId="0" applyFont="1" applyFill="1" applyBorder="1" applyAlignment="1"/>
    <xf numFmtId="0" fontId="11" fillId="2" borderId="0" xfId="0" applyFont="1" applyFill="1" applyAlignment="1"/>
    <xf numFmtId="165" fontId="2" fillId="2" borderId="0" xfId="1" applyNumberFormat="1" applyFont="1" applyFill="1" applyBorder="1"/>
    <xf numFmtId="165" fontId="19" fillId="3" borderId="1" xfId="0" applyNumberFormat="1" applyFont="1" applyFill="1" applyBorder="1" applyAlignment="1">
      <alignment horizontal="center" vertical="center" wrapText="1"/>
    </xf>
    <xf numFmtId="164" fontId="2" fillId="2" borderId="1" xfId="1" applyNumberFormat="1" applyFont="1" applyFill="1" applyBorder="1" applyAlignment="1"/>
    <xf numFmtId="164" fontId="2" fillId="2" borderId="1" xfId="1" applyNumberFormat="1" applyFont="1" applyFill="1" applyBorder="1" applyAlignment="1">
      <alignment horizontal="center"/>
    </xf>
    <xf numFmtId="0" fontId="11" fillId="0" borderId="0" xfId="0" applyFont="1" applyBorder="1" applyAlignment="1">
      <alignment horizontal="center"/>
    </xf>
    <xf numFmtId="0" fontId="11" fillId="2" borderId="7" xfId="0" applyFont="1" applyFill="1" applyBorder="1" applyAlignment="1">
      <alignment horizontal="center" vertical="center"/>
    </xf>
    <xf numFmtId="0" fontId="2" fillId="2" borderId="0" xfId="0" applyFont="1" applyFill="1" applyBorder="1" applyAlignment="1">
      <alignment horizontal="left"/>
    </xf>
    <xf numFmtId="0" fontId="2" fillId="5" borderId="25" xfId="0" applyFont="1" applyFill="1" applyBorder="1"/>
    <xf numFmtId="164" fontId="2" fillId="2" borderId="2" xfId="1" applyNumberFormat="1" applyFont="1" applyFill="1" applyBorder="1" applyAlignment="1">
      <alignment horizontal="left"/>
    </xf>
    <xf numFmtId="164" fontId="2" fillId="2" borderId="5" xfId="1" applyNumberFormat="1" applyFont="1" applyFill="1" applyBorder="1" applyAlignment="1">
      <alignment horizontal="left"/>
    </xf>
    <xf numFmtId="164" fontId="2" fillId="2" borderId="7" xfId="1" applyNumberFormat="1" applyFont="1" applyFill="1" applyBorder="1" applyAlignment="1">
      <alignment horizontal="left"/>
    </xf>
    <xf numFmtId="0" fontId="2" fillId="2" borderId="0" xfId="0" applyFont="1" applyFill="1" applyBorder="1" applyAlignment="1">
      <alignment wrapText="1"/>
    </xf>
    <xf numFmtId="0" fontId="2" fillId="0" borderId="7" xfId="0" applyFont="1" applyBorder="1"/>
    <xf numFmtId="0" fontId="11" fillId="0" borderId="8" xfId="0" applyFont="1" applyBorder="1" applyAlignment="1">
      <alignment horizontal="center"/>
    </xf>
    <xf numFmtId="0" fontId="19" fillId="3" borderId="5" xfId="0" applyFont="1" applyFill="1" applyBorder="1" applyAlignment="1">
      <alignment horizontal="center" vertical="center" wrapText="1"/>
    </xf>
    <xf numFmtId="0" fontId="2" fillId="5" borderId="5" xfId="0" applyFont="1" applyFill="1" applyBorder="1"/>
    <xf numFmtId="164" fontId="30" fillId="2" borderId="5" xfId="1" applyNumberFormat="1" applyFont="1" applyFill="1" applyBorder="1" applyAlignment="1">
      <alignment horizontal="right"/>
    </xf>
    <xf numFmtId="164" fontId="2" fillId="2" borderId="2" xfId="1" applyNumberFormat="1" applyFont="1" applyFill="1" applyBorder="1" applyAlignment="1">
      <alignment horizontal="right"/>
    </xf>
    <xf numFmtId="164" fontId="2" fillId="2" borderId="5" xfId="1" applyNumberFormat="1" applyFont="1" applyFill="1" applyBorder="1" applyAlignment="1">
      <alignment horizontal="right"/>
    </xf>
    <xf numFmtId="0" fontId="0" fillId="0" borderId="7" xfId="0" applyFont="1" applyBorder="1"/>
    <xf numFmtId="0" fontId="0" fillId="0" borderId="8" xfId="0" applyFont="1" applyBorder="1"/>
    <xf numFmtId="0" fontId="19" fillId="3" borderId="1" xfId="0" applyFont="1" applyFill="1" applyBorder="1" applyAlignment="1">
      <alignment horizontal="center" vertical="center" wrapText="1"/>
    </xf>
    <xf numFmtId="164" fontId="2" fillId="5" borderId="4" xfId="1" applyNumberFormat="1"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9" fontId="2" fillId="2" borderId="3" xfId="5" applyFont="1" applyFill="1" applyBorder="1" applyAlignment="1">
      <alignment horizontal="right"/>
    </xf>
    <xf numFmtId="9" fontId="2" fillId="2" borderId="1" xfId="5" applyFont="1" applyFill="1" applyBorder="1" applyAlignment="1">
      <alignment horizontal="right"/>
    </xf>
    <xf numFmtId="9" fontId="2" fillId="5" borderId="4" xfId="5" applyFont="1" applyFill="1" applyBorder="1"/>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41" fontId="2" fillId="2" borderId="30" xfId="1" applyNumberFormat="1" applyFont="1" applyFill="1" applyBorder="1" applyAlignment="1">
      <alignment horizontal="left"/>
    </xf>
    <xf numFmtId="41" fontId="2" fillId="5" borderId="34" xfId="1" applyNumberFormat="1" applyFont="1" applyFill="1" applyBorder="1"/>
    <xf numFmtId="164" fontId="2" fillId="5" borderId="4" xfId="1" applyNumberFormat="1" applyFont="1" applyFill="1" applyBorder="1"/>
    <xf numFmtId="164" fontId="2" fillId="2" borderId="1" xfId="1" applyNumberFormat="1" applyFont="1" applyFill="1" applyBorder="1" applyAlignment="1">
      <alignment horizontal="left"/>
    </xf>
    <xf numFmtId="41" fontId="2" fillId="5" borderId="4" xfId="0" applyNumberFormat="1" applyFont="1" applyFill="1" applyBorder="1"/>
    <xf numFmtId="164" fontId="2" fillId="2" borderId="3" xfId="1" applyNumberFormat="1" applyFont="1" applyFill="1" applyBorder="1" applyAlignment="1"/>
    <xf numFmtId="164" fontId="2" fillId="5" borderId="4" xfId="1" applyNumberFormat="1"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41" fontId="2" fillId="5" borderId="4" xfId="0" applyNumberFormat="1" applyFont="1" applyFill="1" applyBorder="1"/>
    <xf numFmtId="41" fontId="2" fillId="2" borderId="1" xfId="1" applyNumberFormat="1" applyFont="1" applyFill="1" applyBorder="1" applyAlignment="1">
      <alignment horizontal="left"/>
    </xf>
    <xf numFmtId="41" fontId="2" fillId="5" borderId="1" xfId="1" applyNumberFormat="1" applyFont="1" applyFill="1" applyBorder="1"/>
    <xf numFmtId="41" fontId="2" fillId="5" borderId="1" xfId="0" applyNumberFormat="1" applyFont="1" applyFill="1" applyBorder="1"/>
    <xf numFmtId="167" fontId="2" fillId="5" borderId="1" xfId="1" applyNumberFormat="1" applyFont="1" applyFill="1" applyBorder="1"/>
    <xf numFmtId="167" fontId="2" fillId="5" borderId="1" xfId="0" applyNumberFormat="1" applyFont="1" applyFill="1" applyBorder="1"/>
    <xf numFmtId="167" fontId="2" fillId="2" borderId="1" xfId="1" applyNumberFormat="1" applyFont="1" applyFill="1" applyBorder="1" applyAlignment="1">
      <alignment horizontal="left"/>
    </xf>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167" fontId="2" fillId="2" borderId="1" xfId="1" applyNumberFormat="1" applyFont="1" applyFill="1" applyBorder="1" applyAlignment="1">
      <alignment horizontal="left"/>
    </xf>
    <xf numFmtId="167" fontId="2" fillId="5" borderId="4" xfId="1" applyNumberFormat="1" applyFont="1" applyFill="1" applyBorder="1"/>
    <xf numFmtId="167" fontId="2" fillId="5" borderId="4" xfId="0" applyNumberFormat="1" applyFont="1" applyFill="1" applyBorder="1"/>
    <xf numFmtId="167" fontId="2" fillId="2" borderId="3" xfId="1" applyNumberFormat="1" applyFont="1" applyFill="1" applyBorder="1" applyAlignment="1">
      <alignment horizontal="left"/>
    </xf>
    <xf numFmtId="164" fontId="2" fillId="2" borderId="3" xfId="1" applyNumberFormat="1" applyFont="1" applyFill="1" applyBorder="1" applyAlignment="1">
      <alignment horizontal="left"/>
    </xf>
    <xf numFmtId="16" fontId="0" fillId="0" borderId="0" xfId="0" applyNumberFormat="1"/>
    <xf numFmtId="4" fontId="0" fillId="0" borderId="0" xfId="0" applyNumberFormat="1"/>
    <xf numFmtId="4" fontId="11" fillId="2" borderId="0" xfId="0" applyNumberFormat="1" applyFont="1" applyFill="1" applyBorder="1" applyAlignment="1">
      <alignment horizontal="center"/>
    </xf>
    <xf numFmtId="3" fontId="2" fillId="0" borderId="0" xfId="0" applyNumberFormat="1" applyFont="1" applyBorder="1"/>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3" fontId="2" fillId="2" borderId="0" xfId="0" applyNumberFormat="1" applyFont="1" applyFill="1"/>
    <xf numFmtId="3" fontId="0" fillId="0" borderId="0" xfId="0" applyNumberFormat="1"/>
    <xf numFmtId="16" fontId="2" fillId="2" borderId="0" xfId="0" applyNumberFormat="1" applyFont="1" applyFill="1" applyBorder="1"/>
    <xf numFmtId="16" fontId="2" fillId="0" borderId="0" xfId="0" applyNumberFormat="1" applyFont="1" applyBorder="1"/>
    <xf numFmtId="3" fontId="11" fillId="2" borderId="0" xfId="0" applyNumberFormat="1" applyFont="1" applyFill="1" applyBorder="1" applyAlignment="1">
      <alignment horizontal="center"/>
    </xf>
    <xf numFmtId="16" fontId="11" fillId="2" borderId="0" xfId="0" applyNumberFormat="1" applyFont="1" applyFill="1" applyBorder="1" applyAlignment="1">
      <alignment horizontal="center"/>
    </xf>
    <xf numFmtId="16" fontId="11" fillId="2" borderId="8" xfId="0" applyNumberFormat="1" applyFont="1" applyFill="1" applyBorder="1" applyAlignment="1">
      <alignment horizontal="center"/>
    </xf>
    <xf numFmtId="16" fontId="2" fillId="0" borderId="0" xfId="0" applyNumberFormat="1" applyFont="1"/>
    <xf numFmtId="4" fontId="11" fillId="2" borderId="8" xfId="0" applyNumberFormat="1" applyFont="1" applyFill="1" applyBorder="1" applyAlignment="1">
      <alignment horizontal="center"/>
    </xf>
    <xf numFmtId="4" fontId="2" fillId="0" borderId="0" xfId="0" applyNumberFormat="1" applyFont="1"/>
    <xf numFmtId="4" fontId="2" fillId="0" borderId="0" xfId="0" applyNumberFormat="1" applyFont="1" applyAlignment="1">
      <alignment horizontal="center" wrapText="1"/>
    </xf>
    <xf numFmtId="16" fontId="2" fillId="2" borderId="0" xfId="0" applyNumberFormat="1" applyFont="1" applyFill="1"/>
    <xf numFmtId="16" fontId="11" fillId="0" borderId="0" xfId="0" applyNumberFormat="1" applyFont="1" applyAlignment="1">
      <alignment horizontal="center"/>
    </xf>
    <xf numFmtId="4" fontId="11" fillId="0" borderId="0" xfId="0" applyNumberFormat="1" applyFont="1" applyAlignment="1">
      <alignment horizontal="center"/>
    </xf>
    <xf numFmtId="4" fontId="11" fillId="0" borderId="0" xfId="0" applyNumberFormat="1" applyFont="1"/>
    <xf numFmtId="3" fontId="2" fillId="0" borderId="0" xfId="0" applyNumberFormat="1" applyFont="1"/>
    <xf numFmtId="3" fontId="11" fillId="2" borderId="8" xfId="0" applyNumberFormat="1" applyFont="1" applyFill="1" applyBorder="1" applyAlignment="1">
      <alignment horizontal="center"/>
    </xf>
    <xf numFmtId="164" fontId="30" fillId="2" borderId="1" xfId="1" applyNumberFormat="1" applyFont="1" applyFill="1" applyBorder="1" applyAlignment="1">
      <alignment horizontal="left"/>
    </xf>
    <xf numFmtId="164" fontId="30" fillId="2" borderId="1" xfId="1" applyNumberFormat="1" applyFont="1" applyFill="1" applyBorder="1" applyAlignment="1"/>
    <xf numFmtId="164" fontId="30" fillId="2" borderId="1" xfId="1" applyNumberFormat="1" applyFont="1" applyFill="1" applyBorder="1" applyAlignment="1">
      <alignment horizontal="center"/>
    </xf>
    <xf numFmtId="0" fontId="10" fillId="3" borderId="23" xfId="0" applyFont="1" applyFill="1" applyBorder="1" applyAlignment="1">
      <alignment horizontal="left" vertical="top" wrapText="1"/>
    </xf>
    <xf numFmtId="0" fontId="10" fillId="3" borderId="27" xfId="0" applyFont="1" applyFill="1" applyBorder="1" applyAlignment="1">
      <alignment horizontal="left" vertical="top" wrapText="1"/>
    </xf>
    <xf numFmtId="0" fontId="8" fillId="0" borderId="5" xfId="0" applyFont="1" applyBorder="1" applyAlignment="1">
      <alignment horizontal="left" vertical="top" wrapText="1"/>
    </xf>
    <xf numFmtId="0" fontId="8" fillId="0" borderId="39" xfId="0" applyFont="1" applyBorder="1" applyAlignment="1">
      <alignment horizontal="left" vertical="top" wrapText="1"/>
    </xf>
    <xf numFmtId="0" fontId="8" fillId="0" borderId="5" xfId="0" applyFont="1" applyFill="1" applyBorder="1" applyAlignment="1">
      <alignment horizontal="left" vertical="top" wrapText="1"/>
    </xf>
    <xf numFmtId="0" fontId="8" fillId="0" borderId="39" xfId="0" applyFont="1" applyFill="1" applyBorder="1" applyAlignment="1">
      <alignment horizontal="left" vertical="top" wrapText="1"/>
    </xf>
    <xf numFmtId="0" fontId="8" fillId="2" borderId="39" xfId="0" applyFont="1" applyFill="1" applyBorder="1" applyAlignment="1">
      <alignment horizontal="left" vertical="top" wrapText="1"/>
    </xf>
    <xf numFmtId="0" fontId="8" fillId="0" borderId="7" xfId="0" applyFont="1" applyBorder="1" applyAlignment="1">
      <alignment horizontal="left" vertical="top" wrapText="1"/>
    </xf>
    <xf numFmtId="0" fontId="0" fillId="0" borderId="7" xfId="0" applyBorder="1" applyAlignment="1">
      <alignment horizontal="left" vertical="top"/>
    </xf>
    <xf numFmtId="0" fontId="8" fillId="0" borderId="10" xfId="0" applyFont="1" applyBorder="1" applyAlignment="1">
      <alignment horizontal="left" vertical="top"/>
    </xf>
    <xf numFmtId="0" fontId="8" fillId="0" borderId="2" xfId="0" applyFont="1" applyBorder="1" applyAlignment="1">
      <alignment horizontal="left" vertical="top"/>
    </xf>
    <xf numFmtId="0" fontId="0" fillId="0" borderId="2" xfId="0" applyBorder="1" applyAlignment="1">
      <alignment horizontal="left" vertical="top"/>
    </xf>
    <xf numFmtId="49" fontId="34" fillId="2" borderId="39" xfId="0" applyNumberFormat="1" applyFont="1" applyFill="1" applyBorder="1" applyAlignment="1">
      <alignment vertical="top" wrapText="1"/>
    </xf>
    <xf numFmtId="49" fontId="34" fillId="0" borderId="39" xfId="0" applyNumberFormat="1" applyFont="1" applyBorder="1" applyAlignment="1">
      <alignment vertical="top" wrapText="1"/>
    </xf>
    <xf numFmtId="49" fontId="34" fillId="0" borderId="44" xfId="0" applyNumberFormat="1" applyFont="1" applyBorder="1" applyAlignment="1">
      <alignment vertical="top" wrapText="1"/>
    </xf>
    <xf numFmtId="4" fontId="2" fillId="0" borderId="0" xfId="0" applyNumberFormat="1" applyFont="1" applyBorder="1"/>
    <xf numFmtId="41" fontId="2" fillId="2" borderId="39" xfId="1" applyNumberFormat="1" applyFont="1" applyFill="1" applyBorder="1" applyAlignment="1">
      <alignment horizontal="left"/>
    </xf>
    <xf numFmtId="4" fontId="2" fillId="2" borderId="0" xfId="0" applyNumberFormat="1" applyFont="1" applyFill="1" applyBorder="1"/>
    <xf numFmtId="0" fontId="11" fillId="2" borderId="0" xfId="0" applyFont="1" applyFill="1" applyBorder="1" applyAlignment="1">
      <alignment vertical="center" wrapText="1"/>
    </xf>
    <xf numFmtId="3" fontId="9" fillId="3" borderId="0" xfId="1" applyNumberFormat="1" applyFont="1" applyFill="1" applyBorder="1" applyAlignment="1">
      <alignment horizontal="left" vertical="top" wrapText="1"/>
    </xf>
    <xf numFmtId="0" fontId="28" fillId="5" borderId="0" xfId="2" applyFont="1" applyFill="1" applyAlignment="1">
      <alignment horizontal="left" vertical="top"/>
    </xf>
    <xf numFmtId="0" fontId="28" fillId="0" borderId="0" xfId="2" applyFont="1" applyAlignment="1">
      <alignment horizontal="left" vertical="top"/>
    </xf>
    <xf numFmtId="0" fontId="23" fillId="6" borderId="0" xfId="3" applyFont="1" applyFill="1" applyAlignment="1">
      <alignment horizontal="left" vertical="center" wrapText="1"/>
    </xf>
    <xf numFmtId="164" fontId="2" fillId="2" borderId="1" xfId="1" applyNumberFormat="1" applyFont="1" applyFill="1" applyBorder="1" applyAlignment="1">
      <alignment horizontal="right"/>
    </xf>
    <xf numFmtId="0" fontId="19" fillId="3" borderId="1" xfId="0" applyFont="1" applyFill="1" applyBorder="1" applyAlignment="1">
      <alignment horizontal="center" vertical="center" wrapText="1"/>
    </xf>
    <xf numFmtId="0" fontId="11" fillId="2" borderId="0" xfId="0" applyFont="1" applyFill="1" applyBorder="1" applyAlignment="1">
      <alignment horizontal="left" vertical="center" wrapText="1"/>
    </xf>
    <xf numFmtId="164" fontId="2" fillId="4" borderId="14" xfId="1" applyNumberFormat="1" applyFont="1" applyFill="1" applyBorder="1" applyAlignment="1">
      <alignment horizontal="center"/>
    </xf>
    <xf numFmtId="164" fontId="2" fillId="4" borderId="26" xfId="1" applyNumberFormat="1" applyFont="1" applyFill="1" applyBorder="1" applyAlignment="1">
      <alignment horizontal="center"/>
    </xf>
    <xf numFmtId="164" fontId="2" fillId="4" borderId="15" xfId="1" applyNumberFormat="1" applyFont="1" applyFill="1" applyBorder="1" applyAlignment="1">
      <alignment horizontal="center"/>
    </xf>
    <xf numFmtId="164" fontId="2" fillId="2" borderId="3" xfId="1" applyNumberFormat="1" applyFont="1" applyFill="1" applyBorder="1" applyAlignment="1">
      <alignment horizontal="right"/>
    </xf>
    <xf numFmtId="0" fontId="11" fillId="0" borderId="7" xfId="0" applyFont="1" applyBorder="1" applyAlignment="1">
      <alignment horizontal="left" vertical="center"/>
    </xf>
    <xf numFmtId="0" fontId="11" fillId="0" borderId="0" xfId="0" applyFont="1" applyBorder="1" applyAlignment="1">
      <alignment horizontal="left" vertical="center"/>
    </xf>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0" fontId="11" fillId="2" borderId="7" xfId="0" applyFont="1" applyFill="1" applyBorder="1" applyAlignment="1">
      <alignment vertical="center" wrapText="1"/>
    </xf>
    <xf numFmtId="0" fontId="11" fillId="2" borderId="0" xfId="0" applyFont="1" applyFill="1" applyBorder="1" applyAlignment="1">
      <alignment vertical="center" wrapText="1"/>
    </xf>
    <xf numFmtId="0" fontId="11" fillId="2" borderId="7" xfId="0" applyFont="1" applyFill="1" applyBorder="1" applyAlignment="1">
      <alignment horizontal="left" vertical="center" wrapText="1"/>
    </xf>
    <xf numFmtId="164" fontId="2" fillId="2" borderId="35" xfId="1" applyNumberFormat="1" applyFont="1" applyFill="1" applyBorder="1" applyAlignment="1">
      <alignment horizontal="center"/>
    </xf>
    <xf numFmtId="164" fontId="2" fillId="2" borderId="36" xfId="1" applyNumberFormat="1" applyFont="1" applyFill="1" applyBorder="1" applyAlignment="1">
      <alignment horizontal="center"/>
    </xf>
    <xf numFmtId="164" fontId="2" fillId="2" borderId="37" xfId="1" applyNumberFormat="1" applyFont="1" applyFill="1" applyBorder="1" applyAlignment="1">
      <alignment horizontal="center"/>
    </xf>
    <xf numFmtId="164" fontId="2" fillId="2" borderId="12" xfId="1" applyNumberFormat="1" applyFont="1" applyFill="1" applyBorder="1" applyAlignment="1">
      <alignment horizontal="center"/>
    </xf>
    <xf numFmtId="164" fontId="2" fillId="2" borderId="13" xfId="1" applyNumberFormat="1" applyFont="1" applyFill="1" applyBorder="1" applyAlignment="1">
      <alignment horizontal="center"/>
    </xf>
    <xf numFmtId="164" fontId="2" fillId="2" borderId="38" xfId="1" applyNumberFormat="1" applyFont="1" applyFill="1" applyBorder="1" applyAlignment="1">
      <alignment horizontal="center"/>
    </xf>
    <xf numFmtId="0" fontId="2" fillId="4" borderId="31" xfId="0" applyFont="1" applyFill="1" applyBorder="1" applyAlignment="1">
      <alignment horizontal="center" vertical="center"/>
    </xf>
    <xf numFmtId="0" fontId="2" fillId="4" borderId="32" xfId="0" applyFont="1" applyFill="1" applyBorder="1" applyAlignment="1">
      <alignment horizontal="center" vertical="center"/>
    </xf>
    <xf numFmtId="0" fontId="2" fillId="4" borderId="33" xfId="0" applyFont="1" applyFill="1" applyBorder="1" applyAlignment="1">
      <alignment horizontal="center" vertical="center"/>
    </xf>
    <xf numFmtId="0" fontId="2" fillId="5" borderId="4" xfId="0" applyFont="1" applyFill="1" applyBorder="1" applyAlignment="1">
      <alignment horizontal="left"/>
    </xf>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0" fontId="2" fillId="4" borderId="12"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38" xfId="0" applyFont="1" applyFill="1" applyBorder="1" applyAlignment="1">
      <alignment horizontal="center" vertical="center"/>
    </xf>
    <xf numFmtId="0" fontId="19" fillId="3" borderId="16"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19" fillId="3" borderId="22" xfId="0" applyFont="1" applyFill="1" applyBorder="1" applyAlignment="1">
      <alignment horizontal="center" vertical="center" wrapText="1"/>
    </xf>
    <xf numFmtId="0" fontId="2" fillId="5" borderId="14" xfId="0" applyFont="1" applyFill="1" applyBorder="1" applyAlignment="1">
      <alignment horizontal="center"/>
    </xf>
    <xf numFmtId="0" fontId="2" fillId="5" borderId="15" xfId="0" applyFont="1" applyFill="1" applyBorder="1" applyAlignment="1">
      <alignment horizontal="center"/>
    </xf>
    <xf numFmtId="164" fontId="2" fillId="2" borderId="16" xfId="1" applyNumberFormat="1" applyFont="1" applyFill="1" applyBorder="1" applyAlignment="1">
      <alignment horizontal="left" wrapText="1"/>
    </xf>
    <xf numFmtId="164" fontId="2" fillId="2" borderId="17" xfId="1" applyNumberFormat="1" applyFont="1" applyFill="1" applyBorder="1" applyAlignment="1">
      <alignment horizontal="left" wrapText="1"/>
    </xf>
    <xf numFmtId="164" fontId="2" fillId="5" borderId="14" xfId="1" applyNumberFormat="1" applyFont="1" applyFill="1" applyBorder="1" applyAlignment="1">
      <alignment horizontal="center"/>
    </xf>
    <xf numFmtId="164" fontId="2" fillId="5" borderId="26" xfId="1" applyNumberFormat="1" applyFont="1" applyFill="1" applyBorder="1" applyAlignment="1">
      <alignment horizontal="center"/>
    </xf>
    <xf numFmtId="164" fontId="2" fillId="5" borderId="15" xfId="1" applyNumberFormat="1" applyFont="1" applyFill="1" applyBorder="1" applyAlignment="1">
      <alignment horizontal="center"/>
    </xf>
    <xf numFmtId="0" fontId="11" fillId="4" borderId="28" xfId="0" applyFont="1" applyFill="1" applyBorder="1" applyAlignment="1">
      <alignment horizontal="center" vertical="center"/>
    </xf>
    <xf numFmtId="0" fontId="11" fillId="4" borderId="13" xfId="0" applyFont="1" applyFill="1" applyBorder="1" applyAlignment="1">
      <alignment horizontal="center" vertical="center"/>
    </xf>
    <xf numFmtId="0" fontId="11" fillId="4" borderId="29" xfId="0" applyFont="1" applyFill="1" applyBorder="1" applyAlignment="1">
      <alignment horizontal="center" vertical="center"/>
    </xf>
    <xf numFmtId="0" fontId="11" fillId="2" borderId="7" xfId="0" applyFont="1" applyFill="1" applyBorder="1" applyAlignment="1">
      <alignment horizontal="left" vertical="center"/>
    </xf>
    <xf numFmtId="0" fontId="2" fillId="4" borderId="28" xfId="0" applyFont="1" applyFill="1" applyBorder="1" applyAlignment="1">
      <alignment horizontal="center" vertical="center"/>
    </xf>
    <xf numFmtId="0" fontId="2" fillId="4" borderId="29" xfId="0" applyFont="1" applyFill="1" applyBorder="1" applyAlignment="1">
      <alignment horizontal="center" vertical="center"/>
    </xf>
    <xf numFmtId="0" fontId="3" fillId="4" borderId="23" xfId="0" applyFont="1" applyFill="1" applyBorder="1" applyAlignment="1">
      <alignment horizontal="center" vertical="center"/>
    </xf>
    <xf numFmtId="0" fontId="3" fillId="4" borderId="24" xfId="0" applyFont="1" applyFill="1" applyBorder="1" applyAlignment="1">
      <alignment horizontal="center" vertical="center"/>
    </xf>
    <xf numFmtId="0" fontId="3" fillId="4" borderId="27" xfId="0" applyFont="1" applyFill="1" applyBorder="1" applyAlignment="1">
      <alignment horizontal="center" vertical="center"/>
    </xf>
    <xf numFmtId="0" fontId="2" fillId="2" borderId="1" xfId="0" applyFont="1" applyFill="1" applyBorder="1" applyAlignment="1"/>
    <xf numFmtId="0" fontId="2" fillId="2" borderId="0" xfId="0" applyFont="1" applyFill="1" applyBorder="1" applyAlignment="1"/>
    <xf numFmtId="41" fontId="2" fillId="5" borderId="4" xfId="0" applyNumberFormat="1" applyFont="1" applyFill="1" applyBorder="1" applyAlignment="1">
      <alignment horizontal="right"/>
    </xf>
    <xf numFmtId="0" fontId="25" fillId="2" borderId="0" xfId="0" applyFont="1" applyFill="1" applyBorder="1" applyAlignment="1">
      <alignment horizontal="left" vertical="center"/>
    </xf>
    <xf numFmtId="0" fontId="23" fillId="6" borderId="0" xfId="3" applyFont="1" applyFill="1" applyBorder="1" applyAlignment="1">
      <alignment horizontal="left" vertical="center" wrapText="1"/>
    </xf>
    <xf numFmtId="3" fontId="9" fillId="3" borderId="0" xfId="1" applyNumberFormat="1" applyFont="1" applyFill="1" applyBorder="1" applyAlignment="1">
      <alignment horizontal="left" vertical="top" wrapText="1"/>
    </xf>
    <xf numFmtId="0" fontId="20" fillId="2" borderId="1" xfId="0" applyFont="1" applyFill="1" applyBorder="1" applyAlignment="1">
      <alignment horizontal="center" vertical="center"/>
    </xf>
    <xf numFmtId="0" fontId="9" fillId="3" borderId="9" xfId="4" applyFont="1" applyFill="1" applyBorder="1" applyAlignment="1">
      <alignment horizontal="left" vertical="top" wrapText="1"/>
    </xf>
    <xf numFmtId="0" fontId="8" fillId="0" borderId="41" xfId="0" applyFont="1" applyBorder="1" applyAlignment="1">
      <alignment horizontal="left" vertical="top" wrapText="1"/>
    </xf>
    <xf numFmtId="0" fontId="8" fillId="0" borderId="7" xfId="0" applyFont="1" applyBorder="1" applyAlignment="1">
      <alignment horizontal="left" vertical="top" wrapText="1"/>
    </xf>
    <xf numFmtId="0" fontId="8" fillId="0" borderId="42" xfId="0" applyFont="1" applyBorder="1" applyAlignment="1">
      <alignment horizontal="left" vertical="top" wrapText="1"/>
    </xf>
    <xf numFmtId="0" fontId="8" fillId="0" borderId="40" xfId="0" applyFont="1" applyBorder="1" applyAlignment="1">
      <alignment horizontal="center" vertical="top" wrapText="1"/>
    </xf>
    <xf numFmtId="0" fontId="8" fillId="0" borderId="10" xfId="0" applyFont="1" applyBorder="1" applyAlignment="1">
      <alignment horizontal="center" vertical="top" wrapText="1"/>
    </xf>
    <xf numFmtId="0" fontId="8" fillId="0" borderId="2" xfId="0" applyFont="1" applyBorder="1" applyAlignment="1">
      <alignment horizontal="center" vertical="top" wrapText="1"/>
    </xf>
    <xf numFmtId="0" fontId="8" fillId="0" borderId="40" xfId="0" applyFont="1" applyBorder="1" applyAlignment="1">
      <alignment horizontal="left" vertical="top" wrapText="1"/>
    </xf>
    <xf numFmtId="0" fontId="8" fillId="0" borderId="10" xfId="0" applyFont="1" applyBorder="1" applyAlignment="1">
      <alignment horizontal="left" vertical="top" wrapText="1"/>
    </xf>
    <xf numFmtId="0" fontId="8" fillId="0" borderId="2" xfId="0" applyFont="1" applyBorder="1" applyAlignment="1">
      <alignment horizontal="left" vertical="top" wrapText="1"/>
    </xf>
    <xf numFmtId="0" fontId="8" fillId="2" borderId="40" xfId="0" applyFont="1" applyFill="1" applyBorder="1" applyAlignment="1">
      <alignment horizontal="center" vertical="top" wrapText="1"/>
    </xf>
    <xf numFmtId="0" fontId="8" fillId="2" borderId="10" xfId="0" applyFont="1" applyFill="1" applyBorder="1" applyAlignment="1">
      <alignment horizontal="center" vertical="top" wrapText="1"/>
    </xf>
    <xf numFmtId="0" fontId="8" fillId="2" borderId="43" xfId="0" applyFont="1" applyFill="1" applyBorder="1" applyAlignment="1">
      <alignment horizontal="center" vertical="top" wrapText="1"/>
    </xf>
    <xf numFmtId="0" fontId="8" fillId="0" borderId="5" xfId="0" applyFont="1" applyBorder="1" applyAlignment="1">
      <alignment horizontal="left" vertical="top" wrapText="1"/>
    </xf>
    <xf numFmtId="0" fontId="28" fillId="2" borderId="0" xfId="2" applyFont="1" applyFill="1" applyAlignment="1">
      <alignment horizontal="left" vertical="top"/>
    </xf>
    <xf numFmtId="0" fontId="26" fillId="2" borderId="0" xfId="0" applyFont="1" applyFill="1" applyAlignment="1">
      <alignment horizontal="left" vertical="center" wrapText="1"/>
    </xf>
    <xf numFmtId="0" fontId="27" fillId="2" borderId="0" xfId="0" applyFont="1" applyFill="1" applyAlignment="1">
      <alignment horizontal="left" vertical="center" wrapText="1"/>
    </xf>
    <xf numFmtId="2" fontId="16" fillId="7" borderId="1" xfId="0" applyNumberFormat="1" applyFont="1" applyFill="1" applyBorder="1" applyAlignment="1">
      <alignment vertical="center"/>
    </xf>
    <xf numFmtId="2" fontId="17" fillId="0" borderId="1" xfId="0" applyNumberFormat="1" applyFont="1" applyBorder="1" applyAlignment="1">
      <alignment vertical="center"/>
    </xf>
    <xf numFmtId="0" fontId="26" fillId="2" borderId="0" xfId="0" applyFont="1" applyFill="1" applyAlignment="1">
      <alignment horizontal="left" wrapText="1"/>
    </xf>
    <xf numFmtId="0" fontId="13" fillId="0" borderId="0" xfId="4" applyFont="1" applyAlignment="1">
      <alignment horizontal="left"/>
    </xf>
    <xf numFmtId="0" fontId="9" fillId="3" borderId="0" xfId="4" applyFont="1" applyFill="1" applyAlignment="1">
      <alignment horizontal="left" vertical="top" wrapText="1"/>
    </xf>
    <xf numFmtId="0" fontId="9" fillId="3" borderId="0" xfId="4" applyFont="1" applyFill="1" applyAlignment="1">
      <alignment vertical="top" wrapText="1"/>
    </xf>
    <xf numFmtId="0" fontId="9" fillId="3" borderId="0" xfId="4" applyFont="1" applyFill="1" applyAlignment="1">
      <alignment horizontal="left" vertical="top" wrapText="1"/>
    </xf>
    <xf numFmtId="0" fontId="4" fillId="2" borderId="0" xfId="0" applyFont="1" applyFill="1"/>
  </cellXfs>
  <cellStyles count="6">
    <cellStyle name="Comma" xfId="1" builtinId="3"/>
    <cellStyle name="Normal" xfId="0" builtinId="0"/>
    <cellStyle name="Normal 2" xfId="4" xr:uid="{00000000-0005-0000-0000-000002000000}"/>
    <cellStyle name="Normal 5" xfId="2" xr:uid="{00000000-0005-0000-0000-000003000000}"/>
    <cellStyle name="Normal_FLQuickRefGuide_4.27.09" xfId="3" xr:uid="{00000000-0005-0000-0000-000004000000}"/>
    <cellStyle name="Percent" xfId="5" builtinId="5"/>
  </cellStyles>
  <dxfs count="65">
    <dxf>
      <font>
        <condense val="0"/>
        <extend val="0"/>
        <color indexed="9"/>
      </font>
    </dxf>
    <dxf>
      <font>
        <b val="0"/>
        <i val="0"/>
        <strike val="0"/>
        <condense val="0"/>
        <extend val="0"/>
        <outline val="0"/>
        <shadow val="0"/>
        <u val="none"/>
        <vertAlign val="baseline"/>
        <sz val="10"/>
        <color theme="1"/>
        <name val="Arial"/>
        <scheme val="none"/>
      </font>
      <numFmt numFmtId="19" formatCode="m/d/yyyy"/>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Times New Roman"/>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Times New Roman"/>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border>
        <bottom style="thin">
          <color indexed="64"/>
        </bottom>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Times New Roman"/>
        <scheme val="none"/>
      </font>
      <numFmt numFmtId="0" formatCode="General"/>
      <fill>
        <patternFill patternType="solid">
          <fgColor indexed="64"/>
          <bgColor theme="0" tint="-0.249977111117893"/>
        </patternFill>
      </fill>
      <alignment horizontal="left" vertical="bottom" textRotation="0" wrapText="1" indent="0" justifyLastLine="0" shrinkToFit="0" readingOrder="0"/>
      <border diagonalUp="0" diagonalDown="0" outline="0">
        <left style="hair">
          <color auto="1"/>
        </left>
        <right style="hair">
          <color auto="1"/>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12F738-D098-4F8A-957E-899CED266F7B}" name="Table_Facility_List_Staging_8_26_2013.accdb_114" displayName="Table_Facility_List_Staging_8_26_2013.accdb_114" ref="A7:AE174" headerRowDxfId="64" dataDxfId="63" headerRowBorderDxfId="61" tableBorderDxfId="62">
  <autoFilter ref="A7:AE174" xr:uid="{EA734F71-13C7-44FB-854C-6731315EE373}"/>
  <tableColumns count="31">
    <tableColumn id="2" xr3:uid="{00000000-0010-0000-0000-000002000000}" name="Name" dataDxfId="59" totalsRowDxfId="60"/>
    <tableColumn id="3" xr3:uid="{00000000-0010-0000-0000-000003000000}" name="Address" dataDxfId="57" totalsRowDxfId="58"/>
    <tableColumn id="4" xr3:uid="{00000000-0010-0000-0000-000004000000}" name="City" dataDxfId="55" totalsRowDxfId="56"/>
    <tableColumn id="6" xr3:uid="{00000000-0010-0000-0000-000006000000}" name="State" dataDxfId="54"/>
    <tableColumn id="7" xr3:uid="{00000000-0010-0000-0000-000007000000}" name="Zip" dataDxfId="52" totalsRowDxfId="53"/>
    <tableColumn id="9" xr3:uid="{00000000-0010-0000-0000-000009000000}" name="AOR" dataDxfId="50" totalsRowDxfId="51"/>
    <tableColumn id="12" xr3:uid="{00000000-0010-0000-0000-00000C000000}" name="Type Detailed" dataDxfId="48" totalsRowDxfId="49"/>
    <tableColumn id="81" xr3:uid="{00000000-0010-0000-0000-000051000000}" name="Male/Female" dataDxfId="46" totalsRowDxfId="47"/>
    <tableColumn id="43" xr3:uid="{00000000-0010-0000-0000-00002B000000}" name="FY21 ALOS" dataDxfId="44" totalsRowDxfId="45" dataCellStyle="Comma"/>
    <tableColumn id="67" xr3:uid="{00000000-0010-0000-0000-000043000000}" name="Level A" dataDxfId="42" totalsRowDxfId="43"/>
    <tableColumn id="68" xr3:uid="{00000000-0010-0000-0000-000044000000}" name="Level B" dataDxfId="40" totalsRowDxfId="41"/>
    <tableColumn id="69" xr3:uid="{00000000-0010-0000-0000-000045000000}" name="Level C" dataDxfId="38" totalsRowDxfId="39"/>
    <tableColumn id="70" xr3:uid="{00000000-0010-0000-0000-000046000000}" name="Level D" dataDxfId="36" totalsRowDxfId="37"/>
    <tableColumn id="71" xr3:uid="{00000000-0010-0000-0000-000047000000}" name="Male Crim" dataDxfId="34" totalsRowDxfId="35"/>
    <tableColumn id="72" xr3:uid="{00000000-0010-0000-0000-000048000000}" name="Male Non-Crim" dataDxfId="32" totalsRowDxfId="33"/>
    <tableColumn id="73" xr3:uid="{00000000-0010-0000-0000-000049000000}" name="Female Crim" dataDxfId="30" totalsRowDxfId="31"/>
    <tableColumn id="74" xr3:uid="{00000000-0010-0000-0000-00004A000000}" name="Female Non-Crim" dataDxfId="28" totalsRowDxfId="29"/>
    <tableColumn id="75" xr3:uid="{00000000-0010-0000-0000-00004B000000}" name="ICE Threat Level 1" dataDxfId="26" totalsRowDxfId="27"/>
    <tableColumn id="76" xr3:uid="{00000000-0010-0000-0000-00004C000000}" name="ICE Threat Level 2" dataDxfId="24" totalsRowDxfId="25"/>
    <tableColumn id="77" xr3:uid="{00000000-0010-0000-0000-00004D000000}" name="ICE Threat Level 3" dataDxfId="22" totalsRowDxfId="23"/>
    <tableColumn id="78" xr3:uid="{00000000-0010-0000-0000-00004E000000}" name="No ICE Threat Level" dataDxfId="20" totalsRowDxfId="21"/>
    <tableColumn id="79" xr3:uid="{00000000-0010-0000-0000-00004F000000}" name="Mandatory" dataDxfId="18" totalsRowDxfId="19"/>
    <tableColumn id="86" xr3:uid="{00000000-0010-0000-0000-000056000000}" name="Guaranteed Minimum" dataDxfId="16" totalsRowDxfId="17"/>
    <tableColumn id="124" xr3:uid="{00000000-0010-0000-0000-00007C000000}" name="Last Inspection Type" dataDxfId="14" totalsRowDxfId="15"/>
    <tableColumn id="129" xr3:uid="{00000000-0010-0000-0000-000081000000}" name="Last Inspection Standard" dataDxfId="12" totalsRowDxfId="13"/>
    <tableColumn id="93" xr3:uid="{00000000-0010-0000-0000-00005D000000}" name="Last Inspection Rating - Final" dataDxfId="11"/>
    <tableColumn id="95" xr3:uid="{00000000-0010-0000-0000-00005F000000}" name="Last Inspection Date" dataDxfId="9" totalsRowDxfId="10"/>
    <tableColumn id="125" xr3:uid="{00000000-0010-0000-0000-00007D000000}" name="Second to Last Inspection Type" dataDxfId="7" totalsRowDxfId="8"/>
    <tableColumn id="131" xr3:uid="{00000000-0010-0000-0000-000083000000}" name="Second to Last Inspection Standard" dataDxfId="5" totalsRowDxfId="6"/>
    <tableColumn id="5" xr3:uid="{00000000-0010-0000-0000-000005000000}" name="Second to Last Inspection Rating" dataDxfId="3" totalsRowDxfId="4"/>
    <tableColumn id="97" xr3:uid="{00000000-0010-0000-0000-000061000000}" name="Second to Last Inspection Date" dataDxfId="1" totalsRowDxfId="2"/>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election activeCell="A4" sqref="A4"/>
    </sheetView>
  </sheetViews>
  <sheetFormatPr defaultColWidth="0" defaultRowHeight="15" zeroHeight="1" x14ac:dyDescent="0.25"/>
  <cols>
    <col min="1" max="1" width="110.42578125" customWidth="1"/>
    <col min="2" max="16384" width="8.85546875" hidden="1"/>
  </cols>
  <sheetData>
    <row r="1" spans="1:1" ht="119.1" customHeight="1" x14ac:dyDescent="0.25">
      <c r="A1" s="63" t="s">
        <v>733</v>
      </c>
    </row>
    <row r="2" spans="1:1" ht="51.75" customHeight="1" x14ac:dyDescent="0.25">
      <c r="A2" s="62" t="s">
        <v>56</v>
      </c>
    </row>
    <row r="3" spans="1:1" ht="76.349999999999994" customHeight="1" x14ac:dyDescent="0.25">
      <c r="A3" s="62" t="s">
        <v>737</v>
      </c>
    </row>
    <row r="4" spans="1:1" ht="22.5" customHeight="1" x14ac:dyDescent="0.25">
      <c r="A4" s="62" t="s">
        <v>732</v>
      </c>
    </row>
    <row r="5" spans="1:1" ht="36.75" customHeight="1" x14ac:dyDescent="0.25">
      <c r="A5" s="62" t="s">
        <v>704</v>
      </c>
    </row>
    <row r="6" spans="1:1" x14ac:dyDescent="0.25"/>
  </sheetData>
  <sheetProtection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41E09-56A4-4E4E-B758-91CBE2C3AB89}">
  <sheetPr>
    <tabColor theme="0"/>
  </sheetPr>
  <dimension ref="A1:BD116"/>
  <sheetViews>
    <sheetView zoomScale="80" zoomScaleNormal="80" workbookViewId="0">
      <selection activeCell="C22" sqref="C22"/>
    </sheetView>
  </sheetViews>
  <sheetFormatPr defaultRowHeight="15.75" zeroHeight="1" x14ac:dyDescent="0.25"/>
  <cols>
    <col min="1" max="3" width="19.5703125" customWidth="1"/>
    <col min="4" max="4" width="19.42578125" customWidth="1"/>
    <col min="5" max="9" width="19.5703125" customWidth="1"/>
    <col min="10" max="10" width="15" customWidth="1"/>
    <col min="13" max="13" width="9.140625" style="31"/>
  </cols>
  <sheetData>
    <row r="1" spans="1:56" ht="55.35" customHeight="1" x14ac:dyDescent="0.25">
      <c r="A1" s="199" t="s">
        <v>55</v>
      </c>
      <c r="B1" s="199"/>
      <c r="C1" s="199"/>
      <c r="D1" s="199"/>
      <c r="E1" s="31"/>
      <c r="F1" s="31"/>
      <c r="G1" s="31"/>
      <c r="H1" s="31"/>
      <c r="I1" s="31"/>
      <c r="J1" s="31"/>
      <c r="K1" s="31"/>
      <c r="L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row>
    <row r="2" spans="1:56" ht="55.35" customHeight="1" x14ac:dyDescent="0.25">
      <c r="A2" s="200" t="s">
        <v>56</v>
      </c>
      <c r="B2" s="200"/>
      <c r="C2" s="200"/>
      <c r="D2" s="200"/>
      <c r="E2" s="31"/>
      <c r="F2" s="31"/>
      <c r="G2" s="31"/>
      <c r="H2" s="31"/>
      <c r="I2" s="31"/>
      <c r="J2" s="31"/>
      <c r="K2" s="31"/>
      <c r="L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row>
    <row r="3" spans="1:56" ht="13.35" customHeight="1" x14ac:dyDescent="0.25">
      <c r="A3" s="31"/>
      <c r="B3" s="31"/>
      <c r="C3" s="31"/>
      <c r="D3" s="31"/>
      <c r="E3" s="31"/>
      <c r="F3" s="31"/>
      <c r="G3" s="38"/>
      <c r="H3" s="31"/>
      <c r="I3" s="31"/>
      <c r="J3" s="31"/>
      <c r="K3" s="31"/>
      <c r="L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6" ht="55.35" customHeight="1" x14ac:dyDescent="0.25">
      <c r="A4" s="198" t="s">
        <v>827</v>
      </c>
      <c r="B4" s="198"/>
      <c r="C4" s="198"/>
      <c r="D4" s="198"/>
      <c r="E4" s="82"/>
      <c r="F4" s="82"/>
      <c r="G4" s="82"/>
      <c r="H4" s="82"/>
      <c r="I4" s="82"/>
      <c r="J4" s="31"/>
      <c r="K4" s="31"/>
      <c r="L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row>
    <row r="5" spans="1:56" ht="50.1" customHeight="1" x14ac:dyDescent="0.25">
      <c r="A5" s="275" t="s">
        <v>826</v>
      </c>
      <c r="B5" s="275"/>
      <c r="C5" s="275"/>
      <c r="D5" s="56"/>
      <c r="E5" s="31"/>
      <c r="F5" s="31"/>
      <c r="G5" s="31"/>
      <c r="H5" s="31"/>
      <c r="I5" s="31"/>
      <c r="J5" s="31"/>
      <c r="K5" s="31"/>
      <c r="L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row>
    <row r="6" spans="1:56" x14ac:dyDescent="0.25">
      <c r="A6" s="61" t="s">
        <v>705</v>
      </c>
      <c r="B6" s="61" t="s">
        <v>706</v>
      </c>
      <c r="C6" s="61" t="s">
        <v>59</v>
      </c>
      <c r="D6" s="31"/>
      <c r="E6" s="31"/>
      <c r="F6" s="31"/>
      <c r="G6" s="31"/>
      <c r="H6" s="31"/>
      <c r="I6" s="31"/>
      <c r="J6" s="31"/>
      <c r="K6" s="31"/>
      <c r="L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row>
    <row r="7" spans="1:56" x14ac:dyDescent="0.25">
      <c r="A7" s="57" t="s">
        <v>707</v>
      </c>
      <c r="B7" s="59">
        <v>45073</v>
      </c>
      <c r="C7" s="274">
        <v>825.14236904577024</v>
      </c>
      <c r="D7" s="31"/>
      <c r="E7" s="31"/>
      <c r="F7" s="31"/>
      <c r="G7" s="31"/>
      <c r="H7" s="31"/>
      <c r="I7" s="31"/>
      <c r="J7" s="31"/>
      <c r="K7" s="31"/>
      <c r="L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row>
    <row r="8" spans="1:56" x14ac:dyDescent="0.25">
      <c r="A8" s="57" t="s">
        <v>735</v>
      </c>
      <c r="B8" s="59">
        <v>961</v>
      </c>
      <c r="C8" s="274">
        <v>681.76066597294482</v>
      </c>
      <c r="D8" s="31"/>
      <c r="E8" s="31"/>
      <c r="F8" s="31"/>
      <c r="G8" s="31"/>
      <c r="H8" s="31"/>
      <c r="I8" s="31"/>
      <c r="J8" s="31"/>
      <c r="K8" s="31"/>
      <c r="L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row>
    <row r="9" spans="1:56" x14ac:dyDescent="0.25">
      <c r="A9" s="57" t="s">
        <v>734</v>
      </c>
      <c r="B9" s="59">
        <v>39292</v>
      </c>
      <c r="C9" s="274">
        <v>896.24407003970271</v>
      </c>
      <c r="D9" s="31"/>
      <c r="E9" s="31"/>
      <c r="F9" s="31"/>
      <c r="G9" s="31"/>
      <c r="H9" s="31"/>
      <c r="I9" s="31"/>
      <c r="J9" s="31"/>
      <c r="K9" s="31"/>
      <c r="L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row>
    <row r="10" spans="1:56" x14ac:dyDescent="0.25">
      <c r="A10" s="57" t="s">
        <v>736</v>
      </c>
      <c r="B10" s="59">
        <v>556</v>
      </c>
      <c r="C10" s="274">
        <v>693.87050359712225</v>
      </c>
      <c r="D10" s="56"/>
      <c r="E10" s="31"/>
      <c r="F10" s="31"/>
      <c r="G10" s="31"/>
      <c r="H10" s="31"/>
      <c r="I10" s="31"/>
      <c r="J10" s="31"/>
      <c r="K10" s="31"/>
      <c r="L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row>
    <row r="11" spans="1:56" x14ac:dyDescent="0.25">
      <c r="A11" s="58" t="s">
        <v>1</v>
      </c>
      <c r="B11" s="60">
        <v>85882</v>
      </c>
      <c r="C11" s="273">
        <v>855.21795021075434</v>
      </c>
      <c r="D11" s="31"/>
      <c r="E11" s="31"/>
      <c r="F11" s="31"/>
      <c r="G11" s="31"/>
      <c r="H11" s="31"/>
      <c r="I11" s="31"/>
      <c r="J11" s="31"/>
      <c r="K11" s="31"/>
      <c r="L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row>
    <row r="12" spans="1:56" ht="15.75" customHeight="1" x14ac:dyDescent="0.25">
      <c r="A12" s="272" t="s">
        <v>825</v>
      </c>
      <c r="B12" s="272"/>
      <c r="C12" s="272"/>
      <c r="D12" s="31"/>
      <c r="E12" s="31"/>
      <c r="F12" s="31"/>
      <c r="G12" s="31"/>
      <c r="H12" s="31"/>
      <c r="I12" s="31"/>
      <c r="J12" s="31"/>
      <c r="K12" s="31"/>
      <c r="L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row>
    <row r="13" spans="1:56" ht="15.95" customHeight="1" x14ac:dyDescent="0.25">
      <c r="A13" s="272" t="s">
        <v>824</v>
      </c>
      <c r="B13" s="272"/>
      <c r="C13" s="272"/>
      <c r="D13" s="31"/>
      <c r="E13" s="31"/>
      <c r="F13" s="31"/>
      <c r="G13" s="31"/>
      <c r="H13" s="31"/>
      <c r="I13" s="31"/>
      <c r="J13" s="31"/>
      <c r="K13" s="31"/>
      <c r="L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row>
    <row r="14" spans="1:56" ht="14.45" customHeight="1" x14ac:dyDescent="0.25">
      <c r="A14" s="271"/>
      <c r="B14" s="271"/>
      <c r="C14" s="271"/>
      <c r="D14" s="31"/>
      <c r="E14" s="31"/>
      <c r="F14" s="31"/>
      <c r="G14" s="31"/>
      <c r="H14" s="31"/>
      <c r="I14" s="31"/>
      <c r="J14" s="31"/>
      <c r="K14" s="31"/>
      <c r="L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row>
    <row r="15" spans="1:56" ht="15.95" customHeight="1" x14ac:dyDescent="0.25">
      <c r="A15" s="271"/>
      <c r="B15" s="271"/>
      <c r="C15" s="271"/>
      <c r="D15" s="31"/>
      <c r="E15" s="31"/>
      <c r="F15" s="31"/>
      <c r="G15" s="31"/>
      <c r="H15" s="31"/>
      <c r="I15" s="31"/>
      <c r="J15" s="31"/>
      <c r="K15" s="31"/>
      <c r="L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row>
    <row r="16" spans="1:56" ht="34.35" customHeight="1" thickBot="1" x14ac:dyDescent="0.3">
      <c r="A16" s="271" t="s">
        <v>823</v>
      </c>
      <c r="B16" s="271"/>
      <c r="C16" s="271"/>
      <c r="D16" s="31"/>
      <c r="E16" s="31"/>
      <c r="F16" s="31"/>
      <c r="G16" s="31"/>
      <c r="H16" s="31"/>
      <c r="I16" s="31"/>
      <c r="J16" s="31"/>
      <c r="K16" s="31"/>
      <c r="L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row>
    <row r="17" spans="1:56" ht="31.5" x14ac:dyDescent="0.25">
      <c r="A17" s="71" t="s">
        <v>744</v>
      </c>
      <c r="B17" s="72" t="s">
        <v>706</v>
      </c>
      <c r="C17" s="72" t="s">
        <v>745</v>
      </c>
      <c r="D17" s="31"/>
      <c r="E17" s="31"/>
      <c r="F17" s="31"/>
      <c r="G17" s="31"/>
      <c r="H17" s="31"/>
      <c r="I17" s="31"/>
      <c r="J17" s="31"/>
      <c r="K17" s="31"/>
      <c r="L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row>
    <row r="18" spans="1:56" ht="16.5" thickBot="1" x14ac:dyDescent="0.3">
      <c r="A18" s="73" t="s">
        <v>1</v>
      </c>
      <c r="B18" s="74">
        <v>85882</v>
      </c>
      <c r="C18" s="75">
        <v>855.21795021075434</v>
      </c>
      <c r="D18" s="31"/>
      <c r="E18" s="31"/>
      <c r="F18" s="31"/>
      <c r="G18" s="31"/>
      <c r="H18" s="31"/>
      <c r="I18" s="31"/>
      <c r="J18" s="31"/>
      <c r="K18" s="31"/>
      <c r="L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row>
    <row r="19" spans="1:56" ht="16.5" thickTop="1" x14ac:dyDescent="0.25">
      <c r="A19" s="76" t="s">
        <v>709</v>
      </c>
      <c r="B19" s="77">
        <v>2793</v>
      </c>
      <c r="C19" s="78">
        <v>933.8496240601504</v>
      </c>
      <c r="D19" s="31"/>
      <c r="E19" s="31"/>
      <c r="F19" s="31"/>
      <c r="G19" s="31"/>
      <c r="H19" s="31"/>
      <c r="I19" s="31"/>
      <c r="J19" s="31"/>
      <c r="K19" s="31"/>
      <c r="L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row>
    <row r="20" spans="1:56" x14ac:dyDescent="0.25">
      <c r="A20" s="79" t="s">
        <v>84</v>
      </c>
      <c r="B20" s="80">
        <v>659</v>
      </c>
      <c r="C20" s="81">
        <v>536.69802731411232</v>
      </c>
      <c r="D20" s="31"/>
      <c r="E20" s="31"/>
      <c r="F20" s="31"/>
      <c r="G20" s="31"/>
      <c r="H20" s="31"/>
      <c r="I20" s="31"/>
      <c r="J20" s="31"/>
      <c r="K20" s="31"/>
      <c r="L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row>
    <row r="21" spans="1:56" x14ac:dyDescent="0.25">
      <c r="A21" s="79" t="s">
        <v>708</v>
      </c>
      <c r="B21" s="80">
        <v>559</v>
      </c>
      <c r="C21" s="81">
        <v>656.91055456171739</v>
      </c>
      <c r="D21" s="31"/>
      <c r="E21" s="31"/>
      <c r="F21" s="31"/>
      <c r="G21" s="31"/>
      <c r="H21" s="31"/>
      <c r="I21" s="31"/>
      <c r="J21" s="31"/>
      <c r="K21" s="31"/>
      <c r="L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row>
    <row r="22" spans="1:56" x14ac:dyDescent="0.25">
      <c r="A22" s="79" t="s">
        <v>26</v>
      </c>
      <c r="B22" s="80">
        <v>1575</v>
      </c>
      <c r="C22" s="81">
        <v>1198.3142857142857</v>
      </c>
      <c r="D22" s="31"/>
      <c r="E22" s="31"/>
      <c r="F22" s="31"/>
      <c r="G22" s="31"/>
      <c r="H22" s="31"/>
      <c r="I22" s="31"/>
      <c r="J22" s="31"/>
      <c r="K22" s="31"/>
      <c r="L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row>
    <row r="23" spans="1:56" x14ac:dyDescent="0.25">
      <c r="A23" s="76" t="s">
        <v>710</v>
      </c>
      <c r="B23" s="77">
        <v>2664</v>
      </c>
      <c r="C23" s="78">
        <v>697.84121621621625</v>
      </c>
      <c r="D23" s="31"/>
      <c r="E23" s="31"/>
      <c r="F23" s="31"/>
      <c r="G23" s="31"/>
      <c r="H23" s="31"/>
      <c r="I23" s="31"/>
      <c r="J23" s="31"/>
      <c r="K23" s="31"/>
      <c r="L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row>
    <row r="24" spans="1:56" x14ac:dyDescent="0.25">
      <c r="A24" s="79" t="s">
        <v>84</v>
      </c>
      <c r="B24" s="80">
        <v>1598</v>
      </c>
      <c r="C24" s="81">
        <v>558.36795994993747</v>
      </c>
      <c r="D24" s="31"/>
      <c r="E24" s="31"/>
      <c r="F24" s="31"/>
      <c r="G24" s="31"/>
      <c r="H24" s="31"/>
      <c r="I24" s="31"/>
      <c r="J24" s="31"/>
      <c r="K24" s="31"/>
      <c r="L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row>
    <row r="25" spans="1:56" x14ac:dyDescent="0.25">
      <c r="A25" s="79" t="s">
        <v>708</v>
      </c>
      <c r="B25" s="80">
        <v>102</v>
      </c>
      <c r="C25" s="81">
        <v>716.78431372549016</v>
      </c>
      <c r="D25" s="31"/>
      <c r="E25" s="31"/>
      <c r="F25" s="31"/>
      <c r="G25" s="31"/>
      <c r="H25" s="31"/>
      <c r="I25" s="31"/>
      <c r="J25" s="31"/>
      <c r="K25" s="31"/>
      <c r="L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row>
    <row r="26" spans="1:56" x14ac:dyDescent="0.25">
      <c r="A26" s="79" t="s">
        <v>26</v>
      </c>
      <c r="B26" s="80">
        <v>964</v>
      </c>
      <c r="C26" s="81">
        <v>927.03838174273858</v>
      </c>
      <c r="D26" s="31"/>
      <c r="E26" s="31"/>
      <c r="F26" s="31"/>
      <c r="G26" s="31"/>
      <c r="H26" s="31"/>
      <c r="I26" s="31"/>
      <c r="J26" s="31"/>
      <c r="K26" s="31"/>
      <c r="L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row>
    <row r="27" spans="1:56" x14ac:dyDescent="0.25">
      <c r="A27" s="76" t="s">
        <v>711</v>
      </c>
      <c r="B27" s="77">
        <v>1466</v>
      </c>
      <c r="C27" s="78">
        <v>479.33969986357437</v>
      </c>
      <c r="D27" s="31"/>
      <c r="E27" s="31"/>
      <c r="F27" s="31"/>
      <c r="G27" s="31"/>
      <c r="H27" s="31"/>
      <c r="I27" s="31"/>
      <c r="J27" s="31"/>
      <c r="K27" s="31"/>
      <c r="L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row>
    <row r="28" spans="1:56" x14ac:dyDescent="0.25">
      <c r="A28" s="79" t="s">
        <v>84</v>
      </c>
      <c r="B28" s="80">
        <v>729</v>
      </c>
      <c r="C28" s="81">
        <v>377.44307270233196</v>
      </c>
      <c r="D28" s="31"/>
      <c r="E28" s="31"/>
      <c r="F28" s="31"/>
      <c r="G28" s="31"/>
      <c r="H28" s="31"/>
      <c r="I28" s="31"/>
      <c r="J28" s="31"/>
      <c r="K28" s="31"/>
      <c r="L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row>
    <row r="29" spans="1:56" x14ac:dyDescent="0.25">
      <c r="A29" s="79" t="s">
        <v>708</v>
      </c>
      <c r="B29" s="80">
        <v>563</v>
      </c>
      <c r="C29" s="81">
        <v>520.06749555950262</v>
      </c>
      <c r="D29" s="31"/>
      <c r="E29" s="31"/>
      <c r="F29" s="31"/>
      <c r="G29" s="31"/>
      <c r="H29" s="31"/>
      <c r="I29" s="31"/>
      <c r="J29" s="31"/>
      <c r="K29" s="31"/>
      <c r="L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row>
    <row r="30" spans="1:56" x14ac:dyDescent="0.25">
      <c r="A30" s="79" t="s">
        <v>26</v>
      </c>
      <c r="B30" s="80">
        <v>174</v>
      </c>
      <c r="C30" s="81">
        <v>774.47126436781605</v>
      </c>
      <c r="D30" s="31"/>
      <c r="E30" s="31"/>
      <c r="F30" s="31"/>
      <c r="G30" s="31"/>
      <c r="H30" s="31"/>
      <c r="I30" s="31"/>
      <c r="J30" s="31"/>
      <c r="K30" s="31"/>
      <c r="L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row>
    <row r="31" spans="1:56" x14ac:dyDescent="0.25">
      <c r="A31" s="76" t="s">
        <v>712</v>
      </c>
      <c r="B31" s="77">
        <v>444</v>
      </c>
      <c r="C31" s="78">
        <v>1263.2747747747749</v>
      </c>
      <c r="D31" s="31"/>
      <c r="E31" s="31"/>
      <c r="F31" s="31"/>
      <c r="G31" s="31"/>
      <c r="H31" s="31"/>
      <c r="I31" s="31"/>
      <c r="J31" s="31"/>
      <c r="K31" s="31"/>
      <c r="L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row>
    <row r="32" spans="1:56" x14ac:dyDescent="0.25">
      <c r="A32" s="79" t="s">
        <v>84</v>
      </c>
      <c r="B32" s="80">
        <v>74</v>
      </c>
      <c r="C32" s="81">
        <v>359.32432432432432</v>
      </c>
      <c r="D32" s="31"/>
      <c r="E32" s="31"/>
      <c r="F32" s="31"/>
      <c r="G32" s="31"/>
      <c r="H32" s="31"/>
      <c r="I32" s="31"/>
      <c r="J32" s="31"/>
      <c r="K32" s="31"/>
      <c r="L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row>
    <row r="33" spans="1:56" x14ac:dyDescent="0.25">
      <c r="A33" s="79" t="s">
        <v>708</v>
      </c>
      <c r="B33" s="80">
        <v>9</v>
      </c>
      <c r="C33" s="81">
        <v>656.77777777777783</v>
      </c>
      <c r="D33" s="31"/>
      <c r="E33" s="31"/>
      <c r="F33" s="31"/>
      <c r="G33" s="31"/>
      <c r="H33" s="31"/>
      <c r="I33" s="31"/>
      <c r="J33" s="31"/>
      <c r="K33" s="31"/>
      <c r="L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row>
    <row r="34" spans="1:56" x14ac:dyDescent="0.25">
      <c r="A34" s="79" t="s">
        <v>26</v>
      </c>
      <c r="B34" s="80">
        <v>361</v>
      </c>
      <c r="C34" s="81">
        <v>1463.6925207756233</v>
      </c>
      <c r="D34" s="31"/>
      <c r="E34" s="31"/>
      <c r="F34" s="31"/>
      <c r="G34" s="31"/>
      <c r="H34" s="31"/>
      <c r="I34" s="31"/>
      <c r="J34" s="31"/>
      <c r="K34" s="31"/>
      <c r="L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row>
    <row r="35" spans="1:56" x14ac:dyDescent="0.25">
      <c r="A35" s="76" t="s">
        <v>713</v>
      </c>
      <c r="B35" s="77">
        <v>6581</v>
      </c>
      <c r="C35" s="78">
        <v>980.4908068682571</v>
      </c>
      <c r="D35" s="31"/>
      <c r="E35" s="31"/>
      <c r="F35" s="31"/>
      <c r="G35" s="31"/>
      <c r="H35" s="31"/>
      <c r="I35" s="31"/>
      <c r="J35" s="31"/>
      <c r="K35" s="31"/>
      <c r="L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row>
    <row r="36" spans="1:56" x14ac:dyDescent="0.25">
      <c r="A36" s="79" t="s">
        <v>84</v>
      </c>
      <c r="B36" s="80">
        <v>2182</v>
      </c>
      <c r="C36" s="81">
        <v>574.85609532538956</v>
      </c>
      <c r="D36" s="31"/>
      <c r="E36" s="31"/>
      <c r="F36" s="31"/>
      <c r="G36" s="31"/>
      <c r="H36" s="31"/>
      <c r="I36" s="31"/>
      <c r="J36" s="31"/>
      <c r="K36" s="31"/>
      <c r="L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row>
    <row r="37" spans="1:56" x14ac:dyDescent="0.25">
      <c r="A37" s="79" t="s">
        <v>708</v>
      </c>
      <c r="B37" s="80">
        <v>1762</v>
      </c>
      <c r="C37" s="81">
        <v>921.56867196367762</v>
      </c>
      <c r="D37" s="31"/>
      <c r="E37" s="31"/>
      <c r="F37" s="31"/>
      <c r="G37" s="31"/>
      <c r="H37" s="31"/>
      <c r="I37" s="31"/>
      <c r="J37" s="31"/>
      <c r="K37" s="31"/>
      <c r="L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row>
    <row r="38" spans="1:56" x14ac:dyDescent="0.25">
      <c r="A38" s="79" t="s">
        <v>26</v>
      </c>
      <c r="B38" s="80">
        <v>2637</v>
      </c>
      <c r="C38" s="81">
        <v>1355.5062571103526</v>
      </c>
      <c r="D38" s="31"/>
      <c r="E38" s="31"/>
      <c r="F38" s="31"/>
      <c r="G38" s="31"/>
      <c r="H38" s="31"/>
      <c r="I38" s="31"/>
      <c r="J38" s="31"/>
      <c r="K38" s="31"/>
      <c r="L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row>
    <row r="39" spans="1:56" x14ac:dyDescent="0.25">
      <c r="A39" s="76" t="s">
        <v>714</v>
      </c>
      <c r="B39" s="77">
        <v>950</v>
      </c>
      <c r="C39" s="78">
        <v>706.96210526315792</v>
      </c>
      <c r="D39" s="31"/>
      <c r="E39" s="31"/>
      <c r="F39" s="31"/>
      <c r="G39" s="31"/>
      <c r="H39" s="31"/>
      <c r="I39" s="31"/>
      <c r="J39" s="31"/>
      <c r="K39" s="31"/>
      <c r="L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row>
    <row r="40" spans="1:56" x14ac:dyDescent="0.25">
      <c r="A40" s="79" t="s">
        <v>84</v>
      </c>
      <c r="B40" s="80">
        <v>596</v>
      </c>
      <c r="C40" s="81">
        <v>535.81543624161077</v>
      </c>
      <c r="D40" s="31"/>
      <c r="E40" s="31"/>
      <c r="F40" s="31"/>
      <c r="G40" s="31"/>
      <c r="H40" s="31"/>
      <c r="I40" s="31"/>
      <c r="J40" s="31"/>
      <c r="K40" s="31"/>
      <c r="L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row>
    <row r="41" spans="1:56" x14ac:dyDescent="0.25">
      <c r="A41" s="79" t="s">
        <v>708</v>
      </c>
      <c r="B41" s="80">
        <v>171</v>
      </c>
      <c r="C41" s="81">
        <v>811.28070175438597</v>
      </c>
      <c r="D41" s="31"/>
      <c r="E41" s="31"/>
      <c r="F41" s="31"/>
      <c r="G41" s="31"/>
      <c r="H41" s="31"/>
      <c r="I41" s="31"/>
      <c r="J41" s="31"/>
      <c r="K41" s="31"/>
      <c r="L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row>
    <row r="42" spans="1:56" x14ac:dyDescent="0.25">
      <c r="A42" s="79" t="s">
        <v>26</v>
      </c>
      <c r="B42" s="80">
        <v>183</v>
      </c>
      <c r="C42" s="81">
        <v>1166.8797814207651</v>
      </c>
      <c r="D42" s="31"/>
      <c r="E42" s="31"/>
      <c r="F42" s="31"/>
      <c r="G42" s="31"/>
      <c r="H42" s="31"/>
      <c r="I42" s="31"/>
      <c r="J42" s="31"/>
      <c r="K42" s="31"/>
      <c r="L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row>
    <row r="43" spans="1:56" x14ac:dyDescent="0.25">
      <c r="A43" s="76" t="s">
        <v>715</v>
      </c>
      <c r="B43" s="77">
        <v>1420</v>
      </c>
      <c r="C43" s="78">
        <v>1361.2661971830985</v>
      </c>
      <c r="D43" s="31"/>
      <c r="E43" s="31"/>
      <c r="F43" s="31"/>
      <c r="G43" s="31"/>
      <c r="H43" s="31"/>
      <c r="I43" s="31"/>
      <c r="J43" s="31"/>
      <c r="K43" s="31"/>
      <c r="L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row>
    <row r="44" spans="1:56" x14ac:dyDescent="0.25">
      <c r="A44" s="79" t="s">
        <v>84</v>
      </c>
      <c r="B44" s="80">
        <v>140</v>
      </c>
      <c r="C44" s="81">
        <v>483.35714285714283</v>
      </c>
      <c r="D44" s="31"/>
      <c r="E44" s="31"/>
      <c r="F44" s="31"/>
      <c r="G44" s="31"/>
      <c r="H44" s="31"/>
      <c r="I44" s="31"/>
      <c r="J44" s="31"/>
      <c r="K44" s="31"/>
      <c r="L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row>
    <row r="45" spans="1:56" x14ac:dyDescent="0.25">
      <c r="A45" s="79" t="s">
        <v>708</v>
      </c>
      <c r="B45" s="80">
        <v>425</v>
      </c>
      <c r="C45" s="81">
        <v>978.58117647058828</v>
      </c>
      <c r="D45" s="31"/>
      <c r="E45" s="31"/>
      <c r="F45" s="31"/>
      <c r="G45" s="31"/>
      <c r="H45" s="31"/>
      <c r="I45" s="31"/>
      <c r="J45" s="31"/>
      <c r="K45" s="31"/>
      <c r="L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row>
    <row r="46" spans="1:56" x14ac:dyDescent="0.25">
      <c r="A46" s="79" t="s">
        <v>26</v>
      </c>
      <c r="B46" s="80">
        <v>855</v>
      </c>
      <c r="C46" s="81">
        <v>1695.2409356725145</v>
      </c>
      <c r="D46" s="31"/>
      <c r="E46" s="31"/>
      <c r="F46" s="31"/>
      <c r="G46" s="31"/>
      <c r="H46" s="31"/>
      <c r="I46" s="31"/>
      <c r="J46" s="31"/>
      <c r="K46" s="31"/>
      <c r="L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row>
    <row r="47" spans="1:56" x14ac:dyDescent="0.25">
      <c r="A47" s="76" t="s">
        <v>716</v>
      </c>
      <c r="B47" s="77">
        <v>7750</v>
      </c>
      <c r="C47" s="78">
        <v>930.01599999999996</v>
      </c>
      <c r="D47" s="31"/>
      <c r="E47" s="31"/>
      <c r="F47" s="31"/>
      <c r="G47" s="31"/>
      <c r="H47" s="31"/>
      <c r="I47" s="31"/>
      <c r="J47" s="31"/>
      <c r="K47" s="31"/>
      <c r="L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row>
    <row r="48" spans="1:56" x14ac:dyDescent="0.25">
      <c r="A48" s="79" t="s">
        <v>84</v>
      </c>
      <c r="B48" s="80">
        <v>420</v>
      </c>
      <c r="C48" s="81">
        <v>611.18809523809523</v>
      </c>
      <c r="D48" s="31"/>
      <c r="E48" s="31"/>
      <c r="F48" s="31"/>
      <c r="G48" s="31"/>
      <c r="H48" s="31"/>
      <c r="I48" s="31"/>
      <c r="J48" s="31"/>
      <c r="K48" s="31"/>
      <c r="L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row>
    <row r="49" spans="1:56" x14ac:dyDescent="0.25">
      <c r="A49" s="79" t="s">
        <v>708</v>
      </c>
      <c r="B49" s="80">
        <v>4490</v>
      </c>
      <c r="C49" s="81">
        <v>703.6630289532294</v>
      </c>
      <c r="D49" s="31"/>
      <c r="E49" s="31"/>
      <c r="F49" s="31"/>
      <c r="G49" s="31"/>
      <c r="H49" s="31"/>
      <c r="I49" s="31"/>
      <c r="J49" s="31"/>
      <c r="K49" s="31"/>
      <c r="L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row>
    <row r="50" spans="1:56" x14ac:dyDescent="0.25">
      <c r="A50" s="79" t="s">
        <v>26</v>
      </c>
      <c r="B50" s="80">
        <v>2840</v>
      </c>
      <c r="C50" s="81">
        <v>1335.0274647887325</v>
      </c>
      <c r="D50" s="31"/>
      <c r="E50" s="31"/>
      <c r="F50" s="31"/>
      <c r="G50" s="31"/>
      <c r="H50" s="31"/>
      <c r="I50" s="31"/>
      <c r="J50" s="31"/>
      <c r="K50" s="31"/>
      <c r="L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row>
    <row r="51" spans="1:56" x14ac:dyDescent="0.25">
      <c r="A51" s="76" t="s">
        <v>717</v>
      </c>
      <c r="B51" s="77">
        <v>968</v>
      </c>
      <c r="C51" s="78">
        <v>896.81301652892557</v>
      </c>
      <c r="D51" s="31"/>
      <c r="E51" s="31"/>
      <c r="F51" s="31"/>
      <c r="G51" s="31"/>
      <c r="H51" s="31"/>
      <c r="I51" s="31"/>
      <c r="J51" s="31"/>
      <c r="K51" s="31"/>
      <c r="L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row>
    <row r="52" spans="1:56" x14ac:dyDescent="0.25">
      <c r="A52" s="79" t="s">
        <v>84</v>
      </c>
      <c r="B52" s="80">
        <v>225</v>
      </c>
      <c r="C52" s="81">
        <v>126.56444444444445</v>
      </c>
      <c r="D52" s="31"/>
      <c r="E52" s="31"/>
      <c r="F52" s="31"/>
      <c r="G52" s="31"/>
      <c r="H52" s="31"/>
      <c r="I52" s="31"/>
      <c r="J52" s="31"/>
      <c r="K52" s="31"/>
      <c r="L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row>
    <row r="53" spans="1:56" x14ac:dyDescent="0.25">
      <c r="A53" s="79" t="s">
        <v>708</v>
      </c>
      <c r="B53" s="80">
        <v>113</v>
      </c>
      <c r="C53" s="81">
        <v>823.9646017699115</v>
      </c>
      <c r="D53" s="31"/>
      <c r="E53" s="31"/>
      <c r="F53" s="31"/>
      <c r="G53" s="31"/>
      <c r="H53" s="31"/>
      <c r="I53" s="31"/>
      <c r="J53" s="31"/>
      <c r="K53" s="31"/>
      <c r="L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row>
    <row r="54" spans="1:56" x14ac:dyDescent="0.25">
      <c r="A54" s="79" t="s">
        <v>26</v>
      </c>
      <c r="B54" s="80">
        <v>630</v>
      </c>
      <c r="C54" s="81">
        <v>1184.968253968254</v>
      </c>
      <c r="D54" s="31"/>
      <c r="E54" s="31"/>
      <c r="F54" s="31"/>
      <c r="G54" s="31"/>
      <c r="H54" s="31"/>
      <c r="I54" s="31"/>
      <c r="J54" s="31"/>
      <c r="K54" s="31"/>
      <c r="L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row>
    <row r="55" spans="1:56" x14ac:dyDescent="0.25">
      <c r="A55" s="76" t="s">
        <v>718</v>
      </c>
      <c r="B55" s="77">
        <v>2353</v>
      </c>
      <c r="C55" s="78">
        <v>700.27879303017426</v>
      </c>
      <c r="D55" s="31"/>
      <c r="E55" s="31"/>
      <c r="F55" s="31"/>
      <c r="G55" s="31"/>
      <c r="H55" s="31"/>
      <c r="I55" s="31"/>
      <c r="J55" s="31"/>
      <c r="K55" s="31"/>
      <c r="L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row>
    <row r="56" spans="1:56" x14ac:dyDescent="0.25">
      <c r="A56" s="79" t="s">
        <v>84</v>
      </c>
      <c r="B56" s="80">
        <v>1627</v>
      </c>
      <c r="C56" s="81">
        <v>538.55009219422254</v>
      </c>
      <c r="D56" s="31"/>
      <c r="E56" s="31"/>
      <c r="F56" s="31"/>
      <c r="G56" s="31"/>
      <c r="H56" s="31"/>
      <c r="I56" s="31"/>
      <c r="J56" s="31"/>
      <c r="K56" s="31"/>
      <c r="L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row>
    <row r="57" spans="1:56" x14ac:dyDescent="0.25">
      <c r="A57" s="79" t="s">
        <v>708</v>
      </c>
      <c r="B57" s="80">
        <v>550</v>
      </c>
      <c r="C57" s="81">
        <v>1028.5363636363636</v>
      </c>
      <c r="D57" s="31"/>
      <c r="E57" s="31"/>
      <c r="F57" s="31"/>
      <c r="G57" s="31"/>
      <c r="H57" s="31"/>
      <c r="I57" s="31"/>
      <c r="J57" s="31"/>
      <c r="K57" s="31"/>
      <c r="L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row>
    <row r="58" spans="1:56" x14ac:dyDescent="0.25">
      <c r="A58" s="79" t="s">
        <v>26</v>
      </c>
      <c r="B58" s="80">
        <v>176</v>
      </c>
      <c r="C58" s="81">
        <v>1169.5454545454545</v>
      </c>
      <c r="D58" s="31"/>
      <c r="E58" s="31"/>
      <c r="F58" s="31"/>
      <c r="G58" s="31"/>
      <c r="H58" s="31"/>
      <c r="I58" s="31"/>
      <c r="J58" s="31"/>
      <c r="K58" s="31"/>
      <c r="L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row>
    <row r="59" spans="1:56" x14ac:dyDescent="0.25">
      <c r="A59" s="76" t="s">
        <v>719</v>
      </c>
      <c r="B59" s="77">
        <v>10292</v>
      </c>
      <c r="C59" s="78">
        <v>911.52497085114658</v>
      </c>
      <c r="D59" s="31"/>
      <c r="E59" s="31"/>
      <c r="F59" s="31"/>
      <c r="G59" s="31"/>
      <c r="H59" s="31"/>
      <c r="I59" s="31"/>
      <c r="J59" s="31"/>
      <c r="K59" s="31"/>
      <c r="L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row>
    <row r="60" spans="1:56" x14ac:dyDescent="0.25">
      <c r="A60" s="79" t="s">
        <v>84</v>
      </c>
      <c r="B60" s="80">
        <v>3446</v>
      </c>
      <c r="C60" s="81">
        <v>590.52379570516541</v>
      </c>
      <c r="D60" s="31"/>
      <c r="E60" s="31"/>
      <c r="F60" s="31"/>
      <c r="G60" s="31"/>
      <c r="H60" s="31"/>
      <c r="I60" s="31"/>
      <c r="J60" s="31"/>
      <c r="K60" s="31"/>
      <c r="L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row>
    <row r="61" spans="1:56" x14ac:dyDescent="0.25">
      <c r="A61" s="79" t="s">
        <v>708</v>
      </c>
      <c r="B61" s="80">
        <v>812</v>
      </c>
      <c r="C61" s="81">
        <v>905.58251231527095</v>
      </c>
      <c r="D61" s="31"/>
      <c r="E61" s="31"/>
      <c r="F61" s="31"/>
      <c r="G61" s="31"/>
      <c r="H61" s="31"/>
      <c r="I61" s="31"/>
      <c r="J61" s="31"/>
      <c r="K61" s="31"/>
      <c r="L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row>
    <row r="62" spans="1:56" x14ac:dyDescent="0.25">
      <c r="A62" s="79" t="s">
        <v>26</v>
      </c>
      <c r="B62" s="80">
        <v>6034</v>
      </c>
      <c r="C62" s="81">
        <v>1095.6474975140868</v>
      </c>
      <c r="D62" s="31"/>
      <c r="E62" s="31"/>
      <c r="F62" s="31"/>
      <c r="G62" s="31"/>
      <c r="H62" s="31"/>
      <c r="I62" s="31"/>
      <c r="J62" s="31"/>
      <c r="K62" s="31"/>
      <c r="L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row>
    <row r="63" spans="1:56" x14ac:dyDescent="0.25">
      <c r="A63" s="76" t="s">
        <v>720</v>
      </c>
      <c r="B63" s="77">
        <v>5326</v>
      </c>
      <c r="C63" s="78">
        <v>443.27055951933909</v>
      </c>
      <c r="D63" s="31"/>
      <c r="E63" s="31"/>
      <c r="F63" s="31"/>
      <c r="G63" s="31"/>
      <c r="H63" s="31"/>
      <c r="I63" s="31"/>
      <c r="J63" s="31"/>
      <c r="K63" s="31"/>
      <c r="L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row>
    <row r="64" spans="1:56" x14ac:dyDescent="0.25">
      <c r="A64" s="79" t="s">
        <v>84</v>
      </c>
      <c r="B64" s="80">
        <v>3778</v>
      </c>
      <c r="C64" s="81">
        <v>391.18157755426154</v>
      </c>
      <c r="D64" s="31"/>
      <c r="E64" s="31"/>
      <c r="F64" s="31"/>
      <c r="G64" s="31"/>
      <c r="H64" s="31"/>
      <c r="I64" s="31"/>
      <c r="J64" s="31"/>
      <c r="K64" s="31"/>
      <c r="L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row>
    <row r="65" spans="1:56" x14ac:dyDescent="0.25">
      <c r="A65" s="79" t="s">
        <v>708</v>
      </c>
      <c r="B65" s="80">
        <v>1245</v>
      </c>
      <c r="C65" s="81">
        <v>566.99277108433739</v>
      </c>
      <c r="D65" s="31"/>
      <c r="E65" s="31"/>
      <c r="F65" s="31"/>
      <c r="G65" s="31"/>
      <c r="H65" s="31"/>
      <c r="I65" s="31"/>
      <c r="J65" s="31"/>
      <c r="K65" s="31"/>
      <c r="L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row>
    <row r="66" spans="1:56" x14ac:dyDescent="0.25">
      <c r="A66" s="79" t="s">
        <v>26</v>
      </c>
      <c r="B66" s="80">
        <v>303</v>
      </c>
      <c r="C66" s="81">
        <v>584.38613861386136</v>
      </c>
      <c r="D66" s="31"/>
      <c r="E66" s="31"/>
      <c r="F66" s="31"/>
      <c r="G66" s="31"/>
      <c r="H66" s="31"/>
      <c r="I66" s="31"/>
      <c r="J66" s="31"/>
      <c r="K66" s="31"/>
      <c r="L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row>
    <row r="67" spans="1:56" x14ac:dyDescent="0.25">
      <c r="A67" s="76" t="s">
        <v>721</v>
      </c>
      <c r="B67" s="77">
        <v>2745</v>
      </c>
      <c r="C67" s="78">
        <v>697.67395264116578</v>
      </c>
      <c r="D67" s="31"/>
      <c r="E67" s="31"/>
      <c r="F67" s="31"/>
      <c r="G67" s="31"/>
      <c r="H67" s="31"/>
      <c r="I67" s="31"/>
      <c r="J67" s="31"/>
      <c r="K67" s="31"/>
      <c r="L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row>
    <row r="68" spans="1:56" x14ac:dyDescent="0.25">
      <c r="A68" s="79" t="s">
        <v>84</v>
      </c>
      <c r="B68" s="80">
        <v>1482</v>
      </c>
      <c r="C68" s="81">
        <v>544.21052631578948</v>
      </c>
      <c r="D68" s="31"/>
      <c r="E68" s="31"/>
      <c r="F68" s="31"/>
      <c r="G68" s="31"/>
      <c r="H68" s="31"/>
      <c r="I68" s="31"/>
      <c r="J68" s="31"/>
      <c r="K68" s="31"/>
      <c r="L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row>
    <row r="69" spans="1:56" x14ac:dyDescent="0.25">
      <c r="A69" s="79" t="s">
        <v>708</v>
      </c>
      <c r="B69" s="80">
        <v>914</v>
      </c>
      <c r="C69" s="81">
        <v>818.31509846827134</v>
      </c>
      <c r="D69" s="31"/>
      <c r="E69" s="31"/>
      <c r="F69" s="31"/>
      <c r="G69" s="31"/>
      <c r="H69" s="31"/>
      <c r="I69" s="31"/>
      <c r="J69" s="31"/>
      <c r="K69" s="31"/>
      <c r="L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row>
    <row r="70" spans="1:56" x14ac:dyDescent="0.25">
      <c r="A70" s="79" t="s">
        <v>26</v>
      </c>
      <c r="B70" s="80">
        <v>349</v>
      </c>
      <c r="C70" s="81">
        <v>1033.3954154727794</v>
      </c>
      <c r="D70" s="31"/>
      <c r="E70" s="31"/>
      <c r="F70" s="31"/>
      <c r="G70" s="31"/>
      <c r="H70" s="31"/>
      <c r="I70" s="31"/>
      <c r="J70" s="31"/>
      <c r="K70" s="31"/>
      <c r="L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row>
    <row r="71" spans="1:56" x14ac:dyDescent="0.25">
      <c r="A71" s="76" t="s">
        <v>722</v>
      </c>
      <c r="B71" s="77">
        <v>3613</v>
      </c>
      <c r="C71" s="78">
        <v>695.96014392471625</v>
      </c>
      <c r="D71" s="31"/>
      <c r="E71" s="31"/>
      <c r="F71" s="31"/>
      <c r="G71" s="31"/>
      <c r="H71" s="31"/>
      <c r="I71" s="31"/>
      <c r="J71" s="31"/>
      <c r="K71" s="31"/>
      <c r="L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row>
    <row r="72" spans="1:56" x14ac:dyDescent="0.25">
      <c r="A72" s="79" t="s">
        <v>84</v>
      </c>
      <c r="B72" s="80">
        <v>1535</v>
      </c>
      <c r="C72" s="81">
        <v>436.59934853420197</v>
      </c>
      <c r="D72" s="31"/>
      <c r="E72" s="31"/>
      <c r="F72" s="31"/>
      <c r="G72" s="31"/>
      <c r="H72" s="31"/>
      <c r="I72" s="31"/>
      <c r="J72" s="31"/>
      <c r="K72" s="31"/>
      <c r="L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row>
    <row r="73" spans="1:56" x14ac:dyDescent="0.25">
      <c r="A73" s="79" t="s">
        <v>708</v>
      </c>
      <c r="B73" s="80">
        <v>414</v>
      </c>
      <c r="C73" s="81">
        <v>597.90338164251204</v>
      </c>
      <c r="D73" s="31"/>
      <c r="E73" s="31"/>
      <c r="F73" s="31"/>
      <c r="G73" s="31"/>
      <c r="H73" s="31"/>
      <c r="I73" s="31"/>
      <c r="J73" s="31"/>
      <c r="K73" s="31"/>
      <c r="L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row>
    <row r="74" spans="1:56" x14ac:dyDescent="0.25">
      <c r="A74" s="79" t="s">
        <v>26</v>
      </c>
      <c r="B74" s="80">
        <v>1664</v>
      </c>
      <c r="C74" s="81">
        <v>959.61057692307691</v>
      </c>
      <c r="D74" s="31"/>
      <c r="E74" s="31"/>
      <c r="F74" s="31"/>
      <c r="G74" s="31"/>
      <c r="H74" s="31"/>
      <c r="I74" s="31"/>
      <c r="J74" s="31"/>
      <c r="K74" s="31"/>
      <c r="L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row>
    <row r="75" spans="1:56" x14ac:dyDescent="0.25">
      <c r="A75" s="76" t="s">
        <v>723</v>
      </c>
      <c r="B75" s="77">
        <v>7004</v>
      </c>
      <c r="C75" s="78">
        <v>970.84237578526552</v>
      </c>
      <c r="D75" s="31"/>
      <c r="E75" s="31"/>
      <c r="F75" s="31"/>
      <c r="G75" s="31"/>
      <c r="H75" s="31"/>
      <c r="I75" s="31"/>
      <c r="J75" s="31"/>
      <c r="K75" s="31"/>
      <c r="L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row>
    <row r="76" spans="1:56" x14ac:dyDescent="0.25">
      <c r="A76" s="79" t="s">
        <v>84</v>
      </c>
      <c r="B76" s="80">
        <v>975</v>
      </c>
      <c r="C76" s="81">
        <v>446.71487179487178</v>
      </c>
      <c r="D76" s="31"/>
      <c r="E76" s="31"/>
      <c r="F76" s="31"/>
      <c r="G76" s="31"/>
      <c r="H76" s="31"/>
      <c r="I76" s="31"/>
      <c r="J76" s="31"/>
      <c r="K76" s="31"/>
      <c r="L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row>
    <row r="77" spans="1:56" x14ac:dyDescent="0.25">
      <c r="A77" s="79" t="s">
        <v>708</v>
      </c>
      <c r="B77" s="80">
        <v>3769</v>
      </c>
      <c r="C77" s="81">
        <v>811.40488193154681</v>
      </c>
      <c r="D77" s="31"/>
      <c r="E77" s="31"/>
      <c r="F77" s="31"/>
      <c r="G77" s="31"/>
      <c r="H77" s="31"/>
      <c r="I77" s="31"/>
      <c r="J77" s="31"/>
      <c r="K77" s="31"/>
      <c r="L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row>
    <row r="78" spans="1:56" x14ac:dyDescent="0.25">
      <c r="A78" s="79" t="s">
        <v>26</v>
      </c>
      <c r="B78" s="80">
        <v>2260</v>
      </c>
      <c r="C78" s="81">
        <v>1462.8530973451327</v>
      </c>
      <c r="D78" s="31"/>
      <c r="E78" s="31"/>
      <c r="F78" s="31"/>
      <c r="G78" s="31"/>
      <c r="H78" s="31"/>
      <c r="I78" s="31"/>
      <c r="J78" s="31"/>
      <c r="K78" s="31"/>
      <c r="L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row>
    <row r="79" spans="1:56" x14ac:dyDescent="0.25">
      <c r="A79" s="76" t="s">
        <v>724</v>
      </c>
      <c r="B79" s="77">
        <v>2053</v>
      </c>
      <c r="C79" s="78">
        <v>641.10277642474432</v>
      </c>
      <c r="D79" s="31"/>
      <c r="E79" s="31"/>
      <c r="F79" s="31"/>
      <c r="G79" s="31"/>
      <c r="H79" s="31"/>
      <c r="I79" s="31"/>
      <c r="J79" s="31"/>
      <c r="K79" s="31"/>
      <c r="L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row>
    <row r="80" spans="1:56" x14ac:dyDescent="0.25">
      <c r="A80" s="79" t="s">
        <v>84</v>
      </c>
      <c r="B80" s="80">
        <v>297</v>
      </c>
      <c r="C80" s="81">
        <v>393.09764309764307</v>
      </c>
      <c r="D80" s="31"/>
      <c r="E80" s="31"/>
      <c r="F80" s="31"/>
      <c r="G80" s="31"/>
      <c r="H80" s="31"/>
      <c r="I80" s="31"/>
      <c r="J80" s="31"/>
      <c r="K80" s="31"/>
      <c r="L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row>
    <row r="81" spans="1:56" x14ac:dyDescent="0.25">
      <c r="A81" s="79" t="s">
        <v>708</v>
      </c>
      <c r="B81" s="80">
        <v>1286</v>
      </c>
      <c r="C81" s="81">
        <v>647.89269051321924</v>
      </c>
      <c r="D81" s="31"/>
      <c r="E81" s="31"/>
      <c r="F81" s="31"/>
      <c r="G81" s="31"/>
      <c r="H81" s="31"/>
      <c r="I81" s="31"/>
      <c r="J81" s="31"/>
      <c r="K81" s="31"/>
      <c r="L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row>
    <row r="82" spans="1:56" x14ac:dyDescent="0.25">
      <c r="A82" s="79" t="s">
        <v>26</v>
      </c>
      <c r="B82" s="80">
        <v>470</v>
      </c>
      <c r="C82" s="81">
        <v>779.24255319148938</v>
      </c>
      <c r="D82" s="31"/>
      <c r="E82" s="31"/>
      <c r="F82" s="31"/>
      <c r="G82" s="31"/>
      <c r="H82" s="31"/>
      <c r="I82" s="31"/>
      <c r="J82" s="31"/>
      <c r="K82" s="31"/>
      <c r="L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row>
    <row r="83" spans="1:56" x14ac:dyDescent="0.25">
      <c r="A83" s="76" t="s">
        <v>725</v>
      </c>
      <c r="B83" s="77">
        <v>925</v>
      </c>
      <c r="C83" s="78">
        <v>358.7383783783784</v>
      </c>
      <c r="D83" s="31"/>
      <c r="E83" s="31"/>
      <c r="F83" s="31"/>
      <c r="G83" s="31"/>
      <c r="H83" s="31"/>
      <c r="I83" s="31"/>
      <c r="J83" s="31"/>
      <c r="K83" s="31"/>
      <c r="L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row>
    <row r="84" spans="1:56" x14ac:dyDescent="0.25">
      <c r="A84" s="79" t="s">
        <v>84</v>
      </c>
      <c r="B84" s="80">
        <v>639</v>
      </c>
      <c r="C84" s="81">
        <v>224.23630672926447</v>
      </c>
      <c r="D84" s="31"/>
      <c r="E84" s="31"/>
      <c r="F84" s="31"/>
      <c r="G84" s="31"/>
      <c r="H84" s="31"/>
      <c r="I84" s="31"/>
      <c r="J84" s="31"/>
      <c r="K84" s="31"/>
      <c r="L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row>
    <row r="85" spans="1:56" x14ac:dyDescent="0.25">
      <c r="A85" s="79" t="s">
        <v>708</v>
      </c>
      <c r="B85" s="80">
        <v>200</v>
      </c>
      <c r="C85" s="81">
        <v>604.82000000000005</v>
      </c>
      <c r="D85" s="31"/>
      <c r="E85" s="31"/>
      <c r="F85" s="31"/>
      <c r="G85" s="31"/>
      <c r="H85" s="31"/>
      <c r="I85" s="31"/>
      <c r="J85" s="31"/>
      <c r="K85" s="31"/>
      <c r="L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row>
    <row r="86" spans="1:56" x14ac:dyDescent="0.25">
      <c r="A86" s="79" t="s">
        <v>26</v>
      </c>
      <c r="B86" s="80">
        <v>86</v>
      </c>
      <c r="C86" s="81">
        <v>785.83720930232562</v>
      </c>
      <c r="D86" s="31"/>
      <c r="E86" s="31"/>
      <c r="F86" s="31"/>
      <c r="G86" s="31"/>
      <c r="H86" s="31"/>
      <c r="I86" s="31"/>
      <c r="J86" s="31"/>
      <c r="K86" s="31"/>
      <c r="L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row>
    <row r="87" spans="1:56" x14ac:dyDescent="0.25">
      <c r="A87" s="76" t="s">
        <v>726</v>
      </c>
      <c r="B87" s="77">
        <v>2995</v>
      </c>
      <c r="C87" s="78">
        <v>944.12387312186979</v>
      </c>
      <c r="D87" s="31"/>
      <c r="E87" s="31"/>
      <c r="F87" s="31"/>
      <c r="G87" s="31"/>
      <c r="H87" s="31"/>
      <c r="I87" s="31"/>
      <c r="J87" s="31"/>
      <c r="K87" s="31"/>
      <c r="L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row>
    <row r="88" spans="1:56" x14ac:dyDescent="0.25">
      <c r="A88" s="79" t="s">
        <v>84</v>
      </c>
      <c r="B88" s="80">
        <v>187</v>
      </c>
      <c r="C88" s="81">
        <v>502.99465240641712</v>
      </c>
      <c r="D88" s="31"/>
      <c r="E88" s="31"/>
      <c r="F88" s="31"/>
      <c r="G88" s="31"/>
      <c r="H88" s="31"/>
      <c r="I88" s="31"/>
      <c r="J88" s="31"/>
      <c r="K88" s="31"/>
      <c r="L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row>
    <row r="89" spans="1:56" x14ac:dyDescent="0.25">
      <c r="A89" s="79" t="s">
        <v>708</v>
      </c>
      <c r="B89" s="80">
        <v>2209</v>
      </c>
      <c r="C89" s="81">
        <v>896.37799909461296</v>
      </c>
      <c r="D89" s="31"/>
      <c r="E89" s="31"/>
      <c r="F89" s="31"/>
      <c r="G89" s="31"/>
      <c r="H89" s="31"/>
      <c r="I89" s="31"/>
      <c r="J89" s="31"/>
      <c r="K89" s="31"/>
      <c r="L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row>
    <row r="90" spans="1:56" x14ac:dyDescent="0.25">
      <c r="A90" s="79" t="s">
        <v>26</v>
      </c>
      <c r="B90" s="80">
        <v>599</v>
      </c>
      <c r="C90" s="81">
        <v>1257.91652754591</v>
      </c>
      <c r="D90" s="31"/>
      <c r="E90" s="31"/>
      <c r="F90" s="31"/>
      <c r="G90" s="31"/>
      <c r="H90" s="31"/>
      <c r="I90" s="31"/>
      <c r="J90" s="31"/>
      <c r="K90" s="31"/>
      <c r="L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row>
    <row r="91" spans="1:56" x14ac:dyDescent="0.25">
      <c r="A91" s="76" t="s">
        <v>727</v>
      </c>
      <c r="B91" s="77">
        <v>1523</v>
      </c>
      <c r="C91" s="78">
        <v>505.32370321733418</v>
      </c>
      <c r="D91" s="31"/>
      <c r="E91" s="31"/>
      <c r="F91" s="31"/>
      <c r="G91" s="31"/>
      <c r="H91" s="31"/>
      <c r="I91" s="31"/>
      <c r="J91" s="31"/>
      <c r="K91" s="31"/>
      <c r="L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row>
    <row r="92" spans="1:56" x14ac:dyDescent="0.25">
      <c r="A92" s="79" t="s">
        <v>84</v>
      </c>
      <c r="B92" s="80">
        <v>557</v>
      </c>
      <c r="C92" s="81">
        <v>300.75763016157987</v>
      </c>
      <c r="D92" s="31"/>
      <c r="E92" s="31"/>
      <c r="F92" s="31"/>
      <c r="G92" s="31"/>
      <c r="H92" s="31"/>
      <c r="I92" s="31"/>
      <c r="J92" s="31"/>
      <c r="K92" s="31"/>
      <c r="L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row>
    <row r="93" spans="1:56" x14ac:dyDescent="0.25">
      <c r="A93" s="79" t="s">
        <v>708</v>
      </c>
      <c r="B93" s="80">
        <v>298</v>
      </c>
      <c r="C93" s="81">
        <v>739.15771812080538</v>
      </c>
      <c r="D93" s="31"/>
      <c r="E93" s="31"/>
      <c r="F93" s="31"/>
      <c r="G93" s="31"/>
      <c r="H93" s="31"/>
      <c r="I93" s="31"/>
      <c r="J93" s="31"/>
      <c r="K93" s="31"/>
      <c r="L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row>
    <row r="94" spans="1:56" x14ac:dyDescent="0.25">
      <c r="A94" s="79" t="s">
        <v>26</v>
      </c>
      <c r="B94" s="80">
        <v>668</v>
      </c>
      <c r="C94" s="81">
        <v>571.58233532934128</v>
      </c>
      <c r="D94" s="31"/>
      <c r="E94" s="31"/>
      <c r="F94" s="31"/>
      <c r="G94" s="31"/>
      <c r="H94" s="31"/>
      <c r="I94" s="31"/>
      <c r="J94" s="31"/>
      <c r="K94" s="31"/>
      <c r="L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row>
    <row r="95" spans="1:56" x14ac:dyDescent="0.25">
      <c r="A95" s="76" t="s">
        <v>728</v>
      </c>
      <c r="B95" s="77">
        <v>2645</v>
      </c>
      <c r="C95" s="78">
        <v>888.07674858223061</v>
      </c>
      <c r="D95" s="31"/>
      <c r="E95" s="31"/>
      <c r="F95" s="31"/>
      <c r="G95" s="31"/>
      <c r="H95" s="31"/>
      <c r="I95" s="31"/>
      <c r="J95" s="31"/>
      <c r="K95" s="31"/>
      <c r="L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row>
    <row r="96" spans="1:56" x14ac:dyDescent="0.25">
      <c r="A96" s="79" t="s">
        <v>84</v>
      </c>
      <c r="B96" s="80">
        <v>711</v>
      </c>
      <c r="C96" s="81">
        <v>547.51758087201131</v>
      </c>
      <c r="D96" s="31"/>
      <c r="E96" s="31"/>
      <c r="F96" s="31"/>
      <c r="G96" s="31"/>
      <c r="H96" s="31"/>
      <c r="I96" s="31"/>
      <c r="J96" s="31"/>
      <c r="K96" s="31"/>
      <c r="L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row>
    <row r="97" spans="1:56" x14ac:dyDescent="0.25">
      <c r="A97" s="79" t="s">
        <v>708</v>
      </c>
      <c r="B97" s="80">
        <v>1080</v>
      </c>
      <c r="C97" s="81">
        <v>813.1314814814815</v>
      </c>
      <c r="D97" s="31"/>
      <c r="E97" s="31"/>
      <c r="F97" s="31"/>
      <c r="G97" s="31"/>
      <c r="H97" s="31"/>
      <c r="I97" s="31"/>
      <c r="J97" s="31"/>
      <c r="K97" s="31"/>
      <c r="L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row>
    <row r="98" spans="1:56" x14ac:dyDescent="0.25">
      <c r="A98" s="79" t="s">
        <v>26</v>
      </c>
      <c r="B98" s="80">
        <v>854</v>
      </c>
      <c r="C98" s="81">
        <v>1266.3887587822014</v>
      </c>
      <c r="D98" s="31"/>
      <c r="E98" s="31"/>
      <c r="F98" s="31"/>
      <c r="G98" s="31"/>
      <c r="H98" s="31"/>
      <c r="I98" s="31"/>
      <c r="J98" s="31"/>
      <c r="K98" s="31"/>
      <c r="L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row>
    <row r="99" spans="1:56" x14ac:dyDescent="0.25">
      <c r="A99" s="76" t="s">
        <v>729</v>
      </c>
      <c r="B99" s="77">
        <v>10643</v>
      </c>
      <c r="C99" s="78">
        <v>1012.3375927839895</v>
      </c>
      <c r="D99" s="31"/>
      <c r="E99" s="31"/>
      <c r="F99" s="31"/>
      <c r="G99" s="31"/>
      <c r="H99" s="31"/>
      <c r="I99" s="31"/>
      <c r="J99" s="31"/>
      <c r="K99" s="31"/>
      <c r="L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row>
    <row r="100" spans="1:56" x14ac:dyDescent="0.25">
      <c r="A100" s="79" t="s">
        <v>84</v>
      </c>
      <c r="B100" s="80">
        <v>3739</v>
      </c>
      <c r="C100" s="81">
        <v>570.1511099224391</v>
      </c>
      <c r="D100" s="31"/>
      <c r="E100" s="31"/>
      <c r="F100" s="31"/>
      <c r="G100" s="31"/>
      <c r="H100" s="31"/>
      <c r="I100" s="31"/>
      <c r="J100" s="31"/>
      <c r="K100" s="31"/>
      <c r="L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row>
    <row r="101" spans="1:56" x14ac:dyDescent="0.25">
      <c r="A101" s="79" t="s">
        <v>708</v>
      </c>
      <c r="B101" s="80">
        <v>1264</v>
      </c>
      <c r="C101" s="81">
        <v>902.30537974683546</v>
      </c>
      <c r="D101" s="31"/>
      <c r="E101" s="31"/>
      <c r="F101" s="31"/>
      <c r="G101" s="31"/>
      <c r="H101" s="31"/>
      <c r="I101" s="31"/>
      <c r="J101" s="31"/>
      <c r="K101" s="31"/>
      <c r="L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row>
    <row r="102" spans="1:56" x14ac:dyDescent="0.25">
      <c r="A102" s="79" t="s">
        <v>26</v>
      </c>
      <c r="B102" s="80">
        <v>5640</v>
      </c>
      <c r="C102" s="81">
        <v>1330.1418439716313</v>
      </c>
      <c r="D102" s="31"/>
      <c r="E102" s="31"/>
      <c r="F102" s="31"/>
      <c r="G102" s="31"/>
      <c r="H102" s="31"/>
      <c r="I102" s="31"/>
      <c r="J102" s="31"/>
      <c r="K102" s="31"/>
      <c r="L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row>
    <row r="103" spans="1:56" x14ac:dyDescent="0.25">
      <c r="A103" s="76" t="s">
        <v>730</v>
      </c>
      <c r="B103" s="77">
        <v>3788</v>
      </c>
      <c r="C103" s="78">
        <v>918.72967265047521</v>
      </c>
      <c r="D103" s="31"/>
      <c r="E103" s="31"/>
      <c r="F103" s="31"/>
      <c r="G103" s="31"/>
      <c r="H103" s="31"/>
      <c r="I103" s="31"/>
      <c r="J103" s="31"/>
      <c r="K103" s="31"/>
      <c r="L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row>
    <row r="104" spans="1:56" x14ac:dyDescent="0.25">
      <c r="A104" s="79" t="s">
        <v>84</v>
      </c>
      <c r="B104" s="80">
        <v>839</v>
      </c>
      <c r="C104" s="81">
        <v>524.65911799761625</v>
      </c>
      <c r="D104" s="31"/>
      <c r="E104" s="31"/>
      <c r="F104" s="31"/>
      <c r="G104" s="31"/>
      <c r="H104" s="31"/>
      <c r="I104" s="31"/>
      <c r="J104" s="31"/>
      <c r="K104" s="31"/>
      <c r="L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row>
    <row r="105" spans="1:56" x14ac:dyDescent="0.25">
      <c r="A105" s="79" t="s">
        <v>708</v>
      </c>
      <c r="B105" s="80">
        <v>1314</v>
      </c>
      <c r="C105" s="81">
        <v>793.21308980213087</v>
      </c>
      <c r="D105" s="31"/>
      <c r="E105" s="31"/>
      <c r="F105" s="31"/>
      <c r="G105" s="31"/>
      <c r="H105" s="31"/>
      <c r="I105" s="31"/>
      <c r="J105" s="31"/>
      <c r="K105" s="31"/>
      <c r="L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row>
    <row r="106" spans="1:56" x14ac:dyDescent="0.25">
      <c r="A106" s="79" t="s">
        <v>26</v>
      </c>
      <c r="B106" s="80">
        <v>1635</v>
      </c>
      <c r="C106" s="81">
        <v>1221.8207951070337</v>
      </c>
      <c r="D106" s="31"/>
      <c r="E106" s="31"/>
      <c r="F106" s="31"/>
      <c r="G106" s="31"/>
      <c r="H106" s="31"/>
      <c r="I106" s="31"/>
      <c r="J106" s="31"/>
      <c r="K106" s="31"/>
      <c r="L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row>
    <row r="107" spans="1:56" x14ac:dyDescent="0.25">
      <c r="A107" s="76" t="s">
        <v>731</v>
      </c>
      <c r="B107" s="77">
        <v>2205</v>
      </c>
      <c r="C107" s="78">
        <v>1140.0163265306123</v>
      </c>
      <c r="D107" s="31"/>
      <c r="E107" s="31"/>
      <c r="F107" s="31"/>
      <c r="G107" s="31"/>
      <c r="H107" s="31"/>
      <c r="I107" s="31"/>
      <c r="J107" s="31"/>
      <c r="K107" s="31"/>
      <c r="L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row>
    <row r="108" spans="1:56" x14ac:dyDescent="0.25">
      <c r="A108" s="79" t="s">
        <v>84</v>
      </c>
      <c r="B108" s="80">
        <v>247</v>
      </c>
      <c r="C108" s="81">
        <v>532.83805668016191</v>
      </c>
      <c r="D108" s="31"/>
      <c r="E108" s="31"/>
      <c r="F108" s="31"/>
      <c r="G108" s="31"/>
      <c r="H108" s="31"/>
      <c r="I108" s="31"/>
      <c r="J108" s="31"/>
      <c r="K108" s="31"/>
      <c r="L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row>
    <row r="109" spans="1:56" x14ac:dyDescent="0.25">
      <c r="A109" s="79" t="s">
        <v>708</v>
      </c>
      <c r="B109" s="80">
        <v>915</v>
      </c>
      <c r="C109" s="81">
        <v>918.85901639344263</v>
      </c>
      <c r="D109" s="31"/>
      <c r="E109" s="31"/>
      <c r="F109" s="31"/>
      <c r="G109" s="31"/>
      <c r="H109" s="31"/>
      <c r="I109" s="31"/>
      <c r="J109" s="31"/>
      <c r="K109" s="31"/>
      <c r="L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row>
    <row r="110" spans="1:56" x14ac:dyDescent="0.25">
      <c r="A110" s="79" t="s">
        <v>26</v>
      </c>
      <c r="B110" s="80">
        <v>1043</v>
      </c>
      <c r="C110" s="81">
        <v>1477.8226270373921</v>
      </c>
      <c r="D110" s="31"/>
      <c r="E110" s="31"/>
      <c r="F110" s="31"/>
      <c r="G110" s="31"/>
      <c r="H110" s="31"/>
      <c r="I110" s="31"/>
      <c r="J110" s="31"/>
      <c r="K110" s="31"/>
      <c r="L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row>
    <row r="111" spans="1:56" x14ac:dyDescent="0.25">
      <c r="A111" s="76" t="s">
        <v>781</v>
      </c>
      <c r="B111" s="77">
        <v>2736</v>
      </c>
      <c r="C111" s="78">
        <v>585.56615497076018</v>
      </c>
      <c r="D111" s="31"/>
      <c r="E111" s="31"/>
      <c r="F111" s="31"/>
      <c r="G111" s="31"/>
      <c r="H111" s="31"/>
      <c r="I111" s="31"/>
      <c r="J111" s="31"/>
      <c r="K111" s="31"/>
      <c r="L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row>
    <row r="112" spans="1:56" x14ac:dyDescent="0.25">
      <c r="A112" s="79" t="s">
        <v>84</v>
      </c>
      <c r="B112" s="80">
        <v>1060</v>
      </c>
      <c r="C112" s="81">
        <v>511.07169811320756</v>
      </c>
      <c r="D112" s="31"/>
      <c r="E112" s="31"/>
      <c r="F112" s="31"/>
      <c r="G112" s="31"/>
      <c r="H112" s="31"/>
      <c r="I112" s="31"/>
      <c r="J112" s="31"/>
      <c r="K112" s="31"/>
      <c r="L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row>
    <row r="113" spans="1:56" x14ac:dyDescent="0.25">
      <c r="A113" s="79" t="s">
        <v>708</v>
      </c>
      <c r="B113" s="80">
        <v>1259</v>
      </c>
      <c r="C113" s="81">
        <v>585.02144559173951</v>
      </c>
      <c r="D113" s="31"/>
      <c r="E113" s="31"/>
      <c r="F113" s="31"/>
      <c r="G113" s="31"/>
      <c r="H113" s="31"/>
      <c r="I113" s="31"/>
      <c r="J113" s="31"/>
      <c r="K113" s="31"/>
      <c r="L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row>
    <row r="114" spans="1:56" x14ac:dyDescent="0.25">
      <c r="A114" s="79" t="s">
        <v>26</v>
      </c>
      <c r="B114" s="80">
        <v>417</v>
      </c>
      <c r="C114" s="81">
        <v>776.57314148681053</v>
      </c>
      <c r="M114"/>
    </row>
    <row r="115" spans="1:56" hidden="1" x14ac:dyDescent="0.25"/>
    <row r="116" spans="1:56" x14ac:dyDescent="0.25"/>
  </sheetData>
  <sheetProtection sheet="1" objects="1" scenarios="1"/>
  <mergeCells count="9">
    <mergeCell ref="A14:C14"/>
    <mergeCell ref="A15:C15"/>
    <mergeCell ref="A16:C16"/>
    <mergeCell ref="A1:D1"/>
    <mergeCell ref="A2:D2"/>
    <mergeCell ref="A4:D4"/>
    <mergeCell ref="A5:C5"/>
    <mergeCell ref="A12:C12"/>
    <mergeCell ref="A13:C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107"/>
  <sheetViews>
    <sheetView showGridLines="0" topLeftCell="A7" zoomScaleNormal="100" zoomScalePageLayoutView="90" workbookViewId="0">
      <selection activeCell="K11" sqref="K11"/>
    </sheetView>
  </sheetViews>
  <sheetFormatPr defaultRowHeight="15" x14ac:dyDescent="0.25"/>
  <cols>
    <col min="1" max="1" width="36.42578125" customWidth="1"/>
    <col min="2" max="2" width="11.140625"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7.5703125" bestFit="1" customWidth="1"/>
    <col min="13" max="13" width="9" bestFit="1" customWidth="1"/>
    <col min="14" max="14" width="13.5703125" customWidth="1"/>
    <col min="15" max="15" width="17.140625" customWidth="1"/>
    <col min="16" max="16" width="10.42578125" customWidth="1"/>
    <col min="27" max="27" width="10.5703125" bestFit="1" customWidth="1"/>
  </cols>
  <sheetData>
    <row r="1" spans="1:50" s="8" customFormat="1" ht="27.75" customHeight="1" x14ac:dyDescent="0.2">
      <c r="A1" s="199" t="s">
        <v>55</v>
      </c>
      <c r="B1" s="199"/>
      <c r="C1" s="199"/>
      <c r="D1" s="199"/>
      <c r="U1" s="5"/>
    </row>
    <row r="2" spans="1:50" s="1" customFormat="1" ht="45.75" customHeight="1" x14ac:dyDescent="0.2">
      <c r="A2" s="200" t="s">
        <v>56</v>
      </c>
      <c r="B2" s="200"/>
      <c r="C2" s="200"/>
      <c r="D2" s="200"/>
      <c r="E2" s="200"/>
      <c r="F2" s="200"/>
      <c r="G2" s="200"/>
      <c r="H2" s="200"/>
      <c r="I2" s="253"/>
      <c r="J2" s="253"/>
      <c r="K2" s="253"/>
      <c r="L2" s="253"/>
      <c r="M2" s="253"/>
      <c r="N2" s="253"/>
      <c r="O2" s="253"/>
      <c r="P2" s="253"/>
      <c r="Q2" s="67"/>
      <c r="R2" s="67"/>
      <c r="S2" s="67"/>
      <c r="T2" s="67"/>
      <c r="U2" s="67"/>
      <c r="V2" s="66"/>
    </row>
    <row r="3" spans="1:50" ht="31.5" customHeight="1" x14ac:dyDescent="0.25">
      <c r="A3" s="198" t="s">
        <v>787</v>
      </c>
      <c r="B3" s="198"/>
      <c r="C3" s="198"/>
      <c r="D3" s="198"/>
      <c r="E3" s="64"/>
      <c r="F3" s="64"/>
      <c r="G3" s="64"/>
      <c r="H3" s="64"/>
      <c r="I3" s="68"/>
      <c r="J3" s="68"/>
      <c r="K3" s="68"/>
      <c r="L3" s="68"/>
      <c r="M3" s="68"/>
      <c r="N3" s="68"/>
      <c r="O3" s="68"/>
      <c r="P3" s="68"/>
      <c r="Q3" s="68"/>
      <c r="R3" s="68"/>
      <c r="S3" s="68"/>
      <c r="T3" s="68"/>
      <c r="U3" s="68"/>
      <c r="V3" s="64"/>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0" s="8" customFormat="1" ht="30.75" customHeight="1" x14ac:dyDescent="0.2">
      <c r="A4" s="252"/>
      <c r="B4" s="252"/>
      <c r="C4" s="252"/>
      <c r="D4" s="252"/>
      <c r="E4" s="252"/>
      <c r="F4" s="252"/>
      <c r="G4" s="252"/>
      <c r="H4" s="252"/>
      <c r="I4" s="252"/>
      <c r="J4" s="252"/>
      <c r="K4" s="252"/>
      <c r="L4" s="252"/>
      <c r="M4" s="252"/>
      <c r="N4" s="252"/>
      <c r="O4" s="252"/>
      <c r="P4" s="252"/>
      <c r="Q4" s="252"/>
      <c r="R4" s="252"/>
      <c r="S4" s="252"/>
      <c r="T4" s="252"/>
      <c r="U4" s="252"/>
      <c r="V4" s="252"/>
      <c r="W4" s="10"/>
      <c r="X4" s="10"/>
      <c r="Y4" s="10"/>
      <c r="Z4" s="10"/>
    </row>
    <row r="5" spans="1:50" s="1" customFormat="1" ht="7.5" customHeight="1" thickBot="1" x14ac:dyDescent="0.25">
      <c r="A5" s="4"/>
      <c r="B5" s="4"/>
      <c r="C5" s="4"/>
      <c r="D5" s="4"/>
      <c r="E5" s="4"/>
      <c r="F5" s="4"/>
      <c r="G5" s="4"/>
      <c r="H5" s="4"/>
      <c r="I5" s="4"/>
      <c r="J5" s="4"/>
      <c r="K5" s="4"/>
      <c r="L5" s="4"/>
      <c r="M5" s="4"/>
      <c r="N5" s="4"/>
      <c r="O5" s="4"/>
      <c r="P5" s="4"/>
      <c r="Q5" s="4"/>
      <c r="R5" s="4"/>
      <c r="S5" s="4"/>
      <c r="T5" s="4"/>
      <c r="U5" s="4"/>
      <c r="V5" s="4"/>
      <c r="W5" s="2"/>
      <c r="X5" s="2"/>
      <c r="Y5" s="2"/>
      <c r="Z5" s="2"/>
    </row>
    <row r="6" spans="1:50" s="1" customFormat="1" ht="16.5" customHeight="1" x14ac:dyDescent="0.2">
      <c r="A6" s="246"/>
      <c r="B6" s="247"/>
      <c r="C6" s="247"/>
      <c r="D6" s="247"/>
      <c r="E6" s="247"/>
      <c r="F6" s="247"/>
      <c r="G6" s="247"/>
      <c r="H6" s="247"/>
      <c r="I6" s="247"/>
      <c r="J6" s="247"/>
      <c r="K6" s="247"/>
      <c r="L6" s="247"/>
      <c r="M6" s="247"/>
      <c r="N6" s="247"/>
      <c r="O6" s="247"/>
      <c r="P6" s="247"/>
      <c r="Q6" s="247"/>
      <c r="R6" s="247"/>
      <c r="S6" s="247"/>
      <c r="T6" s="247"/>
      <c r="U6" s="247"/>
      <c r="V6" s="248"/>
      <c r="W6" s="2"/>
      <c r="X6" s="2"/>
      <c r="Y6" s="2"/>
      <c r="Z6" s="2"/>
    </row>
    <row r="7" spans="1:50" s="8" customFormat="1" ht="16.5" customHeight="1" x14ac:dyDescent="0.2">
      <c r="A7" s="100"/>
      <c r="B7" s="42"/>
      <c r="C7" s="42"/>
      <c r="D7" s="42"/>
      <c r="E7" s="42"/>
      <c r="F7" s="42"/>
      <c r="G7" s="42"/>
      <c r="H7" s="42"/>
      <c r="I7" s="5"/>
      <c r="J7" s="87"/>
      <c r="K7" s="87"/>
      <c r="L7" s="87"/>
      <c r="M7" s="5"/>
      <c r="N7" s="42"/>
      <c r="O7" s="42"/>
      <c r="P7" s="42"/>
      <c r="Q7" s="42"/>
      <c r="R7" s="42"/>
      <c r="S7" s="42"/>
      <c r="T7" s="42"/>
      <c r="U7" s="42"/>
      <c r="V7" s="43"/>
      <c r="W7" s="44"/>
      <c r="X7" s="44"/>
      <c r="Y7" s="44"/>
      <c r="Z7" s="44"/>
    </row>
    <row r="8" spans="1:50" s="89" customFormat="1" ht="30.6" customHeight="1" x14ac:dyDescent="0.2">
      <c r="A8" s="214" t="s">
        <v>784</v>
      </c>
      <c r="B8" s="203"/>
      <c r="C8" s="203"/>
      <c r="D8" s="203"/>
      <c r="E8" s="88"/>
      <c r="F8" s="88"/>
      <c r="G8" s="203" t="s">
        <v>774</v>
      </c>
      <c r="H8" s="203"/>
      <c r="I8" s="203"/>
      <c r="J8" s="203"/>
      <c r="K8" s="203"/>
      <c r="L8" s="101"/>
      <c r="M8" s="203" t="s">
        <v>786</v>
      </c>
      <c r="N8" s="203"/>
      <c r="O8" s="203"/>
      <c r="P8" s="203"/>
      <c r="Q8" s="203"/>
      <c r="R8" s="101"/>
      <c r="S8" s="101"/>
      <c r="T8" s="156"/>
      <c r="U8" s="156"/>
      <c r="V8" s="157"/>
      <c r="W8" s="90"/>
      <c r="X8" s="90"/>
      <c r="Y8" s="90"/>
      <c r="Z8" s="90"/>
    </row>
    <row r="9" spans="1:50" s="8" customFormat="1" ht="28.35" customHeight="1" x14ac:dyDescent="0.2">
      <c r="A9" s="39" t="s">
        <v>770</v>
      </c>
      <c r="B9" s="116" t="s">
        <v>130</v>
      </c>
      <c r="C9" s="116" t="s">
        <v>131</v>
      </c>
      <c r="D9" s="116" t="s">
        <v>1</v>
      </c>
      <c r="E9" s="42"/>
      <c r="F9" s="42"/>
      <c r="G9" s="202" t="s">
        <v>132</v>
      </c>
      <c r="H9" s="202"/>
      <c r="I9" s="96" t="s">
        <v>130</v>
      </c>
      <c r="J9" s="96" t="s">
        <v>131</v>
      </c>
      <c r="K9" s="96" t="s">
        <v>1</v>
      </c>
      <c r="L9" s="5"/>
      <c r="M9" s="202" t="s">
        <v>128</v>
      </c>
      <c r="N9" s="202"/>
      <c r="O9" s="202" t="s">
        <v>129</v>
      </c>
      <c r="P9" s="202"/>
      <c r="Q9" s="202"/>
      <c r="R9" s="42"/>
      <c r="S9" s="42"/>
      <c r="T9" s="42"/>
      <c r="U9" s="50"/>
      <c r="V9" s="48"/>
      <c r="W9" s="44"/>
      <c r="X9" s="44"/>
    </row>
    <row r="10" spans="1:50" s="8" customFormat="1" ht="16.5" customHeight="1" thickBot="1" x14ac:dyDescent="0.25">
      <c r="A10" s="102" t="s">
        <v>1</v>
      </c>
      <c r="B10" s="117">
        <v>255</v>
      </c>
      <c r="C10" s="117">
        <v>15517</v>
      </c>
      <c r="D10" s="117">
        <v>15772</v>
      </c>
      <c r="E10" s="42"/>
      <c r="F10" s="42"/>
      <c r="G10" s="249" t="s">
        <v>794</v>
      </c>
      <c r="H10" s="249"/>
      <c r="I10" s="45">
        <v>146.19999999999999</v>
      </c>
      <c r="J10" s="45">
        <v>263.5</v>
      </c>
      <c r="K10" s="45">
        <v>259.5</v>
      </c>
      <c r="L10" s="5"/>
      <c r="M10" s="224" t="s">
        <v>1</v>
      </c>
      <c r="N10" s="224"/>
      <c r="O10" s="251">
        <v>1493</v>
      </c>
      <c r="P10" s="251"/>
      <c r="Q10" s="251"/>
      <c r="R10" s="42"/>
      <c r="S10" s="42"/>
      <c r="T10" s="42"/>
      <c r="U10" s="162"/>
      <c r="V10" s="174"/>
      <c r="W10" s="44"/>
      <c r="X10" s="44"/>
      <c r="Z10" s="158"/>
      <c r="AA10" s="158"/>
    </row>
    <row r="11" spans="1:50" s="8" customFormat="1" ht="13.35" customHeight="1" thickTop="1" x14ac:dyDescent="0.2">
      <c r="A11" s="103" t="s">
        <v>137</v>
      </c>
      <c r="B11" s="118">
        <v>237</v>
      </c>
      <c r="C11" s="118">
        <v>3277</v>
      </c>
      <c r="D11" s="118">
        <v>3514</v>
      </c>
      <c r="E11" s="42"/>
      <c r="F11" s="42"/>
      <c r="G11" s="250"/>
      <c r="H11" s="250"/>
      <c r="I11" s="95"/>
      <c r="J11" s="95"/>
      <c r="K11" s="95"/>
      <c r="L11" s="5"/>
      <c r="M11" s="225" t="s">
        <v>130</v>
      </c>
      <c r="N11" s="225"/>
      <c r="O11" s="207">
        <v>0</v>
      </c>
      <c r="P11" s="207"/>
      <c r="Q11" s="207"/>
      <c r="R11" s="42"/>
      <c r="S11" s="42"/>
      <c r="T11" s="42"/>
      <c r="U11" s="162"/>
      <c r="V11" s="174"/>
      <c r="W11" s="44"/>
      <c r="X11" s="44"/>
      <c r="Z11" s="158"/>
      <c r="AA11" s="158"/>
    </row>
    <row r="12" spans="1:50" s="8" customFormat="1" ht="13.35" customHeight="1" x14ac:dyDescent="0.2">
      <c r="A12" s="104" t="s">
        <v>138</v>
      </c>
      <c r="B12" s="119">
        <v>12</v>
      </c>
      <c r="C12" s="119">
        <v>9439</v>
      </c>
      <c r="D12" s="119">
        <v>9451</v>
      </c>
      <c r="E12" s="42"/>
      <c r="F12" s="42"/>
      <c r="G12" s="5"/>
      <c r="H12" s="5"/>
      <c r="I12" s="5"/>
      <c r="J12" s="5"/>
      <c r="K12" s="5"/>
      <c r="L12" s="5"/>
      <c r="M12" s="226" t="s">
        <v>131</v>
      </c>
      <c r="N12" s="226"/>
      <c r="O12" s="201">
        <v>1493</v>
      </c>
      <c r="P12" s="201"/>
      <c r="Q12" s="201"/>
      <c r="R12" s="42"/>
      <c r="S12" s="42"/>
      <c r="T12" s="42"/>
      <c r="U12" s="162"/>
      <c r="V12" s="174"/>
      <c r="W12" s="44"/>
      <c r="X12" s="44"/>
      <c r="Z12" s="158"/>
      <c r="AA12" s="158"/>
    </row>
    <row r="13" spans="1:50" s="8" customFormat="1" ht="13.35" customHeight="1" x14ac:dyDescent="0.2">
      <c r="A13" s="104" t="s">
        <v>139</v>
      </c>
      <c r="B13" s="119">
        <v>3</v>
      </c>
      <c r="C13" s="119">
        <v>1891</v>
      </c>
      <c r="D13" s="119">
        <v>1894</v>
      </c>
      <c r="E13" s="42"/>
      <c r="F13" s="42"/>
      <c r="G13" s="42"/>
      <c r="H13" s="42"/>
      <c r="I13" s="42"/>
      <c r="J13" s="42"/>
      <c r="K13" s="42"/>
      <c r="L13" s="5"/>
      <c r="M13" s="5"/>
      <c r="N13" s="5"/>
      <c r="O13" s="5"/>
      <c r="P13" s="5"/>
      <c r="Q13" s="5"/>
      <c r="R13" s="42"/>
      <c r="S13" s="42"/>
      <c r="T13" s="42"/>
      <c r="U13" s="162"/>
      <c r="V13" s="174"/>
      <c r="W13" s="44"/>
      <c r="X13" s="44"/>
      <c r="Z13" s="158"/>
      <c r="AA13" s="158"/>
    </row>
    <row r="14" spans="1:50" s="8" customFormat="1" ht="13.35" customHeight="1" x14ac:dyDescent="0.2">
      <c r="A14" s="104" t="s">
        <v>0</v>
      </c>
      <c r="B14" s="119">
        <v>3</v>
      </c>
      <c r="C14" s="119">
        <v>910</v>
      </c>
      <c r="D14" s="119">
        <v>913</v>
      </c>
      <c r="E14" s="42"/>
      <c r="F14" s="42"/>
      <c r="G14" s="42"/>
      <c r="H14" s="42"/>
      <c r="I14" s="42"/>
      <c r="J14" s="42"/>
      <c r="K14" s="42"/>
      <c r="L14" s="42"/>
      <c r="M14" s="42"/>
      <c r="N14" s="42"/>
      <c r="O14" s="42"/>
      <c r="P14" s="42"/>
      <c r="Q14" s="42"/>
      <c r="R14" s="42"/>
      <c r="S14" s="42"/>
      <c r="T14" s="42"/>
      <c r="U14" s="162"/>
      <c r="V14" s="174"/>
      <c r="W14" s="44"/>
      <c r="X14" s="44"/>
      <c r="Z14" s="158"/>
      <c r="AA14" s="158"/>
    </row>
    <row r="15" spans="1:50" s="8" customFormat="1" ht="16.5" customHeight="1" x14ac:dyDescent="0.2">
      <c r="A15" s="105"/>
      <c r="B15" s="46"/>
      <c r="C15" s="46"/>
      <c r="D15" s="46"/>
      <c r="E15" s="46"/>
      <c r="F15" s="46"/>
      <c r="G15" s="42"/>
      <c r="H15" s="42"/>
      <c r="I15" s="42"/>
      <c r="J15" s="42"/>
      <c r="K15" s="42"/>
      <c r="L15" s="42"/>
      <c r="M15" s="42"/>
      <c r="N15" s="42"/>
      <c r="O15" s="42"/>
      <c r="P15" s="42"/>
      <c r="Q15" s="42"/>
      <c r="R15" s="42"/>
      <c r="S15" s="42"/>
      <c r="T15" s="42"/>
      <c r="U15" s="42"/>
      <c r="V15" s="43"/>
      <c r="W15" s="44"/>
      <c r="X15" s="44"/>
      <c r="Y15" s="44"/>
      <c r="Z15" s="44"/>
    </row>
    <row r="16" spans="1:50" s="8" customFormat="1" ht="16.5" customHeight="1" x14ac:dyDescent="0.2">
      <c r="A16" s="240"/>
      <c r="B16" s="241"/>
      <c r="C16" s="241"/>
      <c r="D16" s="241"/>
      <c r="E16" s="241"/>
      <c r="F16" s="241"/>
      <c r="G16" s="241"/>
      <c r="H16" s="241"/>
      <c r="I16" s="241"/>
      <c r="J16" s="241"/>
      <c r="K16" s="241"/>
      <c r="L16" s="241"/>
      <c r="M16" s="241"/>
      <c r="N16" s="241"/>
      <c r="O16" s="241"/>
      <c r="P16" s="241"/>
      <c r="Q16" s="241"/>
      <c r="R16" s="241"/>
      <c r="S16" s="241"/>
      <c r="T16" s="241"/>
      <c r="U16" s="241"/>
      <c r="V16" s="242"/>
      <c r="W16" s="44"/>
      <c r="X16" s="44"/>
      <c r="Y16" s="44"/>
      <c r="Z16" s="44"/>
    </row>
    <row r="17" spans="1:26" s="8" customFormat="1" ht="16.5" customHeight="1" x14ac:dyDescent="0.2">
      <c r="A17" s="100"/>
      <c r="B17" s="42"/>
      <c r="C17" s="42"/>
      <c r="D17" s="42"/>
      <c r="E17" s="42"/>
      <c r="F17" s="42"/>
      <c r="G17" s="42"/>
      <c r="H17" s="42"/>
      <c r="I17" s="42"/>
      <c r="J17" s="42"/>
      <c r="K17" s="42"/>
      <c r="L17" s="42"/>
      <c r="M17" s="42"/>
      <c r="N17" s="42"/>
      <c r="O17" s="42"/>
      <c r="P17" s="42"/>
      <c r="Q17" s="42"/>
      <c r="R17" s="42"/>
      <c r="S17" s="42"/>
      <c r="T17" s="42"/>
      <c r="U17" s="42"/>
      <c r="V17" s="43"/>
      <c r="W17" s="44"/>
      <c r="X17" s="44"/>
      <c r="Y17" s="44"/>
      <c r="Z17" s="44"/>
    </row>
    <row r="18" spans="1:26" s="9" customFormat="1" ht="27.6" customHeight="1" x14ac:dyDescent="0.2">
      <c r="A18" s="214" t="s">
        <v>785</v>
      </c>
      <c r="B18" s="203"/>
      <c r="C18" s="203"/>
      <c r="D18" s="203"/>
      <c r="E18" s="203"/>
      <c r="F18" s="203"/>
      <c r="G18" s="106"/>
      <c r="H18" s="106"/>
      <c r="I18" s="210" t="s">
        <v>795</v>
      </c>
      <c r="J18" s="210"/>
      <c r="K18" s="210"/>
      <c r="L18" s="210"/>
      <c r="M18" s="210"/>
      <c r="N18" s="210"/>
      <c r="O18" s="210"/>
      <c r="P18" s="210"/>
      <c r="Q18" s="210"/>
      <c r="R18" s="210"/>
      <c r="S18" s="210"/>
      <c r="T18" s="210"/>
      <c r="U18" s="210"/>
      <c r="V18" s="211"/>
      <c r="W18" s="47"/>
      <c r="X18" s="47"/>
      <c r="Y18" s="47"/>
      <c r="Z18" s="47"/>
    </row>
    <row r="19" spans="1:26" s="1" customFormat="1" ht="28.7" customHeight="1" x14ac:dyDescent="0.2">
      <c r="A19" s="116" t="s">
        <v>133</v>
      </c>
      <c r="B19" s="116" t="s">
        <v>88</v>
      </c>
      <c r="C19" s="116" t="s">
        <v>134</v>
      </c>
      <c r="D19" s="116" t="s">
        <v>70</v>
      </c>
      <c r="E19" s="116" t="s">
        <v>135</v>
      </c>
      <c r="F19" s="116" t="s">
        <v>1</v>
      </c>
      <c r="G19" s="6"/>
      <c r="H19" s="6"/>
      <c r="I19" s="116" t="s">
        <v>140</v>
      </c>
      <c r="J19" s="116" t="s">
        <v>141</v>
      </c>
      <c r="K19" s="116" t="s">
        <v>142</v>
      </c>
      <c r="L19" s="116" t="s">
        <v>143</v>
      </c>
      <c r="M19" s="116" t="s">
        <v>144</v>
      </c>
      <c r="N19" s="116" t="s">
        <v>145</v>
      </c>
      <c r="O19" s="116" t="s">
        <v>146</v>
      </c>
      <c r="P19" s="116" t="s">
        <v>147</v>
      </c>
      <c r="Q19" s="116" t="s">
        <v>148</v>
      </c>
      <c r="R19" s="116" t="s">
        <v>149</v>
      </c>
      <c r="S19" s="116" t="s">
        <v>151</v>
      </c>
      <c r="T19" s="116" t="s">
        <v>152</v>
      </c>
      <c r="U19" s="116" t="s">
        <v>153</v>
      </c>
      <c r="V19" s="116" t="s">
        <v>1</v>
      </c>
      <c r="W19" s="49"/>
      <c r="X19" s="49"/>
      <c r="Y19" s="49"/>
      <c r="Z19" s="49"/>
    </row>
    <row r="20" spans="1:26" s="1" customFormat="1" ht="18" customHeight="1" thickBot="1" x14ac:dyDescent="0.25">
      <c r="A20" s="102" t="s">
        <v>1</v>
      </c>
      <c r="B20" s="117">
        <v>11011</v>
      </c>
      <c r="C20" s="122">
        <f>B20/F20</f>
        <v>0.69813593710372812</v>
      </c>
      <c r="D20" s="117">
        <v>4761</v>
      </c>
      <c r="E20" s="122">
        <f>D20/F20</f>
        <v>0.30186406289627188</v>
      </c>
      <c r="F20" s="117">
        <v>15772</v>
      </c>
      <c r="G20" s="6"/>
      <c r="H20" s="6"/>
      <c r="I20" s="40" t="s">
        <v>1</v>
      </c>
      <c r="J20" s="123">
        <v>9194</v>
      </c>
      <c r="K20" s="124">
        <v>8052</v>
      </c>
      <c r="L20" s="123">
        <v>1624</v>
      </c>
      <c r="M20" s="124">
        <v>0</v>
      </c>
      <c r="N20" s="123">
        <v>0</v>
      </c>
      <c r="O20" s="124">
        <v>0</v>
      </c>
      <c r="P20" s="123">
        <v>0</v>
      </c>
      <c r="Q20" s="124">
        <v>0</v>
      </c>
      <c r="R20" s="123">
        <v>0</v>
      </c>
      <c r="S20" s="123">
        <v>0</v>
      </c>
      <c r="T20" s="124">
        <v>0</v>
      </c>
      <c r="U20" s="123">
        <v>0</v>
      </c>
      <c r="V20" s="128">
        <v>18870</v>
      </c>
      <c r="W20" s="49"/>
      <c r="X20" s="49"/>
      <c r="Y20" s="49"/>
      <c r="Z20" s="49"/>
    </row>
    <row r="21" spans="1:26" s="1" customFormat="1" ht="15" customHeight="1" thickTop="1" x14ac:dyDescent="0.2">
      <c r="A21" s="103" t="s">
        <v>74</v>
      </c>
      <c r="B21" s="118">
        <v>7753</v>
      </c>
      <c r="C21" s="120">
        <f t="shared" ref="C21:C23" si="0">B21/F21</f>
        <v>0.91773200757575757</v>
      </c>
      <c r="D21" s="118">
        <v>695</v>
      </c>
      <c r="E21" s="120">
        <f t="shared" ref="E21:E23" si="1">D21/F21</f>
        <v>8.2267992424242431E-2</v>
      </c>
      <c r="F21" s="118">
        <v>8448</v>
      </c>
      <c r="G21" s="6"/>
      <c r="H21" s="6"/>
      <c r="I21" s="41" t="s">
        <v>70</v>
      </c>
      <c r="J21" s="125">
        <v>2386</v>
      </c>
      <c r="K21" s="125">
        <v>2075</v>
      </c>
      <c r="L21" s="125">
        <v>458</v>
      </c>
      <c r="M21" s="125">
        <v>0</v>
      </c>
      <c r="N21" s="125">
        <v>0</v>
      </c>
      <c r="O21" s="125">
        <v>0</v>
      </c>
      <c r="P21" s="125">
        <v>0</v>
      </c>
      <c r="Q21" s="125">
        <v>0</v>
      </c>
      <c r="R21" s="125">
        <v>0</v>
      </c>
      <c r="S21" s="125">
        <v>0</v>
      </c>
      <c r="T21" s="125">
        <v>0</v>
      </c>
      <c r="U21" s="125">
        <v>0</v>
      </c>
      <c r="V21" s="127">
        <v>4919</v>
      </c>
      <c r="W21" s="49"/>
      <c r="X21" s="49"/>
      <c r="Y21" s="49"/>
      <c r="Z21" s="49"/>
    </row>
    <row r="22" spans="1:26" s="1" customFormat="1" ht="15" customHeight="1" x14ac:dyDescent="0.2">
      <c r="A22" s="104" t="s">
        <v>107</v>
      </c>
      <c r="B22" s="119">
        <v>2701</v>
      </c>
      <c r="C22" s="121">
        <f t="shared" si="0"/>
        <v>0.91621438263229305</v>
      </c>
      <c r="D22" s="119">
        <v>247</v>
      </c>
      <c r="E22" s="121">
        <f t="shared" si="1"/>
        <v>8.3785617367706913E-2</v>
      </c>
      <c r="F22" s="119">
        <v>2948</v>
      </c>
      <c r="G22" s="6"/>
      <c r="H22" s="6"/>
      <c r="I22" s="83" t="s">
        <v>782</v>
      </c>
      <c r="J22" s="126">
        <v>6808</v>
      </c>
      <c r="K22" s="126">
        <v>5977</v>
      </c>
      <c r="L22" s="126">
        <v>1166</v>
      </c>
      <c r="M22" s="126">
        <v>0</v>
      </c>
      <c r="N22" s="126">
        <v>0</v>
      </c>
      <c r="O22" s="126">
        <v>0</v>
      </c>
      <c r="P22" s="126">
        <v>0</v>
      </c>
      <c r="Q22" s="126">
        <v>0</v>
      </c>
      <c r="R22" s="126">
        <v>0</v>
      </c>
      <c r="S22" s="126">
        <v>0</v>
      </c>
      <c r="T22" s="126">
        <v>0</v>
      </c>
      <c r="U22" s="126">
        <v>0</v>
      </c>
      <c r="V22" s="194">
        <v>13951</v>
      </c>
      <c r="W22" s="49"/>
      <c r="X22" s="49"/>
      <c r="Y22" s="49"/>
      <c r="Z22" s="49"/>
    </row>
    <row r="23" spans="1:26" s="1" customFormat="1" ht="15" customHeight="1" x14ac:dyDescent="0.2">
      <c r="A23" s="104" t="s">
        <v>136</v>
      </c>
      <c r="B23" s="119">
        <v>557</v>
      </c>
      <c r="C23" s="121">
        <f t="shared" si="0"/>
        <v>0.12728519195612431</v>
      </c>
      <c r="D23" s="119">
        <v>3819</v>
      </c>
      <c r="E23" s="121">
        <f t="shared" si="1"/>
        <v>0.87271480804387569</v>
      </c>
      <c r="F23" s="119">
        <v>4376</v>
      </c>
      <c r="G23" s="6"/>
      <c r="H23" s="6"/>
      <c r="I23" s="6"/>
      <c r="J23" s="6"/>
      <c r="K23" s="6"/>
      <c r="L23" s="6"/>
      <c r="M23" s="6"/>
      <c r="N23" s="6"/>
      <c r="O23" s="6"/>
      <c r="P23" s="6"/>
      <c r="Q23" s="6"/>
      <c r="R23" s="6"/>
      <c r="S23" s="6"/>
      <c r="T23" s="50"/>
      <c r="U23" s="50"/>
      <c r="V23" s="48"/>
      <c r="W23" s="49"/>
      <c r="X23" s="49"/>
      <c r="Y23" s="49"/>
      <c r="Z23" s="49"/>
    </row>
    <row r="24" spans="1:26" s="1" customFormat="1" ht="12" x14ac:dyDescent="0.2">
      <c r="A24" s="107"/>
      <c r="B24" s="6"/>
      <c r="C24" s="6"/>
      <c r="D24" s="6"/>
      <c r="E24" s="6"/>
      <c r="F24" s="6"/>
      <c r="G24" s="6"/>
      <c r="H24" s="6"/>
      <c r="I24" s="6"/>
      <c r="J24" s="6"/>
      <c r="K24" s="6"/>
      <c r="L24" s="6"/>
      <c r="M24" s="6"/>
      <c r="N24" s="6"/>
      <c r="O24" s="6"/>
      <c r="P24" s="6"/>
      <c r="Q24" s="6"/>
      <c r="R24" s="6"/>
      <c r="S24" s="6"/>
      <c r="T24" s="50"/>
      <c r="U24" s="50"/>
      <c r="V24" s="48"/>
      <c r="W24" s="49"/>
      <c r="X24" s="49"/>
      <c r="Y24" s="49"/>
      <c r="Z24" s="49"/>
    </row>
    <row r="25" spans="1:26" s="8" customFormat="1" ht="16.5" customHeight="1" x14ac:dyDescent="0.2">
      <c r="A25" s="240"/>
      <c r="B25" s="241"/>
      <c r="C25" s="241"/>
      <c r="D25" s="241"/>
      <c r="E25" s="241"/>
      <c r="F25" s="241"/>
      <c r="G25" s="241"/>
      <c r="H25" s="241"/>
      <c r="I25" s="241"/>
      <c r="J25" s="241"/>
      <c r="K25" s="241"/>
      <c r="L25" s="241"/>
      <c r="M25" s="241"/>
      <c r="N25" s="241"/>
      <c r="O25" s="241"/>
      <c r="P25" s="241"/>
      <c r="Q25" s="241"/>
      <c r="R25" s="241"/>
      <c r="S25" s="241"/>
      <c r="T25" s="241"/>
      <c r="U25" s="241"/>
      <c r="V25" s="242"/>
      <c r="W25" s="44"/>
      <c r="X25" s="44"/>
      <c r="Y25" s="44"/>
      <c r="Z25" s="44"/>
    </row>
    <row r="26" spans="1:26" s="1" customFormat="1" ht="12" x14ac:dyDescent="0.2">
      <c r="A26" s="107"/>
      <c r="B26" s="6"/>
      <c r="C26" s="6"/>
      <c r="D26" s="6"/>
      <c r="E26" s="6"/>
      <c r="F26" s="6"/>
      <c r="G26" s="6"/>
      <c r="H26" s="6"/>
      <c r="I26" s="6"/>
      <c r="J26" s="6"/>
      <c r="K26" s="6"/>
      <c r="L26" s="6"/>
      <c r="M26" s="6"/>
      <c r="N26" s="6"/>
      <c r="O26" s="6"/>
      <c r="P26" s="6"/>
      <c r="Q26" s="6"/>
      <c r="R26" s="6"/>
      <c r="S26" s="6"/>
      <c r="T26" s="50"/>
      <c r="U26" s="50"/>
      <c r="V26" s="48"/>
      <c r="W26" s="49"/>
      <c r="X26" s="49"/>
      <c r="Y26" s="49"/>
      <c r="Z26" s="49"/>
    </row>
    <row r="27" spans="1:26" s="92" customFormat="1" ht="21.6" customHeight="1" x14ac:dyDescent="0.2">
      <c r="A27" s="212" t="s">
        <v>796</v>
      </c>
      <c r="B27" s="213"/>
      <c r="C27" s="213"/>
      <c r="D27" s="213"/>
      <c r="E27" s="213"/>
      <c r="F27" s="84"/>
      <c r="G27" s="91"/>
      <c r="H27" s="213" t="s">
        <v>797</v>
      </c>
      <c r="I27" s="213"/>
      <c r="J27" s="213"/>
      <c r="K27" s="213"/>
      <c r="L27" s="213"/>
      <c r="M27" s="84"/>
      <c r="N27" s="213" t="s">
        <v>798</v>
      </c>
      <c r="O27" s="213"/>
      <c r="P27" s="213"/>
      <c r="Q27" s="213"/>
      <c r="R27" s="213"/>
      <c r="S27" s="84"/>
      <c r="T27" s="91"/>
      <c r="U27" s="91"/>
      <c r="V27" s="93"/>
      <c r="W27" s="94"/>
      <c r="X27" s="94"/>
      <c r="Y27" s="94"/>
      <c r="Z27" s="94"/>
    </row>
    <row r="28" spans="1:26" s="1" customFormat="1" ht="37.5" customHeight="1" x14ac:dyDescent="0.2">
      <c r="A28" s="39" t="s">
        <v>155</v>
      </c>
      <c r="B28" s="116" t="s">
        <v>74</v>
      </c>
      <c r="C28" s="116" t="s">
        <v>107</v>
      </c>
      <c r="D28" s="116" t="s">
        <v>136</v>
      </c>
      <c r="E28" s="116" t="s">
        <v>1</v>
      </c>
      <c r="F28" s="6"/>
      <c r="G28" s="6"/>
      <c r="H28" s="202" t="s">
        <v>155</v>
      </c>
      <c r="I28" s="202"/>
      <c r="J28" s="202" t="s">
        <v>1</v>
      </c>
      <c r="K28" s="202"/>
      <c r="L28" s="202"/>
      <c r="M28" s="50"/>
      <c r="N28" s="230"/>
      <c r="O28" s="231"/>
      <c r="P28" s="230" t="s">
        <v>150</v>
      </c>
      <c r="Q28" s="232"/>
      <c r="R28" s="231"/>
      <c r="S28" s="6"/>
      <c r="T28" s="6"/>
      <c r="U28" s="50"/>
      <c r="V28" s="108"/>
      <c r="W28" s="49"/>
      <c r="X28" s="49"/>
      <c r="Y28" s="49"/>
    </row>
    <row r="29" spans="1:26" s="1" customFormat="1" ht="15" customHeight="1" thickBot="1" x14ac:dyDescent="0.25">
      <c r="A29" s="102" t="s">
        <v>1</v>
      </c>
      <c r="B29" s="129">
        <v>10436</v>
      </c>
      <c r="C29" s="133">
        <v>3992</v>
      </c>
      <c r="D29" s="129">
        <v>4442</v>
      </c>
      <c r="E29" s="131">
        <v>18870</v>
      </c>
      <c r="F29" s="6"/>
      <c r="G29" s="6"/>
      <c r="H29" s="224" t="s">
        <v>1</v>
      </c>
      <c r="I29" s="224"/>
      <c r="J29" s="204">
        <v>6174</v>
      </c>
      <c r="K29" s="205"/>
      <c r="L29" s="206"/>
      <c r="M29" s="50"/>
      <c r="N29" s="233" t="s">
        <v>1</v>
      </c>
      <c r="O29" s="234"/>
      <c r="P29" s="237">
        <v>15730</v>
      </c>
      <c r="Q29" s="238"/>
      <c r="R29" s="239"/>
      <c r="S29" s="6"/>
      <c r="T29" s="6"/>
      <c r="U29" s="50"/>
      <c r="V29" s="108"/>
      <c r="W29" s="49"/>
      <c r="X29" s="49"/>
      <c r="Y29" s="49"/>
    </row>
    <row r="30" spans="1:26" s="1" customFormat="1" ht="15" customHeight="1" thickTop="1" x14ac:dyDescent="0.2">
      <c r="A30" s="103" t="s">
        <v>131</v>
      </c>
      <c r="B30" s="151">
        <v>10436</v>
      </c>
      <c r="C30" s="151">
        <v>3990</v>
      </c>
      <c r="D30" s="151">
        <v>4384</v>
      </c>
      <c r="E30" s="151">
        <v>18810</v>
      </c>
      <c r="F30" s="5"/>
      <c r="G30" s="5"/>
      <c r="H30" s="225" t="s">
        <v>130</v>
      </c>
      <c r="I30" s="225"/>
      <c r="J30" s="215">
        <v>498</v>
      </c>
      <c r="K30" s="216"/>
      <c r="L30" s="217"/>
      <c r="M30" s="50"/>
      <c r="N30" s="235" t="s">
        <v>771</v>
      </c>
      <c r="O30" s="236"/>
      <c r="P30" s="215">
        <v>158</v>
      </c>
      <c r="Q30" s="216"/>
      <c r="R30" s="217"/>
      <c r="S30" s="6"/>
      <c r="T30" s="6"/>
      <c r="U30" s="50"/>
      <c r="V30" s="108"/>
      <c r="W30" s="49"/>
      <c r="X30" s="49"/>
      <c r="Y30" s="49"/>
    </row>
    <row r="31" spans="1:26" s="1" customFormat="1" ht="12" x14ac:dyDescent="0.2">
      <c r="A31" s="104" t="s">
        <v>130</v>
      </c>
      <c r="B31" s="130"/>
      <c r="C31" s="130">
        <v>2</v>
      </c>
      <c r="D31" s="130">
        <v>58</v>
      </c>
      <c r="E31" s="130">
        <v>60</v>
      </c>
      <c r="F31" s="5"/>
      <c r="G31" s="5"/>
      <c r="H31" s="226" t="s">
        <v>131</v>
      </c>
      <c r="I31" s="226"/>
      <c r="J31" s="218">
        <v>5676</v>
      </c>
      <c r="K31" s="219"/>
      <c r="L31" s="220"/>
      <c r="M31" s="50"/>
      <c r="N31" s="50"/>
      <c r="O31" s="50"/>
      <c r="P31" s="50"/>
      <c r="Q31" s="50"/>
      <c r="R31" s="50"/>
      <c r="S31" s="6"/>
      <c r="T31" s="6"/>
      <c r="U31" s="50"/>
      <c r="V31" s="108"/>
      <c r="W31" s="49"/>
      <c r="X31" s="49"/>
      <c r="Y31" s="49"/>
    </row>
    <row r="32" spans="1:26" s="1" customFormat="1" ht="12" x14ac:dyDescent="0.2">
      <c r="A32" s="107"/>
      <c r="F32" s="5"/>
      <c r="G32" s="5"/>
      <c r="H32" s="5"/>
      <c r="I32" s="6"/>
      <c r="J32" s="6"/>
      <c r="K32" s="5"/>
      <c r="L32" s="50"/>
      <c r="M32" s="50"/>
      <c r="N32" s="50"/>
      <c r="O32" s="50"/>
      <c r="P32" s="50"/>
      <c r="Q32" s="50"/>
      <c r="R32" s="50"/>
      <c r="S32" s="50"/>
      <c r="T32" s="50"/>
      <c r="U32" s="50"/>
      <c r="V32" s="48"/>
      <c r="W32" s="49"/>
      <c r="X32" s="49"/>
      <c r="Y32" s="49"/>
      <c r="Z32" s="49"/>
    </row>
    <row r="33" spans="1:26" s="8" customFormat="1" ht="16.5" customHeight="1" x14ac:dyDescent="0.2">
      <c r="A33" s="240"/>
      <c r="B33" s="241"/>
      <c r="C33" s="241"/>
      <c r="D33" s="241"/>
      <c r="E33" s="241"/>
      <c r="F33" s="241"/>
      <c r="G33" s="241"/>
      <c r="H33" s="241"/>
      <c r="I33" s="241"/>
      <c r="J33" s="241"/>
      <c r="K33" s="241"/>
      <c r="L33" s="241"/>
      <c r="M33" s="241"/>
      <c r="N33" s="241"/>
      <c r="O33" s="241"/>
      <c r="P33" s="241"/>
      <c r="Q33" s="241"/>
      <c r="R33" s="241"/>
      <c r="S33" s="241"/>
      <c r="T33" s="241"/>
      <c r="U33" s="241"/>
      <c r="V33" s="242"/>
      <c r="W33" s="44"/>
      <c r="X33" s="44"/>
      <c r="Y33" s="44"/>
      <c r="Z33" s="44"/>
    </row>
    <row r="34" spans="1:26" s="1" customFormat="1" ht="12" x14ac:dyDescent="0.2">
      <c r="A34" s="107"/>
      <c r="B34" s="6"/>
      <c r="C34" s="6"/>
      <c r="D34" s="6"/>
      <c r="E34" s="6"/>
      <c r="F34" s="5"/>
      <c r="G34" s="5"/>
      <c r="H34" s="5"/>
      <c r="I34" s="155"/>
      <c r="J34" s="6"/>
      <c r="K34" s="5"/>
      <c r="L34" s="50"/>
      <c r="M34" s="50"/>
      <c r="N34" s="50"/>
      <c r="O34" s="50"/>
      <c r="P34" s="50"/>
      <c r="Q34" s="50"/>
      <c r="R34" s="50"/>
      <c r="S34" s="50"/>
      <c r="T34" s="50"/>
      <c r="U34" s="50"/>
      <c r="V34" s="48"/>
      <c r="W34" s="49"/>
      <c r="X34" s="49"/>
      <c r="Y34" s="49"/>
      <c r="Z34" s="49"/>
    </row>
    <row r="35" spans="1:26" s="1" customFormat="1" ht="12" x14ac:dyDescent="0.2">
      <c r="A35" s="107"/>
      <c r="B35" s="6"/>
      <c r="C35" s="6"/>
      <c r="D35" s="6"/>
      <c r="E35" s="6"/>
      <c r="F35" s="5"/>
      <c r="G35" s="5"/>
      <c r="H35" s="5"/>
      <c r="I35" s="161"/>
      <c r="J35" s="161"/>
      <c r="K35" s="160"/>
      <c r="L35" s="163"/>
      <c r="M35" s="163"/>
      <c r="N35" s="163"/>
      <c r="O35" s="163"/>
      <c r="P35" s="163"/>
      <c r="Q35" s="163"/>
      <c r="R35" s="163"/>
      <c r="S35" s="163"/>
      <c r="T35" s="50"/>
      <c r="U35" s="50"/>
      <c r="V35" s="48"/>
      <c r="W35" s="49"/>
      <c r="X35" s="49"/>
      <c r="Y35" s="49"/>
      <c r="Z35" s="49"/>
    </row>
    <row r="36" spans="1:26" s="1" customFormat="1" ht="22.5" customHeight="1" x14ac:dyDescent="0.2">
      <c r="A36" s="214" t="s">
        <v>806</v>
      </c>
      <c r="B36" s="203"/>
      <c r="C36" s="203"/>
      <c r="D36" s="203"/>
      <c r="E36" s="203"/>
      <c r="F36" s="196"/>
      <c r="G36" s="5"/>
      <c r="H36" s="160"/>
      <c r="I36" s="161"/>
      <c r="J36" s="161"/>
      <c r="K36" s="161"/>
      <c r="L36" s="161"/>
      <c r="M36" s="161"/>
      <c r="N36" s="161"/>
      <c r="O36" s="161"/>
      <c r="P36" s="161"/>
      <c r="Q36" s="161"/>
      <c r="R36" s="161"/>
      <c r="S36" s="161"/>
      <c r="T36" s="163"/>
      <c r="U36" s="50"/>
      <c r="V36" s="48"/>
      <c r="W36" s="49"/>
      <c r="X36" s="49"/>
      <c r="Y36" s="49"/>
      <c r="Z36" s="49"/>
    </row>
    <row r="37" spans="1:26" s="1" customFormat="1" ht="38.450000000000003" customHeight="1" x14ac:dyDescent="0.2">
      <c r="A37" s="109" t="s">
        <v>154</v>
      </c>
      <c r="B37" s="85" t="s">
        <v>74</v>
      </c>
      <c r="C37" s="85" t="s">
        <v>107</v>
      </c>
      <c r="D37" s="85" t="s">
        <v>136</v>
      </c>
      <c r="E37" s="85" t="s">
        <v>1</v>
      </c>
      <c r="F37" s="5"/>
      <c r="G37" s="6"/>
      <c r="H37" s="155"/>
      <c r="I37" s="155"/>
      <c r="J37" s="155"/>
      <c r="K37" s="155"/>
      <c r="L37" s="155"/>
      <c r="M37" s="155"/>
      <c r="N37" s="155"/>
      <c r="O37" s="155"/>
      <c r="P37" s="155"/>
      <c r="Q37" s="155"/>
      <c r="R37" s="162"/>
      <c r="S37" s="162"/>
      <c r="T37" s="162"/>
      <c r="U37" s="99"/>
      <c r="V37" s="108"/>
      <c r="W37" s="49"/>
      <c r="X37" s="49"/>
    </row>
    <row r="38" spans="1:26" s="1" customFormat="1" ht="15.75" customHeight="1" thickBot="1" x14ac:dyDescent="0.25">
      <c r="A38" s="110" t="s">
        <v>1</v>
      </c>
      <c r="B38" s="133">
        <v>2074</v>
      </c>
      <c r="C38" s="136">
        <v>1557</v>
      </c>
      <c r="D38" s="133">
        <v>2543</v>
      </c>
      <c r="E38" s="133">
        <v>6174</v>
      </c>
      <c r="F38" s="5"/>
      <c r="G38" s="6"/>
      <c r="H38" s="155"/>
      <c r="I38" s="155"/>
      <c r="J38" s="155"/>
      <c r="K38" s="155"/>
      <c r="L38" s="155"/>
      <c r="M38" s="155"/>
      <c r="N38" s="155"/>
      <c r="O38" s="155"/>
      <c r="P38" s="155"/>
      <c r="Q38" s="155"/>
      <c r="R38" s="162"/>
      <c r="S38" s="162"/>
      <c r="T38" s="162"/>
      <c r="U38" s="99"/>
      <c r="V38" s="108"/>
      <c r="W38" s="49"/>
      <c r="X38" s="49"/>
    </row>
    <row r="39" spans="1:26" s="1" customFormat="1" ht="12.75" thickTop="1" x14ac:dyDescent="0.2">
      <c r="A39" s="104" t="s">
        <v>739</v>
      </c>
      <c r="B39" s="134">
        <f>SUM(B40:B41)</f>
        <v>648</v>
      </c>
      <c r="C39" s="134">
        <f t="shared" ref="C39:E39" si="2">SUM(C40:C41)</f>
        <v>825</v>
      </c>
      <c r="D39" s="134">
        <f t="shared" si="2"/>
        <v>779</v>
      </c>
      <c r="E39" s="132">
        <f t="shared" si="2"/>
        <v>2252</v>
      </c>
      <c r="F39" s="5"/>
      <c r="G39" s="6"/>
      <c r="H39" s="155"/>
      <c r="I39" s="155"/>
      <c r="J39" s="155"/>
      <c r="K39" s="155"/>
      <c r="L39" s="155"/>
      <c r="M39" s="155"/>
      <c r="N39" s="155"/>
      <c r="O39" s="155"/>
      <c r="P39" s="155"/>
      <c r="Q39" s="155"/>
      <c r="R39" s="162"/>
      <c r="S39" s="162"/>
      <c r="T39" s="162"/>
      <c r="U39" s="99"/>
      <c r="V39" s="108"/>
      <c r="W39" s="49"/>
      <c r="X39" s="49"/>
    </row>
    <row r="40" spans="1:26" s="1" customFormat="1" ht="12" x14ac:dyDescent="0.2">
      <c r="A40" s="111" t="s">
        <v>740</v>
      </c>
      <c r="B40" s="175">
        <v>112</v>
      </c>
      <c r="C40" s="175">
        <v>182</v>
      </c>
      <c r="D40" s="175">
        <v>138</v>
      </c>
      <c r="E40" s="176">
        <v>432</v>
      </c>
      <c r="F40" s="5"/>
      <c r="G40" s="6"/>
      <c r="H40" s="155"/>
      <c r="I40" s="155"/>
      <c r="J40" s="155"/>
      <c r="K40" s="155"/>
      <c r="L40" s="155"/>
      <c r="M40" s="155"/>
      <c r="N40" s="155"/>
      <c r="O40" s="155"/>
      <c r="P40" s="155"/>
      <c r="Q40" s="155"/>
      <c r="R40" s="162"/>
      <c r="S40" s="162"/>
      <c r="T40" s="162"/>
      <c r="U40" s="99"/>
      <c r="V40" s="108"/>
      <c r="W40" s="49"/>
      <c r="X40" s="49"/>
    </row>
    <row r="41" spans="1:26" s="1" customFormat="1" ht="12" x14ac:dyDescent="0.2">
      <c r="A41" s="111" t="s">
        <v>741</v>
      </c>
      <c r="B41" s="175">
        <v>536</v>
      </c>
      <c r="C41" s="175">
        <v>643</v>
      </c>
      <c r="D41" s="175">
        <v>641</v>
      </c>
      <c r="E41" s="177">
        <v>1820</v>
      </c>
      <c r="F41" s="5"/>
      <c r="G41" s="6"/>
      <c r="H41" s="155"/>
      <c r="I41" s="155"/>
      <c r="J41" s="155"/>
      <c r="K41" s="155"/>
      <c r="L41" s="155"/>
      <c r="M41" s="193"/>
      <c r="N41" s="193"/>
      <c r="O41" s="193"/>
      <c r="P41" s="193"/>
      <c r="Q41" s="193"/>
      <c r="R41" s="154"/>
      <c r="S41" s="154"/>
      <c r="T41" s="154"/>
      <c r="U41" s="99"/>
      <c r="V41" s="108"/>
      <c r="W41" s="49"/>
      <c r="X41" s="49"/>
    </row>
    <row r="42" spans="1:26" s="1" customFormat="1" ht="12" x14ac:dyDescent="0.2">
      <c r="A42" s="104" t="s">
        <v>2</v>
      </c>
      <c r="B42" s="135">
        <v>743</v>
      </c>
      <c r="C42" s="135">
        <v>561</v>
      </c>
      <c r="D42" s="135">
        <v>638</v>
      </c>
      <c r="E42" s="98">
        <v>1942</v>
      </c>
      <c r="F42" s="5"/>
      <c r="G42" s="6"/>
      <c r="H42" s="155"/>
      <c r="I42" s="155"/>
      <c r="J42" s="193"/>
      <c r="K42" s="155"/>
      <c r="L42" s="155"/>
      <c r="M42" s="193"/>
      <c r="N42" s="193"/>
      <c r="O42" s="193"/>
      <c r="P42" s="193"/>
      <c r="Q42" s="193"/>
      <c r="R42" s="154"/>
      <c r="S42" s="162"/>
      <c r="T42" s="154"/>
      <c r="U42" s="99"/>
      <c r="V42" s="108"/>
      <c r="W42" s="49"/>
      <c r="X42" s="49"/>
    </row>
    <row r="43" spans="1:26" s="1" customFormat="1" ht="12" x14ac:dyDescent="0.2">
      <c r="A43" s="104" t="s">
        <v>3</v>
      </c>
      <c r="B43" s="135">
        <v>657</v>
      </c>
      <c r="C43" s="135">
        <v>143</v>
      </c>
      <c r="D43" s="135">
        <v>474</v>
      </c>
      <c r="E43" s="98">
        <v>1274</v>
      </c>
      <c r="F43" s="5"/>
      <c r="G43" s="6"/>
      <c r="H43" s="6"/>
      <c r="I43" s="155"/>
      <c r="J43" s="193"/>
      <c r="K43" s="155"/>
      <c r="L43" s="155"/>
      <c r="M43" s="193"/>
      <c r="N43" s="193"/>
      <c r="O43" s="193"/>
      <c r="P43" s="193"/>
      <c r="Q43" s="193"/>
      <c r="R43" s="154"/>
      <c r="S43" s="154"/>
      <c r="T43" s="154"/>
      <c r="U43" s="99"/>
      <c r="V43" s="108"/>
      <c r="W43" s="49"/>
      <c r="X43" s="49"/>
    </row>
    <row r="44" spans="1:26" s="1" customFormat="1" ht="12" x14ac:dyDescent="0.2">
      <c r="A44" s="104" t="s">
        <v>742</v>
      </c>
      <c r="B44" s="135">
        <v>26</v>
      </c>
      <c r="C44" s="135">
        <v>28</v>
      </c>
      <c r="D44" s="135">
        <v>652</v>
      </c>
      <c r="E44" s="98">
        <v>706</v>
      </c>
      <c r="F44" s="5"/>
      <c r="G44" s="6"/>
      <c r="H44" s="6"/>
      <c r="I44" s="155"/>
      <c r="J44" s="193"/>
      <c r="K44" s="193"/>
      <c r="L44" s="193"/>
      <c r="M44" s="193"/>
      <c r="N44" s="193"/>
      <c r="O44" s="193"/>
      <c r="P44" s="193"/>
      <c r="Q44" s="193"/>
      <c r="R44" s="154"/>
      <c r="S44" s="154"/>
      <c r="T44" s="154"/>
      <c r="U44" s="99"/>
      <c r="V44" s="108"/>
      <c r="W44" s="49"/>
      <c r="X44" s="49"/>
    </row>
    <row r="45" spans="1:26" s="1" customFormat="1" ht="12" x14ac:dyDescent="0.2">
      <c r="A45" s="104" t="s">
        <v>743</v>
      </c>
      <c r="B45" s="135">
        <v>0</v>
      </c>
      <c r="C45" s="135">
        <v>0</v>
      </c>
      <c r="D45" s="135">
        <v>0</v>
      </c>
      <c r="E45" s="97">
        <v>0</v>
      </c>
      <c r="F45" s="5"/>
      <c r="G45" s="6"/>
      <c r="H45" s="6"/>
      <c r="I45" s="195"/>
      <c r="J45" s="154"/>
      <c r="K45" s="154"/>
      <c r="L45" s="154"/>
      <c r="M45" s="154"/>
      <c r="N45" s="154"/>
      <c r="O45" s="154"/>
      <c r="P45" s="154"/>
      <c r="Q45" s="154"/>
      <c r="R45" s="50"/>
      <c r="S45" s="50"/>
      <c r="T45" s="50"/>
      <c r="U45" s="99"/>
      <c r="V45" s="108"/>
      <c r="W45" s="49"/>
      <c r="X45" s="49"/>
    </row>
    <row r="46" spans="1:26" s="1" customFormat="1" ht="12" x14ac:dyDescent="0.2">
      <c r="A46" s="107"/>
      <c r="B46" s="6"/>
      <c r="C46" s="6"/>
      <c r="D46" s="6"/>
      <c r="E46" s="5"/>
      <c r="F46" s="5"/>
      <c r="G46" s="5"/>
      <c r="H46" s="6"/>
      <c r="I46" s="6"/>
      <c r="J46" s="5"/>
      <c r="K46" s="50"/>
      <c r="L46" s="50"/>
      <c r="M46" s="50"/>
      <c r="N46" s="50"/>
      <c r="O46" s="50"/>
      <c r="P46" s="50"/>
      <c r="Q46" s="50"/>
      <c r="R46" s="50"/>
      <c r="S46" s="50"/>
      <c r="T46" s="50"/>
      <c r="U46" s="50"/>
      <c r="V46" s="108"/>
      <c r="W46" s="49"/>
      <c r="X46" s="49"/>
      <c r="Y46" s="49"/>
    </row>
    <row r="47" spans="1:26" s="8" customFormat="1" ht="18" customHeight="1" x14ac:dyDescent="0.2">
      <c r="A47" s="227"/>
      <c r="B47" s="228"/>
      <c r="C47" s="228"/>
      <c r="D47" s="228"/>
      <c r="E47" s="228"/>
      <c r="F47" s="228"/>
      <c r="G47" s="228"/>
      <c r="H47" s="228"/>
      <c r="I47" s="228"/>
      <c r="J47" s="228"/>
      <c r="K47" s="228"/>
      <c r="L47" s="228"/>
      <c r="M47" s="228"/>
      <c r="N47" s="228"/>
      <c r="O47" s="228"/>
      <c r="P47" s="228"/>
      <c r="Q47" s="228"/>
      <c r="R47" s="228"/>
      <c r="S47" s="228"/>
      <c r="T47" s="228"/>
      <c r="U47" s="228"/>
      <c r="V47" s="229"/>
      <c r="W47" s="44"/>
      <c r="X47" s="44"/>
      <c r="Y47" s="44"/>
      <c r="Z47" s="44"/>
    </row>
    <row r="48" spans="1:26" s="1" customFormat="1" ht="12" x14ac:dyDescent="0.2">
      <c r="A48" s="107"/>
      <c r="B48" s="6"/>
      <c r="C48" s="6"/>
      <c r="D48" s="6"/>
      <c r="E48" s="6"/>
      <c r="F48" s="5"/>
      <c r="G48" s="5"/>
      <c r="H48" s="5"/>
      <c r="I48" s="6"/>
      <c r="J48" s="6"/>
      <c r="K48" s="5"/>
      <c r="L48" s="50"/>
      <c r="M48" s="50"/>
      <c r="N48" s="50"/>
      <c r="O48" s="50"/>
      <c r="P48" s="50"/>
      <c r="Q48" s="50"/>
      <c r="R48" s="50"/>
      <c r="S48" s="50"/>
      <c r="T48" s="50"/>
      <c r="U48" s="50"/>
      <c r="V48" s="48"/>
      <c r="W48" s="49"/>
      <c r="X48" s="49"/>
      <c r="Y48" s="49"/>
      <c r="Z48" s="49"/>
    </row>
    <row r="49" spans="1:29" s="1" customFormat="1" ht="23.25" customHeight="1" x14ac:dyDescent="0.2">
      <c r="A49" s="208" t="s">
        <v>799</v>
      </c>
      <c r="B49" s="209"/>
      <c r="C49" s="209"/>
      <c r="D49" s="209"/>
      <c r="E49" s="209"/>
      <c r="F49" s="209"/>
      <c r="G49" s="209"/>
      <c r="H49" s="209"/>
      <c r="I49" s="209"/>
      <c r="J49" s="209"/>
      <c r="K49" s="209"/>
      <c r="L49" s="209"/>
      <c r="M49" s="209"/>
      <c r="N49" s="209"/>
      <c r="O49" s="50"/>
      <c r="P49" s="50"/>
      <c r="Q49" s="163"/>
      <c r="R49" s="163"/>
      <c r="S49" s="163"/>
      <c r="T49" s="163"/>
      <c r="U49" s="163"/>
      <c r="V49" s="164"/>
      <c r="W49" s="170"/>
      <c r="X49" s="170"/>
      <c r="Y49" s="170"/>
      <c r="Z49" s="170"/>
      <c r="AA49" s="165"/>
    </row>
    <row r="50" spans="1:29" s="1" customFormat="1" ht="22.5" customHeight="1" x14ac:dyDescent="0.2">
      <c r="A50" s="39" t="s">
        <v>140</v>
      </c>
      <c r="B50" s="116" t="s">
        <v>141</v>
      </c>
      <c r="C50" s="116" t="s">
        <v>142</v>
      </c>
      <c r="D50" s="116" t="s">
        <v>143</v>
      </c>
      <c r="E50" s="116" t="s">
        <v>144</v>
      </c>
      <c r="F50" s="116" t="s">
        <v>145</v>
      </c>
      <c r="G50" s="116" t="s">
        <v>146</v>
      </c>
      <c r="H50" s="116" t="s">
        <v>147</v>
      </c>
      <c r="I50" s="116" t="s">
        <v>148</v>
      </c>
      <c r="J50" s="116" t="s">
        <v>149</v>
      </c>
      <c r="K50" s="116" t="s">
        <v>151</v>
      </c>
      <c r="L50" s="116" t="s">
        <v>152</v>
      </c>
      <c r="M50" s="116" t="s">
        <v>153</v>
      </c>
      <c r="N50" s="116" t="s">
        <v>159</v>
      </c>
      <c r="O50" s="50"/>
      <c r="P50" s="163"/>
      <c r="Q50" s="163"/>
      <c r="R50" s="163"/>
      <c r="S50" s="163"/>
      <c r="T50" s="163"/>
      <c r="U50" s="163"/>
      <c r="V50" s="164"/>
      <c r="W50" s="170"/>
      <c r="X50" s="170"/>
      <c r="Y50" s="170"/>
      <c r="Z50" s="170"/>
      <c r="AA50" s="165"/>
      <c r="AB50" s="165"/>
      <c r="AC50" s="165"/>
    </row>
    <row r="51" spans="1:29" s="1" customFormat="1" ht="12" x14ac:dyDescent="0.2">
      <c r="A51" s="110" t="s">
        <v>156</v>
      </c>
      <c r="B51" s="138">
        <v>6253.6129000000001</v>
      </c>
      <c r="C51" s="139">
        <v>5383.4333299999998</v>
      </c>
      <c r="D51" s="138">
        <v>5275.2</v>
      </c>
      <c r="E51" s="139">
        <v>0</v>
      </c>
      <c r="F51" s="138">
        <v>0</v>
      </c>
      <c r="G51" s="139">
        <v>0</v>
      </c>
      <c r="H51" s="139">
        <v>0</v>
      </c>
      <c r="I51" s="138">
        <v>0</v>
      </c>
      <c r="J51" s="139">
        <v>0</v>
      </c>
      <c r="K51" s="138">
        <v>0</v>
      </c>
      <c r="L51" s="138">
        <v>0</v>
      </c>
      <c r="M51" s="139">
        <v>0</v>
      </c>
      <c r="N51" s="138">
        <v>5783.9545500000004</v>
      </c>
      <c r="O51" s="50"/>
      <c r="P51" s="154"/>
      <c r="Q51" s="154"/>
      <c r="R51" s="154"/>
      <c r="S51" s="154"/>
      <c r="T51" s="154"/>
      <c r="U51" s="154"/>
      <c r="V51" s="166"/>
      <c r="W51" s="171"/>
      <c r="X51" s="171"/>
      <c r="Y51" s="171"/>
      <c r="Z51" s="171"/>
      <c r="AA51" s="167"/>
    </row>
    <row r="52" spans="1:29" s="1" customFormat="1" ht="12" x14ac:dyDescent="0.2">
      <c r="A52" s="112" t="s">
        <v>74</v>
      </c>
      <c r="B52" s="137">
        <v>923.58064999999999</v>
      </c>
      <c r="C52" s="137">
        <v>749.13333</v>
      </c>
      <c r="D52" s="137">
        <v>716.2</v>
      </c>
      <c r="E52" s="137">
        <v>0</v>
      </c>
      <c r="F52" s="137">
        <v>0</v>
      </c>
      <c r="G52" s="137">
        <v>0</v>
      </c>
      <c r="H52" s="137">
        <v>0</v>
      </c>
      <c r="I52" s="137">
        <v>0</v>
      </c>
      <c r="J52" s="137">
        <v>0</v>
      </c>
      <c r="K52" s="137">
        <v>0</v>
      </c>
      <c r="L52" s="137">
        <v>0</v>
      </c>
      <c r="M52" s="137">
        <v>0</v>
      </c>
      <c r="N52" s="137">
        <v>828.57575999999995</v>
      </c>
      <c r="O52" s="50"/>
      <c r="P52" s="154"/>
      <c r="Q52" s="154"/>
      <c r="R52" s="154"/>
      <c r="S52" s="154"/>
      <c r="T52" s="154"/>
      <c r="U52" s="162"/>
      <c r="V52" s="166"/>
      <c r="W52" s="171"/>
      <c r="X52" s="171"/>
      <c r="Y52" s="171"/>
      <c r="Z52" s="171"/>
      <c r="AA52" s="167"/>
      <c r="AB52" s="167"/>
      <c r="AC52" s="167"/>
    </row>
    <row r="53" spans="1:29" s="1" customFormat="1" ht="12" x14ac:dyDescent="0.2">
      <c r="A53" s="113" t="s">
        <v>107</v>
      </c>
      <c r="B53" s="137">
        <v>246.16129000000001</v>
      </c>
      <c r="C53" s="137">
        <v>235.43333000000001</v>
      </c>
      <c r="D53" s="137">
        <v>265.60000000000002</v>
      </c>
      <c r="E53" s="137">
        <v>0</v>
      </c>
      <c r="F53" s="137">
        <v>0</v>
      </c>
      <c r="G53" s="137">
        <v>0</v>
      </c>
      <c r="H53" s="137">
        <v>0</v>
      </c>
      <c r="I53" s="137">
        <v>0</v>
      </c>
      <c r="J53" s="137">
        <v>0</v>
      </c>
      <c r="K53" s="137">
        <v>0</v>
      </c>
      <c r="L53" s="137">
        <v>0</v>
      </c>
      <c r="M53" s="137">
        <v>0</v>
      </c>
      <c r="N53" s="137">
        <v>242.75757999999999</v>
      </c>
      <c r="O53" s="50"/>
      <c r="P53" s="163"/>
      <c r="Q53" s="163"/>
      <c r="R53" s="163"/>
      <c r="S53" s="163"/>
      <c r="T53" s="163"/>
      <c r="U53" s="163"/>
      <c r="V53" s="164"/>
      <c r="W53" s="170"/>
      <c r="X53" s="170"/>
      <c r="Y53" s="170"/>
      <c r="Z53" s="170"/>
      <c r="AA53" s="167"/>
      <c r="AB53" s="167"/>
      <c r="AC53" s="167"/>
    </row>
    <row r="54" spans="1:29" s="51" customFormat="1" ht="12" x14ac:dyDescent="0.2">
      <c r="A54" s="113" t="s">
        <v>136</v>
      </c>
      <c r="B54" s="137">
        <v>5083.8709699999999</v>
      </c>
      <c r="C54" s="137">
        <v>4398.8666700000003</v>
      </c>
      <c r="D54" s="137">
        <v>4293.3999999999996</v>
      </c>
      <c r="E54" s="137">
        <v>0</v>
      </c>
      <c r="F54" s="137">
        <v>0</v>
      </c>
      <c r="G54" s="137">
        <v>0</v>
      </c>
      <c r="H54" s="137">
        <v>0</v>
      </c>
      <c r="I54" s="137">
        <v>0</v>
      </c>
      <c r="J54" s="137">
        <v>0</v>
      </c>
      <c r="K54" s="137">
        <v>0</v>
      </c>
      <c r="L54" s="137">
        <v>0</v>
      </c>
      <c r="M54" s="137">
        <v>0</v>
      </c>
      <c r="N54" s="137">
        <v>4712.6212100000002</v>
      </c>
      <c r="O54" s="50"/>
      <c r="P54" s="154"/>
      <c r="Q54" s="154"/>
      <c r="R54" s="154"/>
      <c r="S54" s="154"/>
      <c r="T54" s="154"/>
      <c r="U54" s="154"/>
      <c r="V54" s="166"/>
      <c r="W54" s="172"/>
      <c r="X54" s="172"/>
      <c r="Y54" s="172"/>
      <c r="Z54" s="172"/>
      <c r="AA54" s="172"/>
      <c r="AB54" s="172"/>
    </row>
    <row r="55" spans="1:29" s="1" customFormat="1" ht="12" x14ac:dyDescent="0.2">
      <c r="A55" s="110" t="s">
        <v>157</v>
      </c>
      <c r="B55" s="138">
        <v>12494.70968</v>
      </c>
      <c r="C55" s="139">
        <v>11491.3</v>
      </c>
      <c r="D55" s="138">
        <v>11163</v>
      </c>
      <c r="E55" s="139">
        <v>0</v>
      </c>
      <c r="F55" s="138">
        <v>0</v>
      </c>
      <c r="G55" s="139">
        <v>0</v>
      </c>
      <c r="H55" s="139">
        <v>0</v>
      </c>
      <c r="I55" s="138">
        <v>0</v>
      </c>
      <c r="J55" s="139">
        <v>0</v>
      </c>
      <c r="K55" s="138">
        <v>0</v>
      </c>
      <c r="L55" s="138">
        <v>0</v>
      </c>
      <c r="M55" s="139">
        <v>0</v>
      </c>
      <c r="N55" s="138">
        <v>11937.727269999999</v>
      </c>
      <c r="O55" s="50"/>
      <c r="P55" s="154"/>
      <c r="Q55" s="154"/>
      <c r="R55" s="154"/>
      <c r="S55" s="154"/>
      <c r="T55" s="154"/>
      <c r="U55" s="154"/>
      <c r="V55" s="166"/>
      <c r="W55" s="167"/>
      <c r="X55" s="167"/>
      <c r="Y55" s="167"/>
      <c r="Z55" s="167"/>
      <c r="AA55" s="167"/>
      <c r="AB55" s="167"/>
      <c r="AC55" s="167"/>
    </row>
    <row r="56" spans="1:29" s="1" customFormat="1" ht="12" x14ac:dyDescent="0.2">
      <c r="A56" s="112" t="s">
        <v>74</v>
      </c>
      <c r="B56" s="137">
        <v>8962.3870999999999</v>
      </c>
      <c r="C56" s="137">
        <v>8156.26667</v>
      </c>
      <c r="D56" s="137">
        <v>7849.8</v>
      </c>
      <c r="E56" s="137">
        <v>0</v>
      </c>
      <c r="F56" s="137">
        <v>0</v>
      </c>
      <c r="G56" s="137">
        <v>0</v>
      </c>
      <c r="H56" s="137">
        <v>0</v>
      </c>
      <c r="I56" s="137">
        <v>0</v>
      </c>
      <c r="J56" s="137">
        <v>0</v>
      </c>
      <c r="K56" s="137">
        <v>0</v>
      </c>
      <c r="L56" s="137">
        <v>0</v>
      </c>
      <c r="M56" s="137">
        <v>0</v>
      </c>
      <c r="N56" s="137">
        <v>8511.6818199999998</v>
      </c>
      <c r="O56" s="50"/>
      <c r="P56" s="154"/>
      <c r="Q56" s="154"/>
      <c r="R56" s="154"/>
      <c r="S56" s="154"/>
      <c r="T56" s="154"/>
      <c r="U56" s="154"/>
      <c r="V56" s="166"/>
      <c r="W56" s="167"/>
      <c r="X56" s="167"/>
      <c r="Y56" s="167"/>
      <c r="Z56" s="167"/>
      <c r="AA56" s="167"/>
      <c r="AB56" s="167"/>
      <c r="AC56" s="173"/>
    </row>
    <row r="57" spans="1:29" s="1" customFormat="1" ht="12" x14ac:dyDescent="0.2">
      <c r="A57" s="113" t="s">
        <v>107</v>
      </c>
      <c r="B57" s="137">
        <v>2828.5483899999999</v>
      </c>
      <c r="C57" s="137">
        <v>2749.0333300000002</v>
      </c>
      <c r="D57" s="137">
        <v>2764.4</v>
      </c>
      <c r="E57" s="137">
        <v>0</v>
      </c>
      <c r="F57" s="137">
        <v>0</v>
      </c>
      <c r="G57" s="137">
        <v>0</v>
      </c>
      <c r="H57" s="137">
        <v>0</v>
      </c>
      <c r="I57" s="137">
        <v>0</v>
      </c>
      <c r="J57" s="137">
        <v>0</v>
      </c>
      <c r="K57" s="137">
        <v>0</v>
      </c>
      <c r="L57" s="137">
        <v>0</v>
      </c>
      <c r="M57" s="137">
        <v>0</v>
      </c>
      <c r="N57" s="137">
        <v>2787.5454500000001</v>
      </c>
      <c r="O57" s="50"/>
      <c r="P57" s="154"/>
      <c r="Q57" s="154"/>
      <c r="R57" s="154"/>
      <c r="S57" s="154"/>
      <c r="T57" s="162"/>
      <c r="U57" s="154"/>
      <c r="V57" s="166"/>
      <c r="W57" s="167"/>
      <c r="X57" s="167"/>
      <c r="Y57" s="167"/>
      <c r="Z57" s="167"/>
      <c r="AA57" s="167"/>
      <c r="AB57" s="167"/>
      <c r="AC57" s="167"/>
    </row>
    <row r="58" spans="1:29" s="1" customFormat="1" ht="12" x14ac:dyDescent="0.2">
      <c r="A58" s="113" t="s">
        <v>136</v>
      </c>
      <c r="B58" s="137">
        <v>703.77418999999998</v>
      </c>
      <c r="C58" s="137">
        <v>586</v>
      </c>
      <c r="D58" s="137">
        <v>548.79999999999995</v>
      </c>
      <c r="E58" s="137">
        <v>0</v>
      </c>
      <c r="F58" s="137">
        <v>0</v>
      </c>
      <c r="G58" s="137">
        <v>0</v>
      </c>
      <c r="H58" s="137">
        <v>0</v>
      </c>
      <c r="I58" s="137">
        <v>0</v>
      </c>
      <c r="J58" s="137">
        <v>0</v>
      </c>
      <c r="K58" s="137">
        <v>0</v>
      </c>
      <c r="L58" s="137">
        <v>0</v>
      </c>
      <c r="M58" s="137">
        <v>0</v>
      </c>
      <c r="N58" s="137">
        <v>638.5</v>
      </c>
      <c r="O58" s="50"/>
      <c r="P58" s="154"/>
      <c r="Q58" s="154"/>
      <c r="R58" s="154"/>
      <c r="S58" s="154"/>
      <c r="T58" s="154"/>
      <c r="U58" s="154"/>
      <c r="V58" s="166"/>
      <c r="W58" s="167"/>
      <c r="X58" s="167"/>
      <c r="Y58" s="167"/>
      <c r="Z58" s="173"/>
      <c r="AA58" s="167"/>
      <c r="AB58" s="167"/>
      <c r="AC58" s="167"/>
    </row>
    <row r="59" spans="1:29" s="1" customFormat="1" ht="12" x14ac:dyDescent="0.2">
      <c r="A59" s="110" t="s">
        <v>158</v>
      </c>
      <c r="B59" s="138">
        <v>18748.32258</v>
      </c>
      <c r="C59" s="139">
        <v>16874.733329999999</v>
      </c>
      <c r="D59" s="138">
        <v>16438.2</v>
      </c>
      <c r="E59" s="139">
        <v>0</v>
      </c>
      <c r="F59" s="138">
        <v>0</v>
      </c>
      <c r="G59" s="139">
        <v>0</v>
      </c>
      <c r="H59" s="139">
        <v>0</v>
      </c>
      <c r="I59" s="138">
        <v>0</v>
      </c>
      <c r="J59" s="139">
        <v>0</v>
      </c>
      <c r="K59" s="138">
        <v>0</v>
      </c>
      <c r="L59" s="138">
        <v>0</v>
      </c>
      <c r="M59" s="139">
        <v>0</v>
      </c>
      <c r="N59" s="138">
        <v>17721.681820000002</v>
      </c>
      <c r="O59" s="50"/>
      <c r="P59" s="154"/>
      <c r="Q59" s="154"/>
      <c r="R59" s="154"/>
      <c r="S59" s="154"/>
      <c r="T59" s="154"/>
      <c r="U59" s="154"/>
      <c r="V59" s="166"/>
      <c r="W59" s="167"/>
      <c r="X59" s="167"/>
      <c r="Y59" s="167"/>
    </row>
    <row r="60" spans="1:29" s="1" customFormat="1" ht="12" x14ac:dyDescent="0.2">
      <c r="A60" s="112" t="s">
        <v>74</v>
      </c>
      <c r="B60" s="137">
        <v>9885.96774</v>
      </c>
      <c r="C60" s="137">
        <v>8905.4</v>
      </c>
      <c r="D60" s="137">
        <v>8566</v>
      </c>
      <c r="E60" s="137">
        <v>0</v>
      </c>
      <c r="F60" s="137">
        <v>0</v>
      </c>
      <c r="G60" s="137">
        <v>0</v>
      </c>
      <c r="H60" s="137">
        <v>0</v>
      </c>
      <c r="I60" s="137">
        <v>0</v>
      </c>
      <c r="J60" s="137">
        <v>0</v>
      </c>
      <c r="K60" s="137">
        <v>0</v>
      </c>
      <c r="L60" s="137">
        <v>0</v>
      </c>
      <c r="M60" s="137">
        <v>0</v>
      </c>
      <c r="N60" s="137">
        <v>9340.2575799999995</v>
      </c>
      <c r="O60" s="50"/>
      <c r="P60" s="154"/>
      <c r="Q60" s="154"/>
      <c r="R60" s="154"/>
      <c r="S60" s="50"/>
      <c r="T60" s="50"/>
      <c r="U60" s="50"/>
      <c r="V60" s="48"/>
    </row>
    <row r="61" spans="1:29" s="1" customFormat="1" ht="12" x14ac:dyDescent="0.2">
      <c r="A61" s="113" t="s">
        <v>107</v>
      </c>
      <c r="B61" s="137">
        <v>3074.7096799999999</v>
      </c>
      <c r="C61" s="137">
        <v>2984.4666699999998</v>
      </c>
      <c r="D61" s="137">
        <v>3030</v>
      </c>
      <c r="E61" s="137">
        <v>0</v>
      </c>
      <c r="F61" s="137">
        <v>0</v>
      </c>
      <c r="G61" s="137">
        <v>0</v>
      </c>
      <c r="H61" s="137">
        <v>0</v>
      </c>
      <c r="I61" s="137">
        <v>0</v>
      </c>
      <c r="J61" s="137">
        <v>0</v>
      </c>
      <c r="K61" s="137">
        <v>0</v>
      </c>
      <c r="L61" s="137">
        <v>0</v>
      </c>
      <c r="M61" s="137">
        <v>0</v>
      </c>
      <c r="N61" s="137">
        <v>3030.30303</v>
      </c>
      <c r="O61" s="50"/>
      <c r="P61" s="154"/>
      <c r="Q61" s="154"/>
      <c r="R61" s="162"/>
      <c r="S61" s="50"/>
      <c r="T61" s="50"/>
      <c r="U61" s="50"/>
      <c r="V61" s="48"/>
    </row>
    <row r="62" spans="1:29" s="1" customFormat="1" ht="12" x14ac:dyDescent="0.2">
      <c r="A62" s="113" t="s">
        <v>136</v>
      </c>
      <c r="B62" s="137">
        <v>5787.64516</v>
      </c>
      <c r="C62" s="137">
        <v>4984.8666700000003</v>
      </c>
      <c r="D62" s="137">
        <v>4842.2</v>
      </c>
      <c r="E62" s="137">
        <v>0</v>
      </c>
      <c r="F62" s="137">
        <v>0</v>
      </c>
      <c r="G62" s="137">
        <v>0</v>
      </c>
      <c r="H62" s="137">
        <v>0</v>
      </c>
      <c r="I62" s="137">
        <v>0</v>
      </c>
      <c r="J62" s="137">
        <v>0</v>
      </c>
      <c r="K62" s="137">
        <v>0</v>
      </c>
      <c r="L62" s="137">
        <v>0</v>
      </c>
      <c r="M62" s="137">
        <v>0</v>
      </c>
      <c r="N62" s="137">
        <v>5351.1212100000002</v>
      </c>
      <c r="O62" s="50"/>
      <c r="P62" s="154"/>
      <c r="Q62" s="154"/>
      <c r="R62" s="162"/>
      <c r="S62" s="50"/>
      <c r="T62" s="50"/>
      <c r="U62" s="50"/>
      <c r="V62" s="48"/>
    </row>
    <row r="63" spans="1:29" s="1" customFormat="1" ht="12" x14ac:dyDescent="0.2">
      <c r="A63" s="107"/>
      <c r="B63" s="6"/>
      <c r="C63" s="6"/>
      <c r="D63" s="6"/>
      <c r="E63" s="6"/>
      <c r="F63" s="5"/>
      <c r="G63" s="5"/>
      <c r="H63" s="5"/>
      <c r="I63" s="5"/>
      <c r="J63" s="5"/>
      <c r="K63" s="5"/>
      <c r="L63" s="50"/>
      <c r="M63" s="50"/>
      <c r="N63" s="50"/>
      <c r="O63" s="50"/>
      <c r="P63" s="154"/>
      <c r="Q63" s="154"/>
      <c r="R63" s="154"/>
      <c r="S63" s="50"/>
      <c r="T63" s="50"/>
      <c r="U63" s="50"/>
      <c r="V63" s="48"/>
    </row>
    <row r="64" spans="1:29" s="1" customFormat="1" ht="12" customHeight="1" x14ac:dyDescent="0.2">
      <c r="A64" s="244"/>
      <c r="B64" s="228"/>
      <c r="C64" s="228"/>
      <c r="D64" s="228"/>
      <c r="E64" s="228"/>
      <c r="F64" s="228"/>
      <c r="G64" s="228"/>
      <c r="H64" s="228"/>
      <c r="I64" s="228"/>
      <c r="J64" s="228"/>
      <c r="K64" s="228"/>
      <c r="L64" s="228"/>
      <c r="M64" s="228"/>
      <c r="N64" s="228"/>
      <c r="O64" s="228"/>
      <c r="P64" s="228"/>
      <c r="Q64" s="228"/>
      <c r="R64" s="228"/>
      <c r="S64" s="228"/>
      <c r="T64" s="228"/>
      <c r="U64" s="228"/>
      <c r="V64" s="245"/>
    </row>
    <row r="65" spans="1:28" s="1" customFormat="1" ht="12" x14ac:dyDescent="0.2">
      <c r="A65" s="107"/>
      <c r="B65" s="6"/>
      <c r="C65" s="6"/>
      <c r="D65" s="6"/>
      <c r="E65" s="6"/>
      <c r="F65" s="5"/>
      <c r="G65" s="5"/>
      <c r="H65" s="5"/>
      <c r="I65" s="5"/>
      <c r="J65" s="5"/>
      <c r="K65" s="5"/>
      <c r="L65" s="50"/>
      <c r="M65" s="50"/>
      <c r="N65" s="50"/>
      <c r="O65" s="50"/>
      <c r="P65" s="50"/>
      <c r="Q65" s="50"/>
      <c r="R65" s="50"/>
      <c r="S65" s="50"/>
      <c r="T65" s="50"/>
      <c r="U65" s="50"/>
      <c r="V65" s="48"/>
    </row>
    <row r="66" spans="1:28" s="1" customFormat="1" ht="24.75" customHeight="1" x14ac:dyDescent="0.2">
      <c r="A66" s="208" t="s">
        <v>800</v>
      </c>
      <c r="B66" s="209"/>
      <c r="C66" s="209"/>
      <c r="D66" s="209"/>
      <c r="E66" s="209"/>
      <c r="F66" s="209"/>
      <c r="G66" s="209"/>
      <c r="H66" s="209"/>
      <c r="I66" s="209"/>
      <c r="J66" s="209"/>
      <c r="K66" s="209"/>
      <c r="L66" s="209"/>
      <c r="M66" s="209"/>
      <c r="N66" s="209"/>
      <c r="O66" s="50"/>
      <c r="P66" s="50"/>
      <c r="Q66" s="163"/>
      <c r="R66" s="163"/>
      <c r="S66" s="163"/>
      <c r="T66" s="163"/>
      <c r="U66" s="163"/>
      <c r="V66" s="164"/>
      <c r="W66" s="165"/>
      <c r="X66" s="165"/>
      <c r="Y66" s="165"/>
      <c r="Z66" s="165"/>
      <c r="AA66" s="165"/>
    </row>
    <row r="67" spans="1:28" s="1" customFormat="1" ht="12" x14ac:dyDescent="0.2">
      <c r="A67" s="39" t="s">
        <v>140</v>
      </c>
      <c r="B67" s="116" t="s">
        <v>141</v>
      </c>
      <c r="C67" s="116" t="s">
        <v>142</v>
      </c>
      <c r="D67" s="116" t="s">
        <v>143</v>
      </c>
      <c r="E67" s="116" t="s">
        <v>144</v>
      </c>
      <c r="F67" s="116" t="s">
        <v>145</v>
      </c>
      <c r="G67" s="116" t="s">
        <v>146</v>
      </c>
      <c r="H67" s="116" t="s">
        <v>147</v>
      </c>
      <c r="I67" s="116" t="s">
        <v>148</v>
      </c>
      <c r="J67" s="116" t="s">
        <v>149</v>
      </c>
      <c r="K67" s="116" t="s">
        <v>151</v>
      </c>
      <c r="L67" s="116" t="s">
        <v>152</v>
      </c>
      <c r="M67" s="116" t="s">
        <v>153</v>
      </c>
      <c r="N67" s="116" t="s">
        <v>159</v>
      </c>
      <c r="O67" s="50"/>
      <c r="P67" s="163"/>
      <c r="Q67" s="163"/>
      <c r="R67" s="163"/>
      <c r="S67" s="163"/>
      <c r="T67" s="163"/>
      <c r="U67" s="163"/>
      <c r="V67" s="164"/>
      <c r="W67" s="165"/>
      <c r="X67" s="165"/>
      <c r="Y67" s="165"/>
      <c r="Z67" s="165"/>
      <c r="AA67" s="165"/>
      <c r="AB67" s="165"/>
    </row>
    <row r="68" spans="1:28" s="1" customFormat="1" ht="12.75" customHeight="1" x14ac:dyDescent="0.2">
      <c r="A68" s="110" t="s">
        <v>156</v>
      </c>
      <c r="B68" s="140">
        <v>113.0889</v>
      </c>
      <c r="C68" s="141">
        <v>121.33387</v>
      </c>
      <c r="D68" s="140">
        <v>115.08987</v>
      </c>
      <c r="E68" s="141">
        <v>0</v>
      </c>
      <c r="F68" s="140">
        <v>0</v>
      </c>
      <c r="G68" s="141">
        <v>0</v>
      </c>
      <c r="H68" s="141">
        <v>0</v>
      </c>
      <c r="I68" s="140">
        <v>0</v>
      </c>
      <c r="J68" s="141">
        <v>0</v>
      </c>
      <c r="K68" s="140">
        <v>0</v>
      </c>
      <c r="L68" s="140">
        <v>0</v>
      </c>
      <c r="M68" s="141">
        <v>0</v>
      </c>
      <c r="N68" s="140">
        <v>116.47699</v>
      </c>
      <c r="O68" s="50"/>
      <c r="P68" s="50"/>
      <c r="Q68" s="163"/>
      <c r="R68" s="163"/>
      <c r="S68" s="163"/>
      <c r="T68" s="163"/>
      <c r="U68" s="163"/>
      <c r="V68" s="164"/>
      <c r="W68" s="165"/>
      <c r="X68" s="165"/>
      <c r="Y68" s="165"/>
      <c r="Z68" s="165"/>
      <c r="AA68" s="165"/>
    </row>
    <row r="69" spans="1:28" s="1" customFormat="1" ht="12" x14ac:dyDescent="0.2">
      <c r="A69" s="112" t="s">
        <v>74</v>
      </c>
      <c r="B69" s="142">
        <v>88.449380000000005</v>
      </c>
      <c r="C69" s="142">
        <v>91.591250000000002</v>
      </c>
      <c r="D69" s="142">
        <v>69.716539999999995</v>
      </c>
      <c r="E69" s="142">
        <v>0</v>
      </c>
      <c r="F69" s="142">
        <v>0</v>
      </c>
      <c r="G69" s="142">
        <v>0</v>
      </c>
      <c r="H69" s="142">
        <v>0</v>
      </c>
      <c r="I69" s="142">
        <v>0</v>
      </c>
      <c r="J69" s="142">
        <v>0</v>
      </c>
      <c r="K69" s="142">
        <v>0</v>
      </c>
      <c r="L69" s="142">
        <v>0</v>
      </c>
      <c r="M69" s="142">
        <v>0</v>
      </c>
      <c r="N69" s="142">
        <v>87.952839999999995</v>
      </c>
      <c r="O69" s="50"/>
      <c r="P69" s="50"/>
      <c r="Q69" s="50"/>
      <c r="R69" s="50"/>
      <c r="S69" s="50"/>
      <c r="T69" s="50"/>
      <c r="U69" s="50"/>
      <c r="V69" s="48"/>
    </row>
    <row r="70" spans="1:28" s="1" customFormat="1" ht="12" x14ac:dyDescent="0.2">
      <c r="A70" s="113" t="s">
        <v>107</v>
      </c>
      <c r="B70" s="142">
        <v>137.46763000000001</v>
      </c>
      <c r="C70" s="142">
        <v>72.701920000000001</v>
      </c>
      <c r="D70" s="142">
        <v>92.361109999999996</v>
      </c>
      <c r="E70" s="142">
        <v>0</v>
      </c>
      <c r="F70" s="142">
        <v>0</v>
      </c>
      <c r="G70" s="142">
        <v>0</v>
      </c>
      <c r="H70" s="142">
        <v>0</v>
      </c>
      <c r="I70" s="142">
        <v>0</v>
      </c>
      <c r="J70" s="142">
        <v>0</v>
      </c>
      <c r="K70" s="142">
        <v>0</v>
      </c>
      <c r="L70" s="142">
        <v>0</v>
      </c>
      <c r="M70" s="142">
        <v>0</v>
      </c>
      <c r="N70" s="142">
        <v>107.50538</v>
      </c>
      <c r="O70" s="50"/>
      <c r="P70" s="50"/>
      <c r="Q70" s="50"/>
      <c r="R70" s="50"/>
      <c r="S70" s="50"/>
      <c r="T70" s="50"/>
      <c r="U70" s="50"/>
      <c r="V70" s="48"/>
    </row>
    <row r="71" spans="1:28" s="1" customFormat="1" ht="12" x14ac:dyDescent="0.2">
      <c r="A71" s="113" t="s">
        <v>136</v>
      </c>
      <c r="B71" s="142">
        <v>120.01589</v>
      </c>
      <c r="C71" s="142">
        <v>132.52431999999999</v>
      </c>
      <c r="D71" s="142">
        <v>133.36944</v>
      </c>
      <c r="E71" s="142">
        <v>0</v>
      </c>
      <c r="F71" s="142">
        <v>0</v>
      </c>
      <c r="G71" s="142">
        <v>0</v>
      </c>
      <c r="H71" s="142">
        <v>0</v>
      </c>
      <c r="I71" s="142">
        <v>0</v>
      </c>
      <c r="J71" s="142">
        <v>0</v>
      </c>
      <c r="K71" s="142">
        <v>0</v>
      </c>
      <c r="L71" s="142">
        <v>0</v>
      </c>
      <c r="M71" s="142">
        <v>0</v>
      </c>
      <c r="N71" s="142">
        <v>126.08887</v>
      </c>
      <c r="O71" s="50"/>
      <c r="P71" s="163"/>
      <c r="Q71" s="163"/>
      <c r="R71" s="163"/>
      <c r="S71" s="163"/>
      <c r="T71" s="163"/>
      <c r="U71" s="163"/>
      <c r="V71" s="164"/>
      <c r="W71" s="165"/>
      <c r="X71" s="165"/>
      <c r="Y71" s="165"/>
      <c r="Z71" s="165"/>
    </row>
    <row r="72" spans="1:28" s="1" customFormat="1" ht="12" x14ac:dyDescent="0.2">
      <c r="A72" s="110" t="s">
        <v>157</v>
      </c>
      <c r="B72" s="140">
        <v>75.815020000000004</v>
      </c>
      <c r="C72" s="141">
        <v>70.219819999999999</v>
      </c>
      <c r="D72" s="140">
        <v>68.71575</v>
      </c>
      <c r="E72" s="141">
        <v>0</v>
      </c>
      <c r="F72" s="140">
        <v>0</v>
      </c>
      <c r="G72" s="141">
        <v>0</v>
      </c>
      <c r="H72" s="141">
        <v>0</v>
      </c>
      <c r="I72" s="140">
        <v>0</v>
      </c>
      <c r="J72" s="141">
        <v>0</v>
      </c>
      <c r="K72" s="140">
        <v>0</v>
      </c>
      <c r="L72" s="140">
        <v>0</v>
      </c>
      <c r="M72" s="141">
        <v>0</v>
      </c>
      <c r="N72" s="140">
        <v>72.994870000000006</v>
      </c>
      <c r="O72" s="50"/>
      <c r="P72" s="163"/>
      <c r="Q72" s="163"/>
      <c r="R72" s="50"/>
      <c r="S72" s="50"/>
      <c r="T72" s="50"/>
      <c r="U72" s="50"/>
      <c r="V72" s="48"/>
    </row>
    <row r="73" spans="1:28" s="1" customFormat="1" ht="12" x14ac:dyDescent="0.2">
      <c r="A73" s="112" t="s">
        <v>74</v>
      </c>
      <c r="B73" s="142">
        <v>78.745800000000003</v>
      </c>
      <c r="C73" s="142">
        <v>76.105649999999997</v>
      </c>
      <c r="D73" s="142">
        <v>71.441209999999998</v>
      </c>
      <c r="E73" s="142">
        <v>0</v>
      </c>
      <c r="F73" s="142">
        <v>0</v>
      </c>
      <c r="G73" s="142">
        <v>0</v>
      </c>
      <c r="H73" s="142">
        <v>0</v>
      </c>
      <c r="I73" s="142">
        <v>0</v>
      </c>
      <c r="J73" s="142">
        <v>0</v>
      </c>
      <c r="K73" s="142">
        <v>0</v>
      </c>
      <c r="L73" s="142">
        <v>0</v>
      </c>
      <c r="M73" s="142">
        <v>0</v>
      </c>
      <c r="N73" s="142">
        <v>77.084140000000005</v>
      </c>
      <c r="O73" s="50"/>
      <c r="P73" s="163"/>
      <c r="Q73" s="163"/>
      <c r="R73" s="163"/>
      <c r="S73" s="50"/>
      <c r="T73" s="50"/>
      <c r="U73" s="50"/>
      <c r="V73" s="48"/>
    </row>
    <row r="74" spans="1:28" s="1" customFormat="1" ht="12" customHeight="1" x14ac:dyDescent="0.2">
      <c r="A74" s="113" t="s">
        <v>107</v>
      </c>
      <c r="B74" s="142">
        <v>65.470089999999999</v>
      </c>
      <c r="C74" s="142">
        <v>53.458840000000002</v>
      </c>
      <c r="D74" s="142">
        <v>55.449440000000003</v>
      </c>
      <c r="E74" s="142">
        <v>0</v>
      </c>
      <c r="F74" s="142">
        <v>0</v>
      </c>
      <c r="G74" s="142">
        <v>0</v>
      </c>
      <c r="H74" s="142">
        <v>0</v>
      </c>
      <c r="I74" s="142">
        <v>0</v>
      </c>
      <c r="J74" s="142">
        <v>0</v>
      </c>
      <c r="K74" s="142">
        <v>0</v>
      </c>
      <c r="L74" s="142">
        <v>0</v>
      </c>
      <c r="M74" s="142">
        <v>0</v>
      </c>
      <c r="N74" s="142">
        <v>59.746929999999999</v>
      </c>
      <c r="O74" s="50"/>
      <c r="P74" s="163"/>
      <c r="Q74" s="50"/>
      <c r="R74" s="50"/>
      <c r="S74" s="50"/>
      <c r="T74" s="50"/>
      <c r="U74" s="50"/>
      <c r="V74" s="48"/>
    </row>
    <row r="75" spans="1:28" s="1" customFormat="1" ht="12" x14ac:dyDescent="0.2">
      <c r="A75" s="113" t="s">
        <v>136</v>
      </c>
      <c r="B75" s="142">
        <v>82.239530000000002</v>
      </c>
      <c r="C75" s="142">
        <v>71.786240000000006</v>
      </c>
      <c r="D75" s="142">
        <v>95.5</v>
      </c>
      <c r="E75" s="142">
        <v>0</v>
      </c>
      <c r="F75" s="142">
        <v>0</v>
      </c>
      <c r="G75" s="142">
        <v>0</v>
      </c>
      <c r="H75" s="142">
        <v>0</v>
      </c>
      <c r="I75" s="142">
        <v>0</v>
      </c>
      <c r="J75" s="142">
        <v>0</v>
      </c>
      <c r="K75" s="142">
        <v>0</v>
      </c>
      <c r="L75" s="142">
        <v>0</v>
      </c>
      <c r="M75" s="142">
        <v>0</v>
      </c>
      <c r="N75" s="142">
        <v>79.3232</v>
      </c>
      <c r="O75" s="50"/>
      <c r="P75" s="163"/>
      <c r="Q75" s="163"/>
      <c r="R75" s="50"/>
      <c r="S75" s="50"/>
      <c r="T75" s="50"/>
      <c r="U75" s="50"/>
      <c r="V75" s="48"/>
    </row>
    <row r="76" spans="1:28" s="1" customFormat="1" ht="12" x14ac:dyDescent="0.2">
      <c r="A76" s="110" t="s">
        <v>158</v>
      </c>
      <c r="B76" s="140">
        <v>86.514560000000003</v>
      </c>
      <c r="C76" s="141">
        <v>84.611599999999996</v>
      </c>
      <c r="D76" s="140">
        <v>81.561970000000002</v>
      </c>
      <c r="E76" s="141">
        <v>0</v>
      </c>
      <c r="F76" s="140">
        <v>0</v>
      </c>
      <c r="G76" s="141">
        <v>0</v>
      </c>
      <c r="H76" s="141">
        <v>0</v>
      </c>
      <c r="I76" s="140">
        <v>0</v>
      </c>
      <c r="J76" s="141">
        <v>0</v>
      </c>
      <c r="K76" s="140">
        <v>0</v>
      </c>
      <c r="L76" s="140">
        <v>0</v>
      </c>
      <c r="M76" s="141">
        <v>0</v>
      </c>
      <c r="N76" s="140">
        <v>85.345470000000006</v>
      </c>
      <c r="O76" s="50"/>
      <c r="P76" s="50"/>
      <c r="Q76" s="50"/>
      <c r="R76" s="50"/>
      <c r="S76" s="50"/>
      <c r="T76" s="50"/>
      <c r="U76" s="50"/>
      <c r="V76" s="48"/>
    </row>
    <row r="77" spans="1:28" s="1" customFormat="1" ht="12" x14ac:dyDescent="0.2">
      <c r="A77" s="112" t="s">
        <v>74</v>
      </c>
      <c r="B77" s="142">
        <v>79.950940000000003</v>
      </c>
      <c r="C77" s="142">
        <v>77.774799999999999</v>
      </c>
      <c r="D77" s="142">
        <v>71.233400000000003</v>
      </c>
      <c r="E77" s="142">
        <v>0</v>
      </c>
      <c r="F77" s="142">
        <v>0</v>
      </c>
      <c r="G77" s="142">
        <v>0</v>
      </c>
      <c r="H77" s="142">
        <v>0</v>
      </c>
      <c r="I77" s="142">
        <v>0</v>
      </c>
      <c r="J77" s="142">
        <v>0</v>
      </c>
      <c r="K77" s="142">
        <v>0</v>
      </c>
      <c r="L77" s="142">
        <v>0</v>
      </c>
      <c r="M77" s="142">
        <v>0</v>
      </c>
      <c r="N77" s="142">
        <v>78.360709999999997</v>
      </c>
      <c r="O77" s="50"/>
      <c r="P77" s="50"/>
      <c r="Q77" s="50"/>
      <c r="R77" s="50"/>
      <c r="S77" s="50"/>
      <c r="T77" s="50"/>
      <c r="U77" s="50"/>
      <c r="V77" s="48"/>
    </row>
    <row r="78" spans="1:28" s="1" customFormat="1" ht="12" x14ac:dyDescent="0.2">
      <c r="A78" s="113" t="s">
        <v>107</v>
      </c>
      <c r="B78" s="142">
        <v>70.172929999999994</v>
      </c>
      <c r="C78" s="142">
        <v>54.656489999999998</v>
      </c>
      <c r="D78" s="142">
        <v>58.839289999999998</v>
      </c>
      <c r="E78" s="142">
        <v>0</v>
      </c>
      <c r="F78" s="142">
        <v>0</v>
      </c>
      <c r="G78" s="142">
        <v>0</v>
      </c>
      <c r="H78" s="142">
        <v>0</v>
      </c>
      <c r="I78" s="142">
        <v>0</v>
      </c>
      <c r="J78" s="142">
        <v>0</v>
      </c>
      <c r="K78" s="142">
        <v>0</v>
      </c>
      <c r="L78" s="142">
        <v>0</v>
      </c>
      <c r="M78" s="142">
        <v>0</v>
      </c>
      <c r="N78" s="142">
        <v>62.926270000000002</v>
      </c>
      <c r="O78" s="50"/>
      <c r="P78" s="50"/>
      <c r="Q78" s="50"/>
      <c r="R78" s="50"/>
      <c r="S78" s="50"/>
      <c r="T78" s="50"/>
      <c r="U78" s="50"/>
      <c r="V78" s="48"/>
    </row>
    <row r="79" spans="1:28" s="1" customFormat="1" ht="12" x14ac:dyDescent="0.2">
      <c r="A79" s="113" t="s">
        <v>136</v>
      </c>
      <c r="B79" s="142">
        <v>112.47073</v>
      </c>
      <c r="C79" s="142">
        <v>121.57156000000001</v>
      </c>
      <c r="D79" s="142">
        <v>126.34389</v>
      </c>
      <c r="E79" s="142">
        <v>0</v>
      </c>
      <c r="F79" s="142">
        <v>0</v>
      </c>
      <c r="G79" s="142">
        <v>0</v>
      </c>
      <c r="H79" s="142">
        <v>0</v>
      </c>
      <c r="I79" s="142">
        <v>0</v>
      </c>
      <c r="J79" s="142">
        <v>0</v>
      </c>
      <c r="K79" s="142">
        <v>0</v>
      </c>
      <c r="L79" s="142">
        <v>0</v>
      </c>
      <c r="M79" s="142">
        <v>0</v>
      </c>
      <c r="N79" s="142">
        <v>117.15998999999999</v>
      </c>
      <c r="O79" s="50"/>
      <c r="P79" s="50"/>
      <c r="Q79" s="50"/>
      <c r="R79" s="50"/>
      <c r="S79" s="50"/>
      <c r="T79" s="50"/>
      <c r="U79" s="50"/>
      <c r="V79" s="48"/>
    </row>
    <row r="80" spans="1:28" s="1" customFormat="1" ht="12" x14ac:dyDescent="0.2">
      <c r="A80" s="107"/>
      <c r="B80" s="6"/>
      <c r="C80" s="6"/>
      <c r="D80" s="6"/>
      <c r="E80" s="6"/>
      <c r="F80" s="5"/>
      <c r="G80" s="5"/>
      <c r="H80" s="5"/>
      <c r="I80" s="5"/>
      <c r="J80" s="5"/>
      <c r="K80" s="5"/>
      <c r="L80" s="50"/>
      <c r="M80" s="50"/>
      <c r="N80" s="50"/>
      <c r="O80" s="50"/>
      <c r="P80" s="50"/>
      <c r="Q80" s="50"/>
      <c r="R80" s="50"/>
      <c r="S80" s="50"/>
      <c r="T80" s="50"/>
      <c r="U80" s="50"/>
      <c r="V80" s="48"/>
    </row>
    <row r="81" spans="1:26" s="1" customFormat="1" ht="12" x14ac:dyDescent="0.2">
      <c r="A81" s="244"/>
      <c r="B81" s="228"/>
      <c r="C81" s="228"/>
      <c r="D81" s="228"/>
      <c r="E81" s="228"/>
      <c r="F81" s="228"/>
      <c r="G81" s="228"/>
      <c r="H81" s="228"/>
      <c r="I81" s="228"/>
      <c r="J81" s="228"/>
      <c r="K81" s="228"/>
      <c r="L81" s="228"/>
      <c r="M81" s="228"/>
      <c r="N81" s="228"/>
      <c r="O81" s="228"/>
      <c r="P81" s="228"/>
      <c r="Q81" s="228"/>
      <c r="R81" s="228"/>
      <c r="S81" s="228"/>
      <c r="T81" s="228"/>
      <c r="U81" s="228"/>
      <c r="V81" s="245"/>
    </row>
    <row r="82" spans="1:26" s="1" customFormat="1" ht="12" x14ac:dyDescent="0.2">
      <c r="A82" s="107"/>
      <c r="B82" s="6"/>
      <c r="C82" s="6"/>
      <c r="D82" s="6"/>
      <c r="E82" s="6"/>
      <c r="F82" s="5"/>
      <c r="G82" s="5"/>
      <c r="H82" s="5"/>
      <c r="I82" s="5"/>
      <c r="J82" s="5"/>
      <c r="K82" s="5"/>
      <c r="L82" s="50"/>
      <c r="M82" s="50"/>
      <c r="N82" s="50"/>
      <c r="O82" s="50"/>
      <c r="P82" s="50"/>
      <c r="Q82" s="50"/>
      <c r="R82" s="50"/>
      <c r="S82" s="50"/>
      <c r="T82" s="50"/>
      <c r="U82" s="50"/>
      <c r="V82" s="48"/>
    </row>
    <row r="83" spans="1:26" s="8" customFormat="1" ht="24.75" customHeight="1" x14ac:dyDescent="0.2">
      <c r="A83" s="243" t="s">
        <v>801</v>
      </c>
      <c r="B83" s="210"/>
      <c r="C83" s="210"/>
      <c r="D83" s="210"/>
      <c r="E83" s="210"/>
      <c r="F83" s="210"/>
      <c r="G83" s="210"/>
      <c r="H83" s="210"/>
      <c r="I83" s="210"/>
      <c r="J83" s="210"/>
      <c r="K83" s="210"/>
      <c r="L83" s="210"/>
      <c r="M83" s="210"/>
      <c r="N83" s="210"/>
      <c r="O83" s="50"/>
      <c r="P83" s="163"/>
      <c r="Q83" s="163"/>
      <c r="R83" s="163"/>
      <c r="S83" s="163"/>
      <c r="T83" s="163"/>
      <c r="U83" s="163"/>
      <c r="V83" s="164"/>
      <c r="W83" s="169"/>
      <c r="X83" s="169"/>
      <c r="Y83" s="169"/>
      <c r="Z83" s="169"/>
    </row>
    <row r="84" spans="1:26" s="1" customFormat="1" ht="12" x14ac:dyDescent="0.2">
      <c r="A84" s="39" t="s">
        <v>155</v>
      </c>
      <c r="B84" s="116" t="s">
        <v>141</v>
      </c>
      <c r="C84" s="116" t="s">
        <v>142</v>
      </c>
      <c r="D84" s="116" t="s">
        <v>143</v>
      </c>
      <c r="E84" s="116" t="s">
        <v>144</v>
      </c>
      <c r="F84" s="116" t="s">
        <v>145</v>
      </c>
      <c r="G84" s="116" t="s">
        <v>146</v>
      </c>
      <c r="H84" s="116" t="s">
        <v>147</v>
      </c>
      <c r="I84" s="116" t="s">
        <v>148</v>
      </c>
      <c r="J84" s="116" t="s">
        <v>149</v>
      </c>
      <c r="K84" s="116" t="s">
        <v>151</v>
      </c>
      <c r="L84" s="116" t="s">
        <v>152</v>
      </c>
      <c r="M84" s="116" t="s">
        <v>153</v>
      </c>
      <c r="N84" s="116" t="s">
        <v>159</v>
      </c>
      <c r="O84" s="50"/>
      <c r="P84" s="154"/>
      <c r="Q84" s="163"/>
      <c r="R84" s="163"/>
      <c r="S84" s="163"/>
      <c r="T84" s="163"/>
      <c r="U84" s="163"/>
      <c r="V84" s="164"/>
      <c r="W84" s="165"/>
      <c r="X84" s="165"/>
      <c r="Y84" s="165"/>
      <c r="Z84" s="165"/>
    </row>
    <row r="85" spans="1:26" s="1" customFormat="1" ht="12.75" customHeight="1" thickBot="1" x14ac:dyDescent="0.25">
      <c r="A85" s="102" t="s">
        <v>1</v>
      </c>
      <c r="B85" s="143">
        <v>18748.32258</v>
      </c>
      <c r="C85" s="144">
        <v>16874.733329999999</v>
      </c>
      <c r="D85" s="143">
        <v>16438.2</v>
      </c>
      <c r="E85" s="144">
        <v>0</v>
      </c>
      <c r="F85" s="143">
        <v>0</v>
      </c>
      <c r="G85" s="144">
        <v>0</v>
      </c>
      <c r="H85" s="144">
        <v>0</v>
      </c>
      <c r="I85" s="143">
        <v>0</v>
      </c>
      <c r="J85" s="144">
        <v>0</v>
      </c>
      <c r="K85" s="143">
        <v>0</v>
      </c>
      <c r="L85" s="143">
        <v>0</v>
      </c>
      <c r="M85" s="144">
        <v>0</v>
      </c>
      <c r="N85" s="143">
        <v>17721.681820000002</v>
      </c>
      <c r="O85" s="50"/>
      <c r="P85" s="154"/>
      <c r="Q85" s="154"/>
      <c r="R85" s="154"/>
      <c r="S85" s="154"/>
      <c r="T85" s="162"/>
      <c r="U85" s="154"/>
      <c r="V85" s="166"/>
      <c r="W85" s="167"/>
      <c r="X85" s="167"/>
      <c r="Y85" s="167"/>
      <c r="Z85" s="167"/>
    </row>
    <row r="86" spans="1:26" s="1" customFormat="1" ht="12.75" thickTop="1" x14ac:dyDescent="0.2">
      <c r="A86" s="103" t="s">
        <v>130</v>
      </c>
      <c r="B86" s="145">
        <v>321.25806</v>
      </c>
      <c r="C86" s="145">
        <v>256.86667</v>
      </c>
      <c r="D86" s="145">
        <v>323.39999999999998</v>
      </c>
      <c r="E86" s="145">
        <v>0</v>
      </c>
      <c r="F86" s="145">
        <v>0</v>
      </c>
      <c r="G86" s="145">
        <v>0</v>
      </c>
      <c r="H86" s="145">
        <v>0</v>
      </c>
      <c r="I86" s="145">
        <v>0</v>
      </c>
      <c r="J86" s="145">
        <v>0</v>
      </c>
      <c r="K86" s="145">
        <v>0</v>
      </c>
      <c r="L86" s="145">
        <v>0</v>
      </c>
      <c r="M86" s="145">
        <v>0</v>
      </c>
      <c r="N86" s="145">
        <v>292.15152</v>
      </c>
      <c r="O86" s="50"/>
      <c r="P86" s="154"/>
      <c r="Q86" s="154"/>
      <c r="R86" s="154"/>
      <c r="S86" s="154"/>
      <c r="T86" s="154"/>
      <c r="U86" s="154"/>
      <c r="V86" s="166"/>
      <c r="W86" s="167"/>
      <c r="X86" s="167"/>
      <c r="Y86" s="167"/>
      <c r="Z86" s="167"/>
    </row>
    <row r="87" spans="1:26" s="1" customFormat="1" ht="12" x14ac:dyDescent="0.2">
      <c r="A87" s="104" t="s">
        <v>131</v>
      </c>
      <c r="B87" s="146">
        <v>18427.06452</v>
      </c>
      <c r="C87" s="146">
        <v>16617.866669999999</v>
      </c>
      <c r="D87" s="146">
        <v>16114.8</v>
      </c>
      <c r="E87" s="146">
        <v>0</v>
      </c>
      <c r="F87" s="146">
        <v>0</v>
      </c>
      <c r="G87" s="146">
        <v>0</v>
      </c>
      <c r="H87" s="146">
        <v>0</v>
      </c>
      <c r="I87" s="146">
        <v>0</v>
      </c>
      <c r="J87" s="146">
        <v>0</v>
      </c>
      <c r="K87" s="146">
        <v>0</v>
      </c>
      <c r="L87" s="146">
        <v>0</v>
      </c>
      <c r="M87" s="146">
        <v>0</v>
      </c>
      <c r="N87" s="146">
        <v>17429.530299999999</v>
      </c>
      <c r="O87" s="50"/>
      <c r="P87" s="154"/>
      <c r="Q87" s="154"/>
      <c r="R87" s="154"/>
      <c r="S87" s="154"/>
      <c r="T87" s="154"/>
      <c r="U87" s="154"/>
      <c r="V87" s="166"/>
      <c r="W87" s="167"/>
      <c r="X87" s="167"/>
      <c r="Y87" s="167"/>
      <c r="Z87" s="167"/>
    </row>
    <row r="88" spans="1:26" s="3" customFormat="1" ht="23.25" customHeight="1" x14ac:dyDescent="0.2">
      <c r="A88" s="107"/>
      <c r="B88" s="6"/>
      <c r="C88" s="6"/>
      <c r="D88" s="6"/>
      <c r="E88" s="6"/>
      <c r="F88" s="5"/>
      <c r="G88" s="5"/>
      <c r="H88" s="5"/>
      <c r="I88" s="5"/>
      <c r="J88" s="5"/>
      <c r="K88" s="5"/>
      <c r="L88" s="50"/>
      <c r="M88" s="50"/>
      <c r="N88" s="50"/>
      <c r="O88" s="50"/>
      <c r="P88" s="154"/>
      <c r="Q88" s="154"/>
      <c r="R88" s="154"/>
      <c r="S88" s="154"/>
      <c r="T88" s="154"/>
      <c r="U88" s="154"/>
      <c r="V88" s="166"/>
      <c r="W88" s="168"/>
      <c r="X88" s="168"/>
      <c r="Y88" s="168"/>
    </row>
    <row r="89" spans="1:26" s="1" customFormat="1" ht="12.75" customHeight="1" x14ac:dyDescent="0.2">
      <c r="A89" s="244"/>
      <c r="B89" s="228"/>
      <c r="C89" s="228"/>
      <c r="D89" s="228"/>
      <c r="E89" s="228"/>
      <c r="F89" s="228"/>
      <c r="G89" s="228"/>
      <c r="H89" s="228"/>
      <c r="I89" s="228"/>
      <c r="J89" s="228"/>
      <c r="K89" s="228"/>
      <c r="L89" s="228"/>
      <c r="M89" s="228"/>
      <c r="N89" s="228"/>
      <c r="O89" s="228"/>
      <c r="P89" s="228"/>
      <c r="Q89" s="228"/>
      <c r="R89" s="228"/>
      <c r="S89" s="228"/>
      <c r="T89" s="228"/>
      <c r="U89" s="228"/>
      <c r="V89" s="245"/>
    </row>
    <row r="90" spans="1:26" s="1" customFormat="1" ht="12.75" customHeight="1" x14ac:dyDescent="0.2">
      <c r="A90" s="107"/>
      <c r="B90" s="6"/>
      <c r="C90" s="6"/>
      <c r="D90" s="6"/>
      <c r="E90" s="6"/>
      <c r="F90" s="5"/>
      <c r="G90" s="5"/>
      <c r="H90" s="5"/>
      <c r="I90" s="5"/>
      <c r="J90" s="5"/>
      <c r="K90" s="5"/>
      <c r="L90" s="50"/>
      <c r="M90" s="50"/>
      <c r="N90" s="50"/>
      <c r="O90" s="50"/>
      <c r="P90" s="50"/>
      <c r="Q90" s="50"/>
      <c r="R90" s="50"/>
      <c r="S90" s="50"/>
      <c r="T90" s="50"/>
      <c r="U90" s="50"/>
      <c r="V90" s="48"/>
    </row>
    <row r="91" spans="1:26" s="8" customFormat="1" ht="24.75" customHeight="1" x14ac:dyDescent="0.2">
      <c r="A91" s="243" t="s">
        <v>802</v>
      </c>
      <c r="B91" s="210"/>
      <c r="C91" s="210"/>
      <c r="D91" s="210"/>
      <c r="E91" s="210"/>
      <c r="F91" s="210"/>
      <c r="G91" s="210"/>
      <c r="H91" s="210"/>
      <c r="I91" s="210"/>
      <c r="J91" s="210"/>
      <c r="K91" s="210"/>
      <c r="L91" s="210"/>
      <c r="M91" s="210"/>
      <c r="N91" s="210"/>
      <c r="O91" s="50"/>
      <c r="P91" s="163"/>
      <c r="Q91" s="163"/>
      <c r="R91" s="163"/>
      <c r="S91" s="163"/>
      <c r="T91" s="163"/>
      <c r="U91" s="163"/>
      <c r="V91" s="164"/>
      <c r="W91" s="169"/>
      <c r="X91" s="169"/>
      <c r="Y91" s="169"/>
      <c r="Z91" s="169"/>
    </row>
    <row r="92" spans="1:26" s="1" customFormat="1" ht="12" x14ac:dyDescent="0.2">
      <c r="A92" s="39" t="s">
        <v>155</v>
      </c>
      <c r="B92" s="116" t="s">
        <v>141</v>
      </c>
      <c r="C92" s="116" t="s">
        <v>142</v>
      </c>
      <c r="D92" s="116" t="s">
        <v>143</v>
      </c>
      <c r="E92" s="116" t="s">
        <v>144</v>
      </c>
      <c r="F92" s="116" t="s">
        <v>145</v>
      </c>
      <c r="G92" s="116" t="s">
        <v>146</v>
      </c>
      <c r="H92" s="116" t="s">
        <v>147</v>
      </c>
      <c r="I92" s="116" t="s">
        <v>148</v>
      </c>
      <c r="J92" s="116" t="s">
        <v>149</v>
      </c>
      <c r="K92" s="116" t="s">
        <v>151</v>
      </c>
      <c r="L92" s="116" t="s">
        <v>152</v>
      </c>
      <c r="M92" s="116" t="s">
        <v>153</v>
      </c>
      <c r="N92" s="116" t="s">
        <v>159</v>
      </c>
      <c r="O92" s="50"/>
      <c r="P92" s="163"/>
      <c r="Q92" s="163"/>
      <c r="R92" s="163"/>
      <c r="S92" s="50"/>
      <c r="T92" s="50"/>
      <c r="U92" s="50"/>
      <c r="V92" s="48"/>
    </row>
    <row r="93" spans="1:26" s="1" customFormat="1" ht="12.75" customHeight="1" thickBot="1" x14ac:dyDescent="0.25">
      <c r="A93" s="102" t="s">
        <v>1</v>
      </c>
      <c r="B93" s="148">
        <v>86.514560000000003</v>
      </c>
      <c r="C93" s="149">
        <v>84.611599999999996</v>
      </c>
      <c r="D93" s="148">
        <v>81.561970000000002</v>
      </c>
      <c r="E93" s="149">
        <v>0</v>
      </c>
      <c r="F93" s="148">
        <v>0</v>
      </c>
      <c r="G93" s="149">
        <v>0</v>
      </c>
      <c r="H93" s="149">
        <v>0</v>
      </c>
      <c r="I93" s="148">
        <v>0</v>
      </c>
      <c r="J93" s="149">
        <v>0</v>
      </c>
      <c r="K93" s="148">
        <v>0</v>
      </c>
      <c r="L93" s="148">
        <v>0</v>
      </c>
      <c r="M93" s="149">
        <v>0</v>
      </c>
      <c r="N93" s="148">
        <v>85.345470000000006</v>
      </c>
      <c r="O93" s="50"/>
      <c r="P93" s="50"/>
      <c r="Q93" s="50"/>
      <c r="R93" s="50"/>
      <c r="S93" s="50"/>
      <c r="T93" s="50"/>
      <c r="U93" s="50"/>
      <c r="V93" s="48"/>
    </row>
    <row r="94" spans="1:26" s="1" customFormat="1" ht="12.75" thickTop="1" x14ac:dyDescent="0.2">
      <c r="A94" s="103" t="s">
        <v>130</v>
      </c>
      <c r="B94" s="150">
        <v>129.11493999999999</v>
      </c>
      <c r="C94" s="150">
        <v>81.1875</v>
      </c>
      <c r="D94" s="150">
        <v>28.5</v>
      </c>
      <c r="E94" s="150">
        <v>0</v>
      </c>
      <c r="F94" s="150">
        <v>0</v>
      </c>
      <c r="G94" s="150">
        <v>0</v>
      </c>
      <c r="H94" s="150">
        <v>0</v>
      </c>
      <c r="I94" s="150">
        <v>0</v>
      </c>
      <c r="J94" s="150">
        <v>0</v>
      </c>
      <c r="K94" s="150">
        <v>0</v>
      </c>
      <c r="L94" s="150">
        <v>0</v>
      </c>
      <c r="M94" s="150">
        <v>0</v>
      </c>
      <c r="N94" s="150">
        <v>118.18692</v>
      </c>
      <c r="O94" s="50"/>
      <c r="P94" s="50"/>
      <c r="Q94" s="50"/>
      <c r="R94" s="50"/>
      <c r="S94" s="50"/>
      <c r="T94" s="50"/>
      <c r="U94" s="50"/>
      <c r="V94" s="48"/>
    </row>
    <row r="95" spans="1:26" s="1" customFormat="1" ht="12" x14ac:dyDescent="0.2">
      <c r="A95" s="104" t="s">
        <v>131</v>
      </c>
      <c r="B95" s="147">
        <v>86.193730000000002</v>
      </c>
      <c r="C95" s="147">
        <v>84.617829999999998</v>
      </c>
      <c r="D95" s="147">
        <v>81.674629999999993</v>
      </c>
      <c r="E95" s="147">
        <v>0</v>
      </c>
      <c r="F95" s="147">
        <v>0</v>
      </c>
      <c r="G95" s="147">
        <v>0</v>
      </c>
      <c r="H95" s="147">
        <v>0</v>
      </c>
      <c r="I95" s="147">
        <v>0</v>
      </c>
      <c r="J95" s="147">
        <v>0</v>
      </c>
      <c r="K95" s="147">
        <v>0</v>
      </c>
      <c r="L95" s="147">
        <v>0</v>
      </c>
      <c r="M95" s="147">
        <v>0</v>
      </c>
      <c r="N95" s="147">
        <v>85.187380000000005</v>
      </c>
      <c r="O95" s="50"/>
      <c r="P95" s="50"/>
      <c r="Q95" s="50"/>
      <c r="R95" s="50"/>
      <c r="S95" s="50"/>
      <c r="T95" s="50"/>
      <c r="U95" s="50"/>
      <c r="V95" s="48"/>
    </row>
    <row r="96" spans="1:26" s="53" customFormat="1" x14ac:dyDescent="0.25">
      <c r="A96" s="114"/>
      <c r="B96" s="52"/>
      <c r="C96" s="52"/>
      <c r="D96" s="52"/>
      <c r="E96" s="52"/>
      <c r="F96" s="52"/>
      <c r="G96" s="52"/>
      <c r="H96" s="52"/>
      <c r="I96" s="52"/>
      <c r="J96" s="52"/>
      <c r="K96" s="52"/>
      <c r="L96" s="52"/>
      <c r="M96" s="52"/>
      <c r="N96" s="52"/>
      <c r="O96" s="52"/>
      <c r="P96" s="52"/>
      <c r="Q96" s="52"/>
      <c r="R96" s="52"/>
      <c r="S96" s="52"/>
      <c r="T96" s="52"/>
      <c r="U96" s="52"/>
      <c r="V96" s="115"/>
    </row>
    <row r="97" spans="1:22" s="53" customFormat="1" ht="15.75" thickBot="1" x14ac:dyDescent="0.3">
      <c r="A97" s="221"/>
      <c r="B97" s="222"/>
      <c r="C97" s="222"/>
      <c r="D97" s="222"/>
      <c r="E97" s="222"/>
      <c r="F97" s="222"/>
      <c r="G97" s="222"/>
      <c r="H97" s="222"/>
      <c r="I97" s="222"/>
      <c r="J97" s="222"/>
      <c r="K97" s="222"/>
      <c r="L97" s="222"/>
      <c r="M97" s="222"/>
      <c r="N97" s="222"/>
      <c r="O97" s="222"/>
      <c r="P97" s="222"/>
      <c r="Q97" s="222"/>
      <c r="R97" s="222"/>
      <c r="S97" s="222"/>
      <c r="T97" s="222"/>
      <c r="U97" s="222"/>
      <c r="V97" s="223"/>
    </row>
    <row r="98" spans="1:22" s="53" customFormat="1" x14ac:dyDescent="0.25">
      <c r="A98" s="86"/>
    </row>
    <row r="99" spans="1:22" x14ac:dyDescent="0.25">
      <c r="B99" s="152"/>
      <c r="C99" s="152"/>
      <c r="D99" s="152"/>
      <c r="E99" s="152"/>
      <c r="F99" s="152"/>
      <c r="G99" s="152"/>
      <c r="H99" s="152"/>
      <c r="I99" s="152"/>
      <c r="J99" s="152"/>
      <c r="K99" s="152"/>
    </row>
    <row r="100" spans="1:22" x14ac:dyDescent="0.25">
      <c r="B100" s="152"/>
      <c r="C100" s="152"/>
      <c r="D100" s="152"/>
      <c r="E100" s="152"/>
      <c r="F100" s="152"/>
      <c r="G100" s="152"/>
      <c r="H100" s="152"/>
      <c r="I100" s="152"/>
      <c r="J100" s="152"/>
      <c r="K100" s="152"/>
      <c r="L100" s="152"/>
      <c r="M100" s="152"/>
    </row>
    <row r="101" spans="1:22" x14ac:dyDescent="0.25">
      <c r="B101" s="153"/>
      <c r="C101" s="153"/>
      <c r="D101" s="153"/>
      <c r="E101" s="153"/>
      <c r="F101" s="153"/>
      <c r="G101" s="153"/>
      <c r="H101" s="153"/>
      <c r="I101" s="153"/>
      <c r="J101" s="153"/>
      <c r="K101" s="153"/>
      <c r="L101" s="152"/>
      <c r="M101" s="152"/>
    </row>
    <row r="102" spans="1:22" x14ac:dyDescent="0.25">
      <c r="B102" s="153"/>
      <c r="C102" s="153"/>
      <c r="D102" s="153"/>
      <c r="E102" s="153"/>
      <c r="F102" s="153"/>
      <c r="G102" s="153"/>
      <c r="H102" s="153"/>
      <c r="I102" s="153"/>
      <c r="J102" s="153"/>
      <c r="K102" s="153"/>
      <c r="L102" s="153"/>
      <c r="M102" s="153"/>
    </row>
    <row r="103" spans="1:22" x14ac:dyDescent="0.25">
      <c r="B103" s="153"/>
      <c r="C103" s="153"/>
      <c r="D103" s="153"/>
      <c r="E103" s="153"/>
      <c r="F103" s="153"/>
      <c r="G103" s="153"/>
      <c r="H103" s="153"/>
      <c r="I103" s="153"/>
      <c r="J103" s="153"/>
      <c r="K103" s="153"/>
      <c r="L103" s="159"/>
      <c r="M103" s="153"/>
    </row>
    <row r="104" spans="1:22" x14ac:dyDescent="0.25">
      <c r="B104" s="153"/>
      <c r="C104" s="153"/>
      <c r="D104" s="153"/>
      <c r="E104" s="153"/>
      <c r="F104" s="153"/>
      <c r="G104" s="153"/>
      <c r="H104" s="153"/>
      <c r="I104" s="153"/>
      <c r="J104" s="153"/>
      <c r="K104" s="153"/>
      <c r="L104" s="153"/>
    </row>
    <row r="105" spans="1:22" x14ac:dyDescent="0.25">
      <c r="B105" s="153"/>
      <c r="C105" s="153"/>
      <c r="D105" s="153"/>
      <c r="E105" s="153"/>
      <c r="F105" s="153"/>
      <c r="G105" s="153"/>
    </row>
    <row r="106" spans="1:22" x14ac:dyDescent="0.25">
      <c r="B106" s="153"/>
      <c r="C106" s="153"/>
      <c r="E106" s="153"/>
    </row>
    <row r="107" spans="1:22" x14ac:dyDescent="0.25">
      <c r="B107" s="153"/>
      <c r="C107" s="153"/>
    </row>
  </sheetData>
  <sheetProtection sheet="1" objects="1" scenarios="1"/>
  <mergeCells count="54">
    <mergeCell ref="A4:V4"/>
    <mergeCell ref="A1:D1"/>
    <mergeCell ref="A2:D2"/>
    <mergeCell ref="E2:H2"/>
    <mergeCell ref="I2:L2"/>
    <mergeCell ref="M2:P2"/>
    <mergeCell ref="A3:D3"/>
    <mergeCell ref="A64:V64"/>
    <mergeCell ref="A81:V81"/>
    <mergeCell ref="A89:V89"/>
    <mergeCell ref="G9:H9"/>
    <mergeCell ref="A6:V6"/>
    <mergeCell ref="A8:D8"/>
    <mergeCell ref="G8:K8"/>
    <mergeCell ref="G10:H10"/>
    <mergeCell ref="G11:H11"/>
    <mergeCell ref="A18:F18"/>
    <mergeCell ref="A16:V16"/>
    <mergeCell ref="A25:V25"/>
    <mergeCell ref="M10:N10"/>
    <mergeCell ref="M11:N11"/>
    <mergeCell ref="M12:N12"/>
    <mergeCell ref="O10:Q10"/>
    <mergeCell ref="A97:V97"/>
    <mergeCell ref="H28:I28"/>
    <mergeCell ref="H29:I29"/>
    <mergeCell ref="H30:I30"/>
    <mergeCell ref="H31:I31"/>
    <mergeCell ref="J28:L28"/>
    <mergeCell ref="A47:V47"/>
    <mergeCell ref="N28:O28"/>
    <mergeCell ref="P28:R28"/>
    <mergeCell ref="N29:O29"/>
    <mergeCell ref="N30:O30"/>
    <mergeCell ref="P29:R29"/>
    <mergeCell ref="A33:V33"/>
    <mergeCell ref="A66:N66"/>
    <mergeCell ref="A83:N83"/>
    <mergeCell ref="A91:N91"/>
    <mergeCell ref="A49:N49"/>
    <mergeCell ref="I18:V18"/>
    <mergeCell ref="A27:E27"/>
    <mergeCell ref="H27:L27"/>
    <mergeCell ref="N27:R27"/>
    <mergeCell ref="A36:E36"/>
    <mergeCell ref="P30:R30"/>
    <mergeCell ref="J30:L30"/>
    <mergeCell ref="J31:L31"/>
    <mergeCell ref="O12:Q12"/>
    <mergeCell ref="M9:N9"/>
    <mergeCell ref="O9:Q9"/>
    <mergeCell ref="M8:Q8"/>
    <mergeCell ref="J29:L29"/>
    <mergeCell ref="O11:Q11"/>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EA78A-76BF-43C8-899E-C94F57AF823C}">
  <dimension ref="A1:AE174"/>
  <sheetViews>
    <sheetView tabSelected="1" zoomScale="80" zoomScaleNormal="80" workbookViewId="0">
      <selection activeCell="A31" sqref="A31"/>
    </sheetView>
  </sheetViews>
  <sheetFormatPr defaultColWidth="9.42578125" defaultRowHeight="15" x14ac:dyDescent="0.25"/>
  <cols>
    <col min="1" max="1" width="72.5703125" customWidth="1"/>
    <col min="2" max="2" width="40.5703125" customWidth="1"/>
    <col min="3" max="3" width="27.5703125" customWidth="1"/>
    <col min="4" max="4" width="10" customWidth="1"/>
    <col min="5" max="5" width="8" customWidth="1"/>
    <col min="6" max="6" width="10.42578125" customWidth="1"/>
    <col min="7" max="7" width="23.5703125" customWidth="1"/>
    <col min="8" max="8" width="14.42578125" customWidth="1"/>
    <col min="9" max="9" width="23.42578125" customWidth="1"/>
    <col min="10" max="10" width="17.5703125" customWidth="1"/>
    <col min="11" max="11" width="20" customWidth="1"/>
    <col min="12" max="12" width="11.5703125" customWidth="1"/>
    <col min="13" max="13" width="13.42578125" customWidth="1"/>
    <col min="14" max="15" width="14.5703125" customWidth="1"/>
    <col min="16" max="19" width="13.42578125" customWidth="1"/>
    <col min="20" max="21" width="12" customWidth="1"/>
    <col min="22" max="22" width="18.5703125" customWidth="1"/>
    <col min="23" max="23" width="14.5703125" customWidth="1"/>
    <col min="24" max="24" width="12.42578125" customWidth="1"/>
    <col min="25" max="25" width="22.5703125" customWidth="1"/>
    <col min="26" max="26" width="23.42578125" customWidth="1"/>
    <col min="27" max="27" width="16.5703125" customWidth="1"/>
    <col min="28" max="28" width="16.42578125" customWidth="1"/>
    <col min="29" max="29" width="20.5703125" customWidth="1"/>
    <col min="30" max="30" width="16" customWidth="1"/>
    <col min="31" max="31" width="16.42578125" customWidth="1"/>
  </cols>
  <sheetData>
    <row r="1" spans="1:31" s="11" customFormat="1" ht="26.25" x14ac:dyDescent="0.25">
      <c r="A1" s="199" t="s">
        <v>55</v>
      </c>
      <c r="B1" s="199"/>
      <c r="C1" s="199"/>
      <c r="D1" s="199"/>
      <c r="E1" s="31"/>
      <c r="F1" s="31"/>
      <c r="G1" s="31"/>
      <c r="H1" s="31"/>
      <c r="I1" s="31"/>
      <c r="J1" s="31"/>
      <c r="K1" s="31"/>
      <c r="L1" s="31"/>
      <c r="M1" s="31"/>
      <c r="N1" s="31"/>
      <c r="O1" s="31"/>
      <c r="P1" s="31"/>
      <c r="Q1" s="31"/>
      <c r="R1" s="31"/>
      <c r="S1" s="31"/>
      <c r="T1" s="31"/>
      <c r="U1" s="31"/>
      <c r="V1" s="31"/>
      <c r="W1" s="31"/>
      <c r="X1" s="31"/>
      <c r="Y1" s="31"/>
      <c r="Z1" s="31"/>
      <c r="AA1" s="31"/>
      <c r="AB1" s="31"/>
      <c r="AC1" s="31"/>
      <c r="AD1" s="31"/>
      <c r="AE1" s="31"/>
    </row>
    <row r="2" spans="1:31" s="11" customFormat="1" ht="74.25" customHeight="1" x14ac:dyDescent="0.25">
      <c r="A2" s="200" t="s">
        <v>56</v>
      </c>
      <c r="B2" s="200"/>
      <c r="C2" s="200"/>
      <c r="D2" s="200"/>
      <c r="E2" s="31"/>
      <c r="F2" s="31"/>
      <c r="G2" s="31"/>
      <c r="H2" s="31"/>
      <c r="I2" s="31"/>
      <c r="J2" s="31"/>
      <c r="K2" s="31"/>
      <c r="L2" s="31"/>
      <c r="M2" s="31"/>
      <c r="N2" s="31"/>
      <c r="O2" s="31"/>
      <c r="P2" s="31"/>
      <c r="Q2" s="31"/>
      <c r="R2" s="31"/>
      <c r="S2" s="31"/>
      <c r="T2" s="31"/>
      <c r="U2" s="31"/>
      <c r="V2" s="31"/>
      <c r="W2" s="31"/>
      <c r="X2" s="31"/>
      <c r="Y2" s="31"/>
      <c r="Z2" s="31"/>
      <c r="AA2" s="31"/>
      <c r="AB2" s="31"/>
      <c r="AC2" s="31"/>
      <c r="AD2" s="31"/>
      <c r="AE2" s="31"/>
    </row>
    <row r="3" spans="1:31" s="11" customFormat="1" ht="48.6" customHeight="1" x14ac:dyDescent="0.25">
      <c r="A3" s="198" t="s">
        <v>788</v>
      </c>
      <c r="B3" s="198"/>
      <c r="C3" s="198"/>
      <c r="D3" s="198"/>
      <c r="E3" s="198"/>
      <c r="F3" s="198"/>
      <c r="G3" s="198"/>
      <c r="H3" s="198"/>
      <c r="I3" s="198"/>
      <c r="J3" s="198"/>
      <c r="K3" s="198"/>
      <c r="L3" s="198"/>
      <c r="M3" s="198"/>
      <c r="N3" s="198"/>
      <c r="O3" s="198"/>
      <c r="P3" s="198"/>
      <c r="Q3" s="198"/>
      <c r="R3" s="198"/>
      <c r="S3" s="198"/>
      <c r="T3" s="198"/>
      <c r="U3" s="198"/>
      <c r="V3" s="198"/>
      <c r="W3" s="198"/>
      <c r="X3" s="198"/>
      <c r="Y3" s="198"/>
      <c r="Z3" s="198"/>
      <c r="AA3" s="198"/>
      <c r="AB3" s="198"/>
      <c r="AC3" s="198"/>
      <c r="AD3" s="198"/>
      <c r="AE3" s="198"/>
    </row>
    <row r="4" spans="1:31" s="8" customFormat="1" ht="30.75" customHeight="1" thickBot="1" x14ac:dyDescent="0.25">
      <c r="A4" s="255" t="s">
        <v>803</v>
      </c>
      <c r="B4" s="255"/>
      <c r="C4" s="255"/>
      <c r="D4" s="255"/>
      <c r="E4" s="255"/>
      <c r="F4" s="255"/>
      <c r="G4" s="255"/>
      <c r="H4" s="255"/>
      <c r="I4" s="255"/>
      <c r="J4" s="255"/>
      <c r="K4" s="255"/>
      <c r="L4" s="255"/>
      <c r="M4" s="255"/>
      <c r="N4" s="255"/>
      <c r="O4" s="255"/>
      <c r="P4" s="255"/>
      <c r="Q4" s="255"/>
      <c r="R4" s="255"/>
      <c r="S4" s="255"/>
      <c r="T4" s="255"/>
      <c r="U4" s="255"/>
      <c r="V4" s="255"/>
      <c r="W4" s="280"/>
      <c r="X4" s="280"/>
      <c r="Y4" s="280"/>
      <c r="Z4" s="280"/>
    </row>
    <row r="5" spans="1:31" s="276" customFormat="1" ht="36" customHeight="1" x14ac:dyDescent="0.2">
      <c r="A5" s="54" t="s">
        <v>160</v>
      </c>
      <c r="B5" s="12"/>
      <c r="C5" s="12"/>
      <c r="D5" s="12"/>
      <c r="E5" s="12"/>
      <c r="F5" s="12"/>
      <c r="G5" s="12"/>
      <c r="H5" s="12"/>
      <c r="I5" s="12" t="s">
        <v>161</v>
      </c>
      <c r="J5" s="279" t="s">
        <v>789</v>
      </c>
      <c r="K5" s="279"/>
      <c r="L5" s="279"/>
      <c r="M5" s="279"/>
      <c r="N5" s="256" t="s">
        <v>790</v>
      </c>
      <c r="O5" s="256"/>
      <c r="P5" s="256"/>
      <c r="Q5" s="256"/>
      <c r="R5" s="254" t="s">
        <v>791</v>
      </c>
      <c r="S5" s="254"/>
      <c r="T5" s="254"/>
      <c r="U5" s="254"/>
      <c r="V5" s="33" t="s">
        <v>792</v>
      </c>
      <c r="W5" s="254" t="s">
        <v>162</v>
      </c>
      <c r="X5" s="254"/>
      <c r="Y5" s="254"/>
      <c r="Z5" s="254"/>
      <c r="AA5" s="254"/>
      <c r="AB5" s="254"/>
      <c r="AC5" s="254"/>
      <c r="AD5" s="254"/>
      <c r="AE5" s="254"/>
    </row>
    <row r="6" spans="1:31" s="276" customFormat="1" ht="20.25" customHeight="1" x14ac:dyDescent="0.2">
      <c r="A6" s="55" t="s">
        <v>930</v>
      </c>
      <c r="B6" s="277"/>
      <c r="C6" s="277"/>
      <c r="D6" s="277"/>
      <c r="E6" s="277"/>
      <c r="F6" s="277"/>
      <c r="G6" s="277"/>
      <c r="H6" s="277"/>
      <c r="I6" s="278"/>
      <c r="J6" s="277"/>
      <c r="K6" s="277"/>
      <c r="L6" s="277"/>
      <c r="M6" s="277"/>
      <c r="N6" s="277"/>
      <c r="O6" s="277"/>
      <c r="P6" s="277"/>
      <c r="Q6" s="277"/>
      <c r="R6" s="197"/>
      <c r="S6" s="197"/>
      <c r="T6" s="197"/>
      <c r="U6" s="197"/>
      <c r="V6" s="33"/>
      <c r="W6" s="197"/>
      <c r="X6" s="197"/>
      <c r="Y6" s="197"/>
      <c r="Z6" s="197"/>
      <c r="AA6" s="197"/>
      <c r="AB6" s="197"/>
      <c r="AC6" s="197"/>
      <c r="AD6" s="197"/>
      <c r="AE6" s="197"/>
    </row>
    <row r="7" spans="1:31" s="276" customFormat="1" ht="48" customHeight="1" x14ac:dyDescent="0.25">
      <c r="A7" s="13" t="s">
        <v>163</v>
      </c>
      <c r="B7" s="14" t="s">
        <v>164</v>
      </c>
      <c r="C7" s="14" t="s">
        <v>165</v>
      </c>
      <c r="D7" s="14" t="s">
        <v>166</v>
      </c>
      <c r="E7" s="15" t="s">
        <v>167</v>
      </c>
      <c r="F7" s="14" t="s">
        <v>63</v>
      </c>
      <c r="G7" s="16" t="s">
        <v>168</v>
      </c>
      <c r="H7" s="17" t="s">
        <v>100</v>
      </c>
      <c r="I7" s="18" t="s">
        <v>793</v>
      </c>
      <c r="J7" s="19" t="s">
        <v>169</v>
      </c>
      <c r="K7" s="20" t="s">
        <v>170</v>
      </c>
      <c r="L7" s="21" t="s">
        <v>171</v>
      </c>
      <c r="M7" s="32" t="s">
        <v>172</v>
      </c>
      <c r="N7" s="19" t="s">
        <v>173</v>
      </c>
      <c r="O7" s="20" t="s">
        <v>174</v>
      </c>
      <c r="P7" s="21" t="s">
        <v>175</v>
      </c>
      <c r="Q7" s="22" t="s">
        <v>176</v>
      </c>
      <c r="R7" s="19" t="s">
        <v>177</v>
      </c>
      <c r="S7" s="20" t="s">
        <v>178</v>
      </c>
      <c r="T7" s="21" t="s">
        <v>179</v>
      </c>
      <c r="U7" s="32" t="s">
        <v>180</v>
      </c>
      <c r="V7" s="19" t="s">
        <v>181</v>
      </c>
      <c r="W7" s="20" t="s">
        <v>182</v>
      </c>
      <c r="X7" s="14" t="s">
        <v>183</v>
      </c>
      <c r="Y7" s="14" t="s">
        <v>98</v>
      </c>
      <c r="Z7" s="14" t="s">
        <v>184</v>
      </c>
      <c r="AA7" s="14" t="s">
        <v>94</v>
      </c>
      <c r="AB7" s="14" t="s">
        <v>185</v>
      </c>
      <c r="AC7" s="14" t="s">
        <v>108</v>
      </c>
      <c r="AD7" s="14" t="s">
        <v>186</v>
      </c>
      <c r="AE7" s="35" t="s">
        <v>112</v>
      </c>
    </row>
    <row r="8" spans="1:31" s="276" customFormat="1" ht="12.75" customHeight="1" x14ac:dyDescent="0.2">
      <c r="A8" s="23" t="s">
        <v>198</v>
      </c>
      <c r="B8" s="24" t="s">
        <v>199</v>
      </c>
      <c r="C8" s="24" t="s">
        <v>200</v>
      </c>
      <c r="D8" s="24" t="s">
        <v>201</v>
      </c>
      <c r="E8" s="24">
        <v>31815</v>
      </c>
      <c r="F8" s="24" t="s">
        <v>202</v>
      </c>
      <c r="G8" s="24" t="s">
        <v>191</v>
      </c>
      <c r="H8" s="24" t="s">
        <v>5</v>
      </c>
      <c r="I8" s="25">
        <v>48.837631327602701</v>
      </c>
      <c r="J8" s="26">
        <v>216.91525423728822</v>
      </c>
      <c r="K8" s="26">
        <v>185.15254237288164</v>
      </c>
      <c r="L8" s="26">
        <v>202.77966101694938</v>
      </c>
      <c r="M8" s="26">
        <v>203.13559322033905</v>
      </c>
      <c r="N8" s="26">
        <v>525.54237288135516</v>
      </c>
      <c r="O8" s="26">
        <v>282.42372881355919</v>
      </c>
      <c r="P8" s="26">
        <v>1.6949152542372881E-2</v>
      </c>
      <c r="Q8" s="26">
        <v>0</v>
      </c>
      <c r="R8" s="26">
        <v>311.6440677966101</v>
      </c>
      <c r="S8" s="26">
        <v>113.22033898305094</v>
      </c>
      <c r="T8" s="26">
        <v>98.644067796610202</v>
      </c>
      <c r="U8" s="26">
        <v>284.47457627118632</v>
      </c>
      <c r="V8" s="26">
        <v>638.83050847457423</v>
      </c>
      <c r="W8" s="27">
        <v>1600</v>
      </c>
      <c r="X8" s="24" t="s">
        <v>193</v>
      </c>
      <c r="Y8" s="24" t="s">
        <v>194</v>
      </c>
      <c r="Z8" s="24" t="s">
        <v>197</v>
      </c>
      <c r="AA8" s="28" t="s">
        <v>928</v>
      </c>
      <c r="AB8" s="24" t="s">
        <v>193</v>
      </c>
      <c r="AC8" s="24" t="s">
        <v>194</v>
      </c>
      <c r="AD8" s="24" t="s">
        <v>195</v>
      </c>
      <c r="AE8" s="36">
        <v>43594</v>
      </c>
    </row>
    <row r="9" spans="1:31" ht="15.75" x14ac:dyDescent="0.25">
      <c r="A9" s="23" t="s">
        <v>20</v>
      </c>
      <c r="B9" s="24" t="s">
        <v>203</v>
      </c>
      <c r="C9" s="24" t="s">
        <v>204</v>
      </c>
      <c r="D9" s="24" t="s">
        <v>205</v>
      </c>
      <c r="E9" s="29">
        <v>78061</v>
      </c>
      <c r="F9" s="24" t="s">
        <v>206</v>
      </c>
      <c r="G9" s="24" t="s">
        <v>207</v>
      </c>
      <c r="H9" s="24" t="s">
        <v>192</v>
      </c>
      <c r="I9" s="25">
        <v>89.148007590132806</v>
      </c>
      <c r="J9" s="26">
        <v>444.93220338983127</v>
      </c>
      <c r="K9" s="26">
        <v>78.966101694915153</v>
      </c>
      <c r="L9" s="26">
        <v>112.71186440677968</v>
      </c>
      <c r="M9" s="26">
        <v>66.20338983050847</v>
      </c>
      <c r="N9" s="26">
        <v>249.4915254237286</v>
      </c>
      <c r="O9" s="26">
        <v>453.32203389830607</v>
      </c>
      <c r="P9" s="26">
        <v>0</v>
      </c>
      <c r="Q9" s="26">
        <v>0</v>
      </c>
      <c r="R9" s="26">
        <v>73.711864406779654</v>
      </c>
      <c r="S9" s="26">
        <v>77.677966101694935</v>
      </c>
      <c r="T9" s="26">
        <v>98.016949152542395</v>
      </c>
      <c r="U9" s="26">
        <v>453.40677966101799</v>
      </c>
      <c r="V9" s="26">
        <v>391.94915254237299</v>
      </c>
      <c r="W9" s="27">
        <v>1350</v>
      </c>
      <c r="X9" s="24" t="s">
        <v>193</v>
      </c>
      <c r="Y9" s="30" t="s">
        <v>194</v>
      </c>
      <c r="Z9" s="24" t="s">
        <v>195</v>
      </c>
      <c r="AA9" s="28" t="s">
        <v>924</v>
      </c>
      <c r="AB9" s="24" t="s">
        <v>193</v>
      </c>
      <c r="AC9" s="30" t="s">
        <v>194</v>
      </c>
      <c r="AD9" s="30" t="s">
        <v>195</v>
      </c>
      <c r="AE9" s="37">
        <v>43524</v>
      </c>
    </row>
    <row r="10" spans="1:31" ht="15.75" x14ac:dyDescent="0.25">
      <c r="A10" s="23" t="s">
        <v>225</v>
      </c>
      <c r="B10" s="24" t="s">
        <v>226</v>
      </c>
      <c r="C10" s="24" t="s">
        <v>227</v>
      </c>
      <c r="D10" s="24" t="s">
        <v>216</v>
      </c>
      <c r="E10" s="29">
        <v>71342</v>
      </c>
      <c r="F10" s="24" t="s">
        <v>217</v>
      </c>
      <c r="G10" s="24" t="s">
        <v>191</v>
      </c>
      <c r="H10" s="24" t="s">
        <v>192</v>
      </c>
      <c r="I10" s="25">
        <v>96.258620689655203</v>
      </c>
      <c r="J10" s="26">
        <v>247.15254237288144</v>
      </c>
      <c r="K10" s="26">
        <v>120.44067796610169</v>
      </c>
      <c r="L10" s="26">
        <v>145.25423728813553</v>
      </c>
      <c r="M10" s="26">
        <v>40.423728813559315</v>
      </c>
      <c r="N10" s="26">
        <v>173.44067796610159</v>
      </c>
      <c r="O10" s="26">
        <v>297.37288135593241</v>
      </c>
      <c r="P10" s="26">
        <v>55.440677966101688</v>
      </c>
      <c r="Q10" s="26">
        <v>27.016949152542377</v>
      </c>
      <c r="R10" s="26">
        <v>110.20338983050844</v>
      </c>
      <c r="S10" s="26">
        <v>44.322033898305087</v>
      </c>
      <c r="T10" s="26">
        <v>73.932203389830519</v>
      </c>
      <c r="U10" s="26">
        <v>324.813559322034</v>
      </c>
      <c r="V10" s="26">
        <v>398.74576271186419</v>
      </c>
      <c r="W10" s="27">
        <v>1170</v>
      </c>
      <c r="X10" s="24" t="s">
        <v>193</v>
      </c>
      <c r="Y10" s="30" t="s">
        <v>194</v>
      </c>
      <c r="Z10" s="24" t="s">
        <v>197</v>
      </c>
      <c r="AA10" s="28" t="s">
        <v>918</v>
      </c>
      <c r="AB10" s="24" t="s">
        <v>193</v>
      </c>
      <c r="AC10" s="30" t="s">
        <v>194</v>
      </c>
      <c r="AD10" s="30" t="s">
        <v>195</v>
      </c>
      <c r="AE10" s="37">
        <v>43734</v>
      </c>
    </row>
    <row r="11" spans="1:31" ht="15.75" x14ac:dyDescent="0.25">
      <c r="A11" s="23" t="s">
        <v>16</v>
      </c>
      <c r="B11" s="24" t="s">
        <v>221</v>
      </c>
      <c r="C11" s="24" t="s">
        <v>37</v>
      </c>
      <c r="D11" s="24" t="s">
        <v>222</v>
      </c>
      <c r="E11" s="29">
        <v>85131</v>
      </c>
      <c r="F11" s="24" t="s">
        <v>223</v>
      </c>
      <c r="G11" s="24" t="s">
        <v>191</v>
      </c>
      <c r="H11" s="24" t="s">
        <v>5</v>
      </c>
      <c r="I11" s="25">
        <v>172.15403422982899</v>
      </c>
      <c r="J11" s="26">
        <v>328.57627118644064</v>
      </c>
      <c r="K11" s="26">
        <v>75.186440677966132</v>
      </c>
      <c r="L11" s="26">
        <v>67.457627118644055</v>
      </c>
      <c r="M11" s="26">
        <v>52.050847457627107</v>
      </c>
      <c r="N11" s="26">
        <v>149.47457627118644</v>
      </c>
      <c r="O11" s="26">
        <v>373.79661016949183</v>
      </c>
      <c r="P11" s="26">
        <v>0</v>
      </c>
      <c r="Q11" s="26">
        <v>0</v>
      </c>
      <c r="R11" s="26">
        <v>57.135593220338997</v>
      </c>
      <c r="S11" s="26">
        <v>34.186440677966104</v>
      </c>
      <c r="T11" s="26">
        <v>55.694915254237287</v>
      </c>
      <c r="U11" s="26">
        <v>376.25423728813587</v>
      </c>
      <c r="V11" s="26">
        <v>249.28813559322012</v>
      </c>
      <c r="W11" s="27">
        <v>1800</v>
      </c>
      <c r="X11" s="24" t="s">
        <v>193</v>
      </c>
      <c r="Y11" s="30" t="s">
        <v>194</v>
      </c>
      <c r="Z11" s="24" t="s">
        <v>195</v>
      </c>
      <c r="AA11" s="28" t="s">
        <v>224</v>
      </c>
      <c r="AB11" s="24" t="s">
        <v>220</v>
      </c>
      <c r="AC11" s="30"/>
      <c r="AD11" s="30"/>
      <c r="AE11" s="37"/>
    </row>
    <row r="12" spans="1:31" ht="15.75" x14ac:dyDescent="0.25">
      <c r="A12" s="23" t="s">
        <v>6</v>
      </c>
      <c r="B12" s="24" t="s">
        <v>187</v>
      </c>
      <c r="C12" s="24" t="s">
        <v>188</v>
      </c>
      <c r="D12" s="24" t="s">
        <v>189</v>
      </c>
      <c r="E12" s="29">
        <v>92301</v>
      </c>
      <c r="F12" s="24" t="s">
        <v>190</v>
      </c>
      <c r="G12" s="24" t="s">
        <v>191</v>
      </c>
      <c r="H12" s="24" t="s">
        <v>192</v>
      </c>
      <c r="I12" s="25">
        <v>196.93679458239299</v>
      </c>
      <c r="J12" s="26">
        <v>70.576271186440707</v>
      </c>
      <c r="K12" s="26">
        <v>41.033898305084755</v>
      </c>
      <c r="L12" s="26">
        <v>150.28813559322029</v>
      </c>
      <c r="M12" s="26">
        <v>257.49152542372877</v>
      </c>
      <c r="N12" s="26">
        <v>414.74576271186464</v>
      </c>
      <c r="O12" s="26">
        <v>55.237288135593232</v>
      </c>
      <c r="P12" s="26">
        <v>33.423728813559329</v>
      </c>
      <c r="Q12" s="26">
        <v>15.983050847457626</v>
      </c>
      <c r="R12" s="26">
        <v>300.9152542372882</v>
      </c>
      <c r="S12" s="26">
        <v>104.72881355932203</v>
      </c>
      <c r="T12" s="26">
        <v>42.457627118644062</v>
      </c>
      <c r="U12" s="26">
        <v>71.288135593220375</v>
      </c>
      <c r="V12" s="26">
        <v>321.7118644067794</v>
      </c>
      <c r="W12" s="27">
        <v>1455</v>
      </c>
      <c r="X12" s="24" t="s">
        <v>193</v>
      </c>
      <c r="Y12" s="30" t="s">
        <v>194</v>
      </c>
      <c r="Z12" s="24" t="s">
        <v>195</v>
      </c>
      <c r="AA12" s="28" t="s">
        <v>196</v>
      </c>
      <c r="AB12" s="24" t="s">
        <v>193</v>
      </c>
      <c r="AC12" s="30" t="s">
        <v>194</v>
      </c>
      <c r="AD12" s="30" t="s">
        <v>197</v>
      </c>
      <c r="AE12" s="37">
        <v>43789</v>
      </c>
    </row>
    <row r="13" spans="1:31" ht="15.75" x14ac:dyDescent="0.25">
      <c r="A13" s="23" t="s">
        <v>213</v>
      </c>
      <c r="B13" s="24" t="s">
        <v>214</v>
      </c>
      <c r="C13" s="24" t="s">
        <v>215</v>
      </c>
      <c r="D13" s="24" t="s">
        <v>216</v>
      </c>
      <c r="E13" s="29">
        <v>71483</v>
      </c>
      <c r="F13" s="24" t="s">
        <v>217</v>
      </c>
      <c r="G13" s="24" t="s">
        <v>191</v>
      </c>
      <c r="H13" s="24" t="s">
        <v>5</v>
      </c>
      <c r="I13" s="25">
        <v>89.573505654281107</v>
      </c>
      <c r="J13" s="26">
        <v>206.11864406779654</v>
      </c>
      <c r="K13" s="26">
        <v>87.999999999999986</v>
      </c>
      <c r="L13" s="26">
        <v>121.96610169491524</v>
      </c>
      <c r="M13" s="26">
        <v>72.847457627118629</v>
      </c>
      <c r="N13" s="26">
        <v>208.23728813559327</v>
      </c>
      <c r="O13" s="26">
        <v>280.6949152542374</v>
      </c>
      <c r="P13" s="26">
        <v>0</v>
      </c>
      <c r="Q13" s="26">
        <v>0</v>
      </c>
      <c r="R13" s="26">
        <v>107.74576271186442</v>
      </c>
      <c r="S13" s="26">
        <v>45.830508474576298</v>
      </c>
      <c r="T13" s="26">
        <v>54.186440677966104</v>
      </c>
      <c r="U13" s="26">
        <v>281.16949152542378</v>
      </c>
      <c r="V13" s="26">
        <v>397.89830508474643</v>
      </c>
      <c r="W13" s="27">
        <v>946</v>
      </c>
      <c r="X13" s="24" t="s">
        <v>193</v>
      </c>
      <c r="Y13" s="30" t="s">
        <v>194</v>
      </c>
      <c r="Z13" s="24" t="s">
        <v>195</v>
      </c>
      <c r="AA13" s="28" t="s">
        <v>219</v>
      </c>
      <c r="AB13" s="24" t="s">
        <v>220</v>
      </c>
      <c r="AC13" s="30"/>
      <c r="AD13" s="30"/>
      <c r="AE13" s="37"/>
    </row>
    <row r="14" spans="1:31" ht="15.75" x14ac:dyDescent="0.25">
      <c r="A14" s="23" t="s">
        <v>257</v>
      </c>
      <c r="B14" s="24" t="s">
        <v>258</v>
      </c>
      <c r="C14" s="24" t="s">
        <v>259</v>
      </c>
      <c r="D14" s="24" t="s">
        <v>205</v>
      </c>
      <c r="E14" s="29">
        <v>77301</v>
      </c>
      <c r="F14" s="24" t="s">
        <v>260</v>
      </c>
      <c r="G14" s="24" t="s">
        <v>207</v>
      </c>
      <c r="H14" s="24" t="s">
        <v>192</v>
      </c>
      <c r="I14" s="25">
        <v>29.192962542565301</v>
      </c>
      <c r="J14" s="26">
        <v>104.76271186440681</v>
      </c>
      <c r="K14" s="26">
        <v>216.01694915254245</v>
      </c>
      <c r="L14" s="26">
        <v>105.15254237288136</v>
      </c>
      <c r="M14" s="26">
        <v>53.74576271186443</v>
      </c>
      <c r="N14" s="26">
        <v>230.27118644067801</v>
      </c>
      <c r="O14" s="26">
        <v>195.98305084745741</v>
      </c>
      <c r="P14" s="26">
        <v>21.237288135593221</v>
      </c>
      <c r="Q14" s="26">
        <v>32.186440677966104</v>
      </c>
      <c r="R14" s="26">
        <v>124.11864406779662</v>
      </c>
      <c r="S14" s="26">
        <v>69.016949152542381</v>
      </c>
      <c r="T14" s="26">
        <v>59.355932203389855</v>
      </c>
      <c r="U14" s="26">
        <v>227.18644067796578</v>
      </c>
      <c r="V14" s="26">
        <v>270.59322033898235</v>
      </c>
      <c r="W14" s="27">
        <v>750</v>
      </c>
      <c r="X14" s="24" t="s">
        <v>193</v>
      </c>
      <c r="Y14" s="30" t="s">
        <v>194</v>
      </c>
      <c r="Z14" s="24" t="s">
        <v>195</v>
      </c>
      <c r="AA14" s="28" t="s">
        <v>261</v>
      </c>
      <c r="AB14" s="24" t="s">
        <v>193</v>
      </c>
      <c r="AC14" s="30" t="s">
        <v>194</v>
      </c>
      <c r="AD14" s="30" t="s">
        <v>195</v>
      </c>
      <c r="AE14" s="37">
        <v>43454</v>
      </c>
    </row>
    <row r="15" spans="1:31" ht="15.75" x14ac:dyDescent="0.25">
      <c r="A15" s="23" t="s">
        <v>229</v>
      </c>
      <c r="B15" s="24" t="s">
        <v>230</v>
      </c>
      <c r="C15" s="24" t="s">
        <v>37</v>
      </c>
      <c r="D15" s="24" t="s">
        <v>222</v>
      </c>
      <c r="E15" s="29">
        <v>85131</v>
      </c>
      <c r="F15" s="24" t="s">
        <v>223</v>
      </c>
      <c r="G15" s="24" t="s">
        <v>191</v>
      </c>
      <c r="H15" s="24" t="s">
        <v>192</v>
      </c>
      <c r="I15" s="25">
        <v>125.38153310104499</v>
      </c>
      <c r="J15" s="26">
        <v>251.84745762711859</v>
      </c>
      <c r="K15" s="26">
        <v>56.864406779661039</v>
      </c>
      <c r="L15" s="26">
        <v>84.661016949152497</v>
      </c>
      <c r="M15" s="26">
        <v>69.474576271186464</v>
      </c>
      <c r="N15" s="26">
        <v>128.96610169491532</v>
      </c>
      <c r="O15" s="26">
        <v>159.08474576271198</v>
      </c>
      <c r="P15" s="26">
        <v>37.559322033898297</v>
      </c>
      <c r="Q15" s="26">
        <v>137.23728813559313</v>
      </c>
      <c r="R15" s="26">
        <v>69.050847457627142</v>
      </c>
      <c r="S15" s="26">
        <v>38.559322033898319</v>
      </c>
      <c r="T15" s="26">
        <v>57.677966101694928</v>
      </c>
      <c r="U15" s="26">
        <v>297.55932203389818</v>
      </c>
      <c r="V15" s="26">
        <v>217.37288135593167</v>
      </c>
      <c r="W15" s="27"/>
      <c r="X15" s="24" t="s">
        <v>193</v>
      </c>
      <c r="Y15" s="30" t="s">
        <v>194</v>
      </c>
      <c r="Z15" s="24" t="s">
        <v>195</v>
      </c>
      <c r="AA15" s="28" t="s">
        <v>231</v>
      </c>
      <c r="AB15" s="24" t="s">
        <v>193</v>
      </c>
      <c r="AC15" s="30" t="s">
        <v>194</v>
      </c>
      <c r="AD15" s="30" t="s">
        <v>195</v>
      </c>
      <c r="AE15" s="37">
        <v>43503</v>
      </c>
    </row>
    <row r="16" spans="1:31" ht="15.75" x14ac:dyDescent="0.25">
      <c r="A16" s="23" t="s">
        <v>450</v>
      </c>
      <c r="B16" s="24" t="s">
        <v>451</v>
      </c>
      <c r="C16" s="24" t="s">
        <v>452</v>
      </c>
      <c r="D16" s="24" t="s">
        <v>205</v>
      </c>
      <c r="E16" s="29">
        <v>79501</v>
      </c>
      <c r="F16" s="24" t="s">
        <v>296</v>
      </c>
      <c r="G16" s="24" t="s">
        <v>218</v>
      </c>
      <c r="H16" s="24" t="s">
        <v>5</v>
      </c>
      <c r="I16" s="25">
        <v>39.552975326560201</v>
      </c>
      <c r="J16" s="26">
        <v>115.88135593220331</v>
      </c>
      <c r="K16" s="26">
        <v>127.71186440677968</v>
      </c>
      <c r="L16" s="26">
        <v>115.4067796610169</v>
      </c>
      <c r="M16" s="26">
        <v>100.4067796610169</v>
      </c>
      <c r="N16" s="26">
        <v>308.18644067796635</v>
      </c>
      <c r="O16" s="26">
        <v>143.10169491525417</v>
      </c>
      <c r="P16" s="26">
        <v>3.1525423728813555</v>
      </c>
      <c r="Q16" s="26">
        <v>4.9661016949152534</v>
      </c>
      <c r="R16" s="26">
        <v>174.62711864406788</v>
      </c>
      <c r="S16" s="26">
        <v>76.118644067796552</v>
      </c>
      <c r="T16" s="26">
        <v>59.677966101694942</v>
      </c>
      <c r="U16" s="26">
        <v>148.98305084745752</v>
      </c>
      <c r="V16" s="26">
        <v>251.88135593220326</v>
      </c>
      <c r="W16" s="27">
        <v>750</v>
      </c>
      <c r="X16" s="24" t="s">
        <v>193</v>
      </c>
      <c r="Y16" s="30" t="s">
        <v>927</v>
      </c>
      <c r="Z16" s="24"/>
      <c r="AA16" s="28" t="s">
        <v>923</v>
      </c>
      <c r="AB16" s="24" t="s">
        <v>193</v>
      </c>
      <c r="AC16" s="30" t="s">
        <v>194</v>
      </c>
      <c r="AD16" s="30" t="s">
        <v>366</v>
      </c>
      <c r="AE16" s="37">
        <v>43818</v>
      </c>
    </row>
    <row r="17" spans="1:31" ht="15.75" x14ac:dyDescent="0.25">
      <c r="A17" s="23" t="s">
        <v>29</v>
      </c>
      <c r="B17" s="24" t="s">
        <v>232</v>
      </c>
      <c r="C17" s="24" t="s">
        <v>233</v>
      </c>
      <c r="D17" s="24" t="s">
        <v>234</v>
      </c>
      <c r="E17" s="29">
        <v>39120</v>
      </c>
      <c r="F17" s="24" t="s">
        <v>217</v>
      </c>
      <c r="G17" s="24" t="s">
        <v>191</v>
      </c>
      <c r="H17" s="24" t="s">
        <v>192</v>
      </c>
      <c r="I17" s="25">
        <v>60.308232931726899</v>
      </c>
      <c r="J17" s="26">
        <v>226.50847457627094</v>
      </c>
      <c r="K17" s="26">
        <v>48.016949152542409</v>
      </c>
      <c r="L17" s="26">
        <v>71.25423728813567</v>
      </c>
      <c r="M17" s="26">
        <v>68.881355932203434</v>
      </c>
      <c r="N17" s="26">
        <v>186.47457627118652</v>
      </c>
      <c r="O17" s="26">
        <v>204.47457627118646</v>
      </c>
      <c r="P17" s="26">
        <v>4.8305084745762716</v>
      </c>
      <c r="Q17" s="26">
        <v>18.881355932203391</v>
      </c>
      <c r="R17" s="26">
        <v>88.000000000000014</v>
      </c>
      <c r="S17" s="26">
        <v>46.915254237288153</v>
      </c>
      <c r="T17" s="26">
        <v>56.389830508474645</v>
      </c>
      <c r="U17" s="26">
        <v>223.35593220338976</v>
      </c>
      <c r="V17" s="26">
        <v>371.03389830508615</v>
      </c>
      <c r="W17" s="27">
        <v>1100</v>
      </c>
      <c r="X17" s="24" t="s">
        <v>193</v>
      </c>
      <c r="Y17" s="30" t="s">
        <v>194</v>
      </c>
      <c r="Z17" s="24" t="s">
        <v>195</v>
      </c>
      <c r="AA17" s="28" t="s">
        <v>196</v>
      </c>
      <c r="AB17" s="24" t="s">
        <v>220</v>
      </c>
      <c r="AC17" s="30"/>
      <c r="AD17" s="30"/>
      <c r="AE17" s="37"/>
    </row>
    <row r="18" spans="1:31" ht="15.75" x14ac:dyDescent="0.25">
      <c r="A18" s="23" t="s">
        <v>241</v>
      </c>
      <c r="B18" s="24" t="s">
        <v>242</v>
      </c>
      <c r="C18" s="24" t="s">
        <v>243</v>
      </c>
      <c r="D18" s="24" t="s">
        <v>244</v>
      </c>
      <c r="E18" s="29">
        <v>98421</v>
      </c>
      <c r="F18" s="24" t="s">
        <v>245</v>
      </c>
      <c r="G18" s="24" t="s">
        <v>207</v>
      </c>
      <c r="H18" s="24" t="s">
        <v>192</v>
      </c>
      <c r="I18" s="25">
        <v>116.907608695652</v>
      </c>
      <c r="J18" s="26">
        <v>82.779661016949007</v>
      </c>
      <c r="K18" s="26">
        <v>71.152542372881342</v>
      </c>
      <c r="L18" s="26">
        <v>107.91525423728812</v>
      </c>
      <c r="M18" s="26">
        <v>145.45762711864404</v>
      </c>
      <c r="N18" s="26">
        <v>289.40677966101697</v>
      </c>
      <c r="O18" s="26">
        <v>84.050847457627043</v>
      </c>
      <c r="P18" s="26">
        <v>21.983050847457626</v>
      </c>
      <c r="Q18" s="26">
        <v>11.864406779661023</v>
      </c>
      <c r="R18" s="26">
        <v>195.6101694915254</v>
      </c>
      <c r="S18" s="26">
        <v>60.983050847457633</v>
      </c>
      <c r="T18" s="26">
        <v>53.745762711864415</v>
      </c>
      <c r="U18" s="26">
        <v>96.96610169491511</v>
      </c>
      <c r="V18" s="26">
        <v>315.9830508474576</v>
      </c>
      <c r="W18" s="27">
        <v>1181</v>
      </c>
      <c r="X18" s="24" t="s">
        <v>193</v>
      </c>
      <c r="Y18" s="30" t="s">
        <v>194</v>
      </c>
      <c r="Z18" s="24" t="s">
        <v>195</v>
      </c>
      <c r="AA18" s="28" t="s">
        <v>246</v>
      </c>
      <c r="AB18" s="24" t="s">
        <v>193</v>
      </c>
      <c r="AC18" s="30" t="s">
        <v>194</v>
      </c>
      <c r="AD18" s="30" t="s">
        <v>195</v>
      </c>
      <c r="AE18" s="37">
        <v>43209</v>
      </c>
    </row>
    <row r="19" spans="1:31" ht="15.75" x14ac:dyDescent="0.25">
      <c r="A19" s="23" t="s">
        <v>44</v>
      </c>
      <c r="B19" s="24" t="s">
        <v>272</v>
      </c>
      <c r="C19" s="24" t="s">
        <v>273</v>
      </c>
      <c r="D19" s="24" t="s">
        <v>201</v>
      </c>
      <c r="E19" s="29">
        <v>31772</v>
      </c>
      <c r="F19" s="24" t="s">
        <v>202</v>
      </c>
      <c r="G19" s="24" t="s">
        <v>218</v>
      </c>
      <c r="H19" s="24" t="s">
        <v>192</v>
      </c>
      <c r="I19" s="25">
        <v>69.434782608695699</v>
      </c>
      <c r="J19" s="26">
        <v>80.796610169491572</v>
      </c>
      <c r="K19" s="26">
        <v>73.983050847457662</v>
      </c>
      <c r="L19" s="26">
        <v>103.86440677966101</v>
      </c>
      <c r="M19" s="26">
        <v>127.66101694915255</v>
      </c>
      <c r="N19" s="26">
        <v>210.13559322033888</v>
      </c>
      <c r="O19" s="26">
        <v>97.796610169491586</v>
      </c>
      <c r="P19" s="26">
        <v>41.559322033898304</v>
      </c>
      <c r="Q19" s="26">
        <v>36.813559322033896</v>
      </c>
      <c r="R19" s="26">
        <v>164.93220338983048</v>
      </c>
      <c r="S19" s="26">
        <v>41.932203389830505</v>
      </c>
      <c r="T19" s="26">
        <v>43.542372881355938</v>
      </c>
      <c r="U19" s="26">
        <v>135.8983050847458</v>
      </c>
      <c r="V19" s="26">
        <v>306.49152542372889</v>
      </c>
      <c r="W19" s="27">
        <v>600</v>
      </c>
      <c r="X19" s="24" t="s">
        <v>193</v>
      </c>
      <c r="Y19" s="30" t="s">
        <v>275</v>
      </c>
      <c r="Z19" s="24" t="s">
        <v>197</v>
      </c>
      <c r="AA19" s="28" t="s">
        <v>929</v>
      </c>
      <c r="AB19" s="24" t="s">
        <v>193</v>
      </c>
      <c r="AC19" s="30" t="s">
        <v>275</v>
      </c>
      <c r="AD19" s="30" t="s">
        <v>195</v>
      </c>
      <c r="AE19" s="37">
        <v>43629</v>
      </c>
    </row>
    <row r="20" spans="1:31" ht="15.75" x14ac:dyDescent="0.25">
      <c r="A20" s="23" t="s">
        <v>8</v>
      </c>
      <c r="B20" s="24" t="s">
        <v>320</v>
      </c>
      <c r="C20" s="24" t="s">
        <v>321</v>
      </c>
      <c r="D20" s="24" t="s">
        <v>311</v>
      </c>
      <c r="E20" s="29">
        <v>33073</v>
      </c>
      <c r="F20" s="24" t="s">
        <v>33</v>
      </c>
      <c r="G20" s="24" t="s">
        <v>207</v>
      </c>
      <c r="H20" s="24" t="s">
        <v>192</v>
      </c>
      <c r="I20" s="25">
        <v>55.430992736077499</v>
      </c>
      <c r="J20" s="26">
        <v>298.72881355932168</v>
      </c>
      <c r="K20" s="26">
        <v>82.542372881355959</v>
      </c>
      <c r="L20" s="26">
        <v>0.50847457627118642</v>
      </c>
      <c r="M20" s="26">
        <v>0</v>
      </c>
      <c r="N20" s="26">
        <v>78.033898305084776</v>
      </c>
      <c r="O20" s="26">
        <v>248.11864406779665</v>
      </c>
      <c r="P20" s="26">
        <v>7.6949152542372872</v>
      </c>
      <c r="Q20" s="26">
        <v>47.932203389830519</v>
      </c>
      <c r="R20" s="26">
        <v>8.2203389830508478</v>
      </c>
      <c r="S20" s="26">
        <v>28.355932203389834</v>
      </c>
      <c r="T20" s="26">
        <v>49.47457627118645</v>
      </c>
      <c r="U20" s="26">
        <v>295.72881355932145</v>
      </c>
      <c r="V20" s="26">
        <v>230.55932203389841</v>
      </c>
      <c r="W20" s="27">
        <v>700</v>
      </c>
      <c r="X20" s="24" t="s">
        <v>193</v>
      </c>
      <c r="Y20" s="30" t="s">
        <v>194</v>
      </c>
      <c r="Z20" s="24" t="s">
        <v>197</v>
      </c>
      <c r="AA20" s="28" t="s">
        <v>928</v>
      </c>
      <c r="AB20" s="24" t="s">
        <v>193</v>
      </c>
      <c r="AC20" s="30" t="s">
        <v>194</v>
      </c>
      <c r="AD20" s="30" t="s">
        <v>195</v>
      </c>
      <c r="AE20" s="37">
        <v>43769</v>
      </c>
    </row>
    <row r="21" spans="1:31" ht="15.75" x14ac:dyDescent="0.25">
      <c r="A21" s="23" t="s">
        <v>308</v>
      </c>
      <c r="B21" s="24" t="s">
        <v>309</v>
      </c>
      <c r="C21" s="24" t="s">
        <v>310</v>
      </c>
      <c r="D21" s="24" t="s">
        <v>311</v>
      </c>
      <c r="E21" s="29">
        <v>33194</v>
      </c>
      <c r="F21" s="24" t="s">
        <v>33</v>
      </c>
      <c r="G21" s="24" t="s">
        <v>250</v>
      </c>
      <c r="H21" s="24" t="s">
        <v>5</v>
      </c>
      <c r="I21" s="25">
        <v>28.256756756756801</v>
      </c>
      <c r="J21" s="26">
        <v>7.5593220338983027</v>
      </c>
      <c r="K21" s="26">
        <v>11.711864406779664</v>
      </c>
      <c r="L21" s="26">
        <v>186.30508474576283</v>
      </c>
      <c r="M21" s="26">
        <v>174.35593220338995</v>
      </c>
      <c r="N21" s="26">
        <v>259.23728813559353</v>
      </c>
      <c r="O21" s="26">
        <v>120.6949152542372</v>
      </c>
      <c r="P21" s="26">
        <v>0</v>
      </c>
      <c r="Q21" s="26">
        <v>0</v>
      </c>
      <c r="R21" s="26">
        <v>155.38983050847452</v>
      </c>
      <c r="S21" s="26">
        <v>59.677966101694928</v>
      </c>
      <c r="T21" s="26">
        <v>43.644067796610152</v>
      </c>
      <c r="U21" s="26">
        <v>121.22033898305077</v>
      </c>
      <c r="V21" s="26">
        <v>252.71186440677974</v>
      </c>
      <c r="W21" s="27">
        <v>450</v>
      </c>
      <c r="X21" s="24" t="s">
        <v>193</v>
      </c>
      <c r="Y21" s="30" t="s">
        <v>194</v>
      </c>
      <c r="Z21" s="24" t="s">
        <v>197</v>
      </c>
      <c r="AA21" s="28" t="s">
        <v>297</v>
      </c>
      <c r="AB21" s="24" t="s">
        <v>193</v>
      </c>
      <c r="AC21" s="30" t="s">
        <v>194</v>
      </c>
      <c r="AD21" s="30" t="s">
        <v>195</v>
      </c>
      <c r="AE21" s="37">
        <v>43510</v>
      </c>
    </row>
    <row r="22" spans="1:31" ht="15.75" x14ac:dyDescent="0.25">
      <c r="A22" s="23" t="s">
        <v>333</v>
      </c>
      <c r="B22" s="24" t="s">
        <v>221</v>
      </c>
      <c r="C22" s="24" t="s">
        <v>37</v>
      </c>
      <c r="D22" s="24" t="s">
        <v>222</v>
      </c>
      <c r="E22" s="29">
        <v>85131</v>
      </c>
      <c r="F22" s="24" t="s">
        <v>223</v>
      </c>
      <c r="G22" s="24" t="s">
        <v>191</v>
      </c>
      <c r="H22" s="24" t="s">
        <v>5</v>
      </c>
      <c r="I22" s="25">
        <v>76.724517906336104</v>
      </c>
      <c r="J22" s="26">
        <v>137.72881355932196</v>
      </c>
      <c r="K22" s="26">
        <v>65.847457627118629</v>
      </c>
      <c r="L22" s="26">
        <v>69.576271186440692</v>
      </c>
      <c r="M22" s="26">
        <v>90.898305084745701</v>
      </c>
      <c r="N22" s="26">
        <v>181.27118644067789</v>
      </c>
      <c r="O22" s="26">
        <v>182.32203389830522</v>
      </c>
      <c r="P22" s="26">
        <v>0.4576271186440678</v>
      </c>
      <c r="Q22" s="26">
        <v>0</v>
      </c>
      <c r="R22" s="26">
        <v>90.033898305084733</v>
      </c>
      <c r="S22" s="26">
        <v>40.745762711864401</v>
      </c>
      <c r="T22" s="26">
        <v>49.237288135593225</v>
      </c>
      <c r="U22" s="26">
        <v>184.0338983050849</v>
      </c>
      <c r="V22" s="26">
        <v>192.4067796610166</v>
      </c>
      <c r="W22" s="27">
        <v>1800</v>
      </c>
      <c r="X22" s="24" t="s">
        <v>220</v>
      </c>
      <c r="Y22" s="30"/>
      <c r="Z22" s="24"/>
      <c r="AA22" s="28" t="s">
        <v>334</v>
      </c>
      <c r="AB22" s="24" t="s">
        <v>220</v>
      </c>
      <c r="AC22" s="30"/>
      <c r="AD22" s="30"/>
      <c r="AE22" s="37"/>
    </row>
    <row r="23" spans="1:31" ht="15.75" x14ac:dyDescent="0.25">
      <c r="A23" s="23" t="s">
        <v>235</v>
      </c>
      <c r="B23" s="24" t="s">
        <v>236</v>
      </c>
      <c r="C23" s="24" t="s">
        <v>237</v>
      </c>
      <c r="D23" s="24" t="s">
        <v>189</v>
      </c>
      <c r="E23" s="29">
        <v>92154</v>
      </c>
      <c r="F23" s="24" t="s">
        <v>238</v>
      </c>
      <c r="G23" s="24" t="s">
        <v>207</v>
      </c>
      <c r="H23" s="24" t="s">
        <v>192</v>
      </c>
      <c r="I23" s="25">
        <v>111.19196428571399</v>
      </c>
      <c r="J23" s="26">
        <v>181.13559322033882</v>
      </c>
      <c r="K23" s="26">
        <v>53.152542372881342</v>
      </c>
      <c r="L23" s="26">
        <v>46.779661016949163</v>
      </c>
      <c r="M23" s="26">
        <v>80.440677966101674</v>
      </c>
      <c r="N23" s="26">
        <v>149.25423728813541</v>
      </c>
      <c r="O23" s="26">
        <v>168.01694915254217</v>
      </c>
      <c r="P23" s="26">
        <v>14.881355932203389</v>
      </c>
      <c r="Q23" s="26">
        <v>29.35593220338983</v>
      </c>
      <c r="R23" s="26">
        <v>93.067796610169424</v>
      </c>
      <c r="S23" s="26">
        <v>30.96610169491526</v>
      </c>
      <c r="T23" s="26">
        <v>38.440677966101703</v>
      </c>
      <c r="U23" s="26">
        <v>199.03389830508451</v>
      </c>
      <c r="V23" s="26">
        <v>210.6949152542372</v>
      </c>
      <c r="W23" s="27">
        <v>750</v>
      </c>
      <c r="X23" s="24" t="s">
        <v>193</v>
      </c>
      <c r="Y23" s="30" t="s">
        <v>194</v>
      </c>
      <c r="Z23" s="24" t="s">
        <v>195</v>
      </c>
      <c r="AA23" s="28" t="s">
        <v>240</v>
      </c>
      <c r="AB23" s="24" t="s">
        <v>193</v>
      </c>
      <c r="AC23" s="30" t="s">
        <v>194</v>
      </c>
      <c r="AD23" s="30" t="s">
        <v>195</v>
      </c>
      <c r="AE23" s="37">
        <v>43490</v>
      </c>
    </row>
    <row r="24" spans="1:31" ht="15.75" x14ac:dyDescent="0.25">
      <c r="A24" s="23" t="s">
        <v>277</v>
      </c>
      <c r="B24" s="24" t="s">
        <v>278</v>
      </c>
      <c r="C24" s="24" t="s">
        <v>279</v>
      </c>
      <c r="D24" s="24" t="s">
        <v>205</v>
      </c>
      <c r="E24" s="29">
        <v>79925</v>
      </c>
      <c r="F24" s="24" t="s">
        <v>256</v>
      </c>
      <c r="G24" s="24" t="s">
        <v>250</v>
      </c>
      <c r="H24" s="24" t="s">
        <v>192</v>
      </c>
      <c r="I24" s="25">
        <v>30.497345132743401</v>
      </c>
      <c r="J24" s="26">
        <v>228.77966101694795</v>
      </c>
      <c r="K24" s="26">
        <v>34.49152542372881</v>
      </c>
      <c r="L24" s="26">
        <v>32.593220338983059</v>
      </c>
      <c r="M24" s="26">
        <v>30.305084745762706</v>
      </c>
      <c r="N24" s="26">
        <v>82.20338983050847</v>
      </c>
      <c r="O24" s="26">
        <v>136.42372881355945</v>
      </c>
      <c r="P24" s="26">
        <v>25.237288135593214</v>
      </c>
      <c r="Q24" s="26">
        <v>82.305084745762784</v>
      </c>
      <c r="R24" s="26">
        <v>60.101694915254264</v>
      </c>
      <c r="S24" s="26">
        <v>19.745762711864412</v>
      </c>
      <c r="T24" s="26">
        <v>26.084745762711872</v>
      </c>
      <c r="U24" s="26">
        <v>220.23728813559188</v>
      </c>
      <c r="V24" s="26">
        <v>183.05084745762707</v>
      </c>
      <c r="W24" s="27">
        <v>600</v>
      </c>
      <c r="X24" s="24" t="s">
        <v>193</v>
      </c>
      <c r="Y24" s="30" t="s">
        <v>194</v>
      </c>
      <c r="Z24" s="24" t="s">
        <v>195</v>
      </c>
      <c r="AA24" s="28" t="s">
        <v>280</v>
      </c>
      <c r="AB24" s="24" t="s">
        <v>193</v>
      </c>
      <c r="AC24" s="30" t="s">
        <v>194</v>
      </c>
      <c r="AD24" s="30" t="s">
        <v>195</v>
      </c>
      <c r="AE24" s="37">
        <v>43447</v>
      </c>
    </row>
    <row r="25" spans="1:31" ht="15.75" x14ac:dyDescent="0.25">
      <c r="A25" s="23" t="s">
        <v>247</v>
      </c>
      <c r="B25" s="24" t="s">
        <v>248</v>
      </c>
      <c r="C25" s="24" t="s">
        <v>249</v>
      </c>
      <c r="D25" s="24" t="s">
        <v>205</v>
      </c>
      <c r="E25" s="29">
        <v>78566</v>
      </c>
      <c r="F25" s="24" t="s">
        <v>206</v>
      </c>
      <c r="G25" s="24" t="s">
        <v>250</v>
      </c>
      <c r="H25" s="24" t="s">
        <v>192</v>
      </c>
      <c r="I25" s="25">
        <v>12.525109170305701</v>
      </c>
      <c r="J25" s="26">
        <v>262.44067796610113</v>
      </c>
      <c r="K25" s="26">
        <v>19.610169491525426</v>
      </c>
      <c r="L25" s="26">
        <v>5.118644067796609</v>
      </c>
      <c r="M25" s="26">
        <v>17.915254237288146</v>
      </c>
      <c r="N25" s="26">
        <v>78.372881355932179</v>
      </c>
      <c r="O25" s="26">
        <v>226.30508474576033</v>
      </c>
      <c r="P25" s="26">
        <v>1.6949152542372881E-2</v>
      </c>
      <c r="Q25" s="26">
        <v>0.3898305084745764</v>
      </c>
      <c r="R25" s="26">
        <v>30.203389830508495</v>
      </c>
      <c r="S25" s="26">
        <v>21.576271186440689</v>
      </c>
      <c r="T25" s="26">
        <v>23.152542372881364</v>
      </c>
      <c r="U25" s="26">
        <v>230.1525423728788</v>
      </c>
      <c r="V25" s="26">
        <v>134.91525423728791</v>
      </c>
      <c r="W25" s="27">
        <v>800</v>
      </c>
      <c r="X25" s="24" t="s">
        <v>193</v>
      </c>
      <c r="Y25" s="30" t="s">
        <v>194</v>
      </c>
      <c r="Z25" s="24" t="s">
        <v>195</v>
      </c>
      <c r="AA25" s="28" t="s">
        <v>251</v>
      </c>
      <c r="AB25" s="24" t="s">
        <v>193</v>
      </c>
      <c r="AC25" s="30" t="s">
        <v>194</v>
      </c>
      <c r="AD25" s="30" t="s">
        <v>195</v>
      </c>
      <c r="AE25" s="37">
        <v>43496</v>
      </c>
    </row>
    <row r="26" spans="1:31" ht="15.75" x14ac:dyDescent="0.25">
      <c r="A26" s="23" t="s">
        <v>18</v>
      </c>
      <c r="B26" s="24" t="s">
        <v>342</v>
      </c>
      <c r="C26" s="24" t="s">
        <v>343</v>
      </c>
      <c r="D26" s="24" t="s">
        <v>311</v>
      </c>
      <c r="E26" s="29">
        <v>33471</v>
      </c>
      <c r="F26" s="24" t="s">
        <v>33</v>
      </c>
      <c r="G26" s="24" t="s">
        <v>218</v>
      </c>
      <c r="H26" s="24" t="s">
        <v>192</v>
      </c>
      <c r="I26" s="25">
        <v>65.294117647058798</v>
      </c>
      <c r="J26" s="26">
        <v>0</v>
      </c>
      <c r="K26" s="26">
        <v>8.1864406779661021</v>
      </c>
      <c r="L26" s="26">
        <v>151.64406779661022</v>
      </c>
      <c r="M26" s="26">
        <v>144.44067796610173</v>
      </c>
      <c r="N26" s="26">
        <v>183.08474576271195</v>
      </c>
      <c r="O26" s="26">
        <v>74.966101694915295</v>
      </c>
      <c r="P26" s="26">
        <v>25.728813559322031</v>
      </c>
      <c r="Q26" s="26">
        <v>20.491525423728813</v>
      </c>
      <c r="R26" s="26">
        <v>114.61016949152541</v>
      </c>
      <c r="S26" s="26">
        <v>53.389830508474567</v>
      </c>
      <c r="T26" s="26">
        <v>40.813559322033896</v>
      </c>
      <c r="U26" s="26">
        <v>95.457627118644083</v>
      </c>
      <c r="V26" s="26">
        <v>195.88135593220349</v>
      </c>
      <c r="W26" s="27"/>
      <c r="X26" s="24" t="s">
        <v>193</v>
      </c>
      <c r="Y26" s="30" t="s">
        <v>323</v>
      </c>
      <c r="Z26" s="24" t="s">
        <v>197</v>
      </c>
      <c r="AA26" s="28" t="s">
        <v>917</v>
      </c>
      <c r="AB26" s="24" t="s">
        <v>193</v>
      </c>
      <c r="AC26" s="30" t="s">
        <v>323</v>
      </c>
      <c r="AD26" s="30" t="s">
        <v>344</v>
      </c>
      <c r="AE26" s="37">
        <v>43538</v>
      </c>
    </row>
    <row r="27" spans="1:31" ht="15.75" x14ac:dyDescent="0.25">
      <c r="A27" s="23" t="s">
        <v>11</v>
      </c>
      <c r="B27" s="24" t="s">
        <v>269</v>
      </c>
      <c r="C27" s="24" t="s">
        <v>270</v>
      </c>
      <c r="D27" s="24" t="s">
        <v>205</v>
      </c>
      <c r="E27" s="29">
        <v>78580</v>
      </c>
      <c r="F27" s="24" t="s">
        <v>206</v>
      </c>
      <c r="G27" s="24" t="s">
        <v>218</v>
      </c>
      <c r="H27" s="24" t="s">
        <v>192</v>
      </c>
      <c r="I27" s="25">
        <v>28.6178128523112</v>
      </c>
      <c r="J27" s="26">
        <v>269.3050847457622</v>
      </c>
      <c r="K27" s="26">
        <v>19.932203389830512</v>
      </c>
      <c r="L27" s="26">
        <v>7.4067796610169498</v>
      </c>
      <c r="M27" s="26">
        <v>3.8644067796610173</v>
      </c>
      <c r="N27" s="26">
        <v>38.525423728813564</v>
      </c>
      <c r="O27" s="26">
        <v>111.2881355932202</v>
      </c>
      <c r="P27" s="26">
        <v>15.898305084745765</v>
      </c>
      <c r="Q27" s="26">
        <v>134.79661016949146</v>
      </c>
      <c r="R27" s="26">
        <v>24.423728813559318</v>
      </c>
      <c r="S27" s="26">
        <v>12.491525423728813</v>
      </c>
      <c r="T27" s="26">
        <v>13.932203389830509</v>
      </c>
      <c r="U27" s="26">
        <v>249.66101694915193</v>
      </c>
      <c r="V27" s="26">
        <v>101.57627118644061</v>
      </c>
      <c r="W27" s="27">
        <v>750</v>
      </c>
      <c r="X27" s="24" t="s">
        <v>193</v>
      </c>
      <c r="Y27" s="30" t="s">
        <v>194</v>
      </c>
      <c r="Z27" s="24" t="s">
        <v>195</v>
      </c>
      <c r="AA27" s="28" t="s">
        <v>271</v>
      </c>
      <c r="AB27" s="24" t="s">
        <v>193</v>
      </c>
      <c r="AC27" s="30" t="s">
        <v>194</v>
      </c>
      <c r="AD27" s="30" t="s">
        <v>195</v>
      </c>
      <c r="AE27" s="37">
        <v>43440</v>
      </c>
    </row>
    <row r="28" spans="1:31" ht="15.75" x14ac:dyDescent="0.25">
      <c r="A28" s="23" t="s">
        <v>317</v>
      </c>
      <c r="B28" s="24" t="s">
        <v>318</v>
      </c>
      <c r="C28" s="24" t="s">
        <v>319</v>
      </c>
      <c r="D28" s="24" t="s">
        <v>201</v>
      </c>
      <c r="E28" s="29">
        <v>31537</v>
      </c>
      <c r="F28" s="24" t="s">
        <v>202</v>
      </c>
      <c r="G28" s="24" t="s">
        <v>191</v>
      </c>
      <c r="H28" s="24" t="s">
        <v>5</v>
      </c>
      <c r="I28" s="25">
        <v>77.766666666666694</v>
      </c>
      <c r="J28" s="26">
        <v>76.966101694915238</v>
      </c>
      <c r="K28" s="26">
        <v>63.016949152542388</v>
      </c>
      <c r="L28" s="26">
        <v>85.728813559321978</v>
      </c>
      <c r="M28" s="26">
        <v>62.593220338983066</v>
      </c>
      <c r="N28" s="26">
        <v>181.3389830508475</v>
      </c>
      <c r="O28" s="26">
        <v>106.96610169491524</v>
      </c>
      <c r="P28" s="26">
        <v>0</v>
      </c>
      <c r="Q28" s="26">
        <v>0</v>
      </c>
      <c r="R28" s="26">
        <v>72.593220338983016</v>
      </c>
      <c r="S28" s="26">
        <v>53.18644067796609</v>
      </c>
      <c r="T28" s="26">
        <v>54.55932203389829</v>
      </c>
      <c r="U28" s="26">
        <v>107.96610169491524</v>
      </c>
      <c r="V28" s="26">
        <v>114.47457627118639</v>
      </c>
      <c r="W28" s="27">
        <v>544</v>
      </c>
      <c r="X28" s="24" t="s">
        <v>193</v>
      </c>
      <c r="Y28" s="30" t="s">
        <v>194</v>
      </c>
      <c r="Z28" s="24" t="s">
        <v>197</v>
      </c>
      <c r="AA28" s="28" t="s">
        <v>918</v>
      </c>
      <c r="AB28" s="24" t="s">
        <v>193</v>
      </c>
      <c r="AC28" s="30" t="s">
        <v>194</v>
      </c>
      <c r="AD28" s="30" t="s">
        <v>195</v>
      </c>
      <c r="AE28" s="37">
        <v>43622</v>
      </c>
    </row>
    <row r="29" spans="1:31" ht="15.75" x14ac:dyDescent="0.25">
      <c r="A29" s="23" t="s">
        <v>294</v>
      </c>
      <c r="B29" s="24" t="s">
        <v>295</v>
      </c>
      <c r="C29" s="24" t="s">
        <v>45</v>
      </c>
      <c r="D29" s="24" t="s">
        <v>205</v>
      </c>
      <c r="E29" s="29">
        <v>76009</v>
      </c>
      <c r="F29" s="24" t="s">
        <v>296</v>
      </c>
      <c r="G29" s="24" t="s">
        <v>191</v>
      </c>
      <c r="H29" s="24" t="s">
        <v>192</v>
      </c>
      <c r="I29" s="25">
        <v>15.722076215505901</v>
      </c>
      <c r="J29" s="26">
        <v>122.5084745762707</v>
      </c>
      <c r="K29" s="26">
        <v>63.762711864407002</v>
      </c>
      <c r="L29" s="26">
        <v>60.627118644067998</v>
      </c>
      <c r="M29" s="26">
        <v>40.847457627118793</v>
      </c>
      <c r="N29" s="26">
        <v>155.91525423728726</v>
      </c>
      <c r="O29" s="26">
        <v>108.42372881355871</v>
      </c>
      <c r="P29" s="26">
        <v>6.9999999999999982</v>
      </c>
      <c r="Q29" s="26">
        <v>16.406779661016955</v>
      </c>
      <c r="R29" s="26">
        <v>82.186440677966303</v>
      </c>
      <c r="S29" s="26">
        <v>34.40677966101704</v>
      </c>
      <c r="T29" s="26">
        <v>44.271186440678079</v>
      </c>
      <c r="U29" s="26">
        <v>126.88135593220271</v>
      </c>
      <c r="V29" s="26">
        <v>200.6101694915242</v>
      </c>
      <c r="W29" s="27">
        <v>550</v>
      </c>
      <c r="X29" s="24" t="s">
        <v>193</v>
      </c>
      <c r="Y29" s="30" t="s">
        <v>194</v>
      </c>
      <c r="Z29" s="24" t="s">
        <v>195</v>
      </c>
      <c r="AA29" s="28" t="s">
        <v>297</v>
      </c>
      <c r="AB29" s="24" t="s">
        <v>193</v>
      </c>
      <c r="AC29" s="30" t="s">
        <v>194</v>
      </c>
      <c r="AD29" s="30" t="s">
        <v>195</v>
      </c>
      <c r="AE29" s="37">
        <v>43510</v>
      </c>
    </row>
    <row r="30" spans="1:31" ht="15.75" x14ac:dyDescent="0.25">
      <c r="A30" s="23" t="s">
        <v>325</v>
      </c>
      <c r="B30" s="24" t="s">
        <v>326</v>
      </c>
      <c r="C30" s="24" t="s">
        <v>327</v>
      </c>
      <c r="D30" s="24" t="s">
        <v>328</v>
      </c>
      <c r="E30" s="29">
        <v>17402</v>
      </c>
      <c r="F30" s="24" t="s">
        <v>329</v>
      </c>
      <c r="G30" s="24" t="s">
        <v>218</v>
      </c>
      <c r="H30" s="24" t="s">
        <v>192</v>
      </c>
      <c r="I30" s="25">
        <v>103.592964824121</v>
      </c>
      <c r="J30" s="26">
        <v>47.898305084745758</v>
      </c>
      <c r="K30" s="26">
        <v>76.033898305084762</v>
      </c>
      <c r="L30" s="26">
        <v>83.677966101694935</v>
      </c>
      <c r="M30" s="26">
        <v>79.525423728813564</v>
      </c>
      <c r="N30" s="26">
        <v>205.28813559322026</v>
      </c>
      <c r="O30" s="26">
        <v>66.983050847457633</v>
      </c>
      <c r="P30" s="26">
        <v>10.084745762711863</v>
      </c>
      <c r="Q30" s="26">
        <v>4.7796610169491522</v>
      </c>
      <c r="R30" s="26">
        <v>119.76271186440681</v>
      </c>
      <c r="S30" s="26">
        <v>37.338983050847453</v>
      </c>
      <c r="T30" s="26">
        <v>53.983050847457626</v>
      </c>
      <c r="U30" s="26">
        <v>76.050847457627128</v>
      </c>
      <c r="V30" s="26">
        <v>212.20338983050843</v>
      </c>
      <c r="W30" s="27">
        <v>500</v>
      </c>
      <c r="X30" s="24" t="s">
        <v>193</v>
      </c>
      <c r="Y30" s="30" t="s">
        <v>275</v>
      </c>
      <c r="Z30" s="24" t="s">
        <v>195</v>
      </c>
      <c r="AA30" s="28" t="s">
        <v>330</v>
      </c>
      <c r="AB30" s="24" t="s">
        <v>193</v>
      </c>
      <c r="AC30" s="30" t="s">
        <v>275</v>
      </c>
      <c r="AD30" s="30" t="s">
        <v>195</v>
      </c>
      <c r="AE30" s="37">
        <v>43391</v>
      </c>
    </row>
    <row r="31" spans="1:31" ht="15.75" x14ac:dyDescent="0.25">
      <c r="A31" s="23" t="s">
        <v>22</v>
      </c>
      <c r="B31" s="24" t="s">
        <v>266</v>
      </c>
      <c r="C31" s="24" t="s">
        <v>267</v>
      </c>
      <c r="D31" s="24" t="s">
        <v>216</v>
      </c>
      <c r="E31" s="29">
        <v>71251</v>
      </c>
      <c r="F31" s="24" t="s">
        <v>217</v>
      </c>
      <c r="G31" s="24" t="s">
        <v>191</v>
      </c>
      <c r="H31" s="24" t="s">
        <v>192</v>
      </c>
      <c r="I31" s="25">
        <v>96.059006211180105</v>
      </c>
      <c r="J31" s="26">
        <v>177.88135593220346</v>
      </c>
      <c r="K31" s="26">
        <v>37.898305084745772</v>
      </c>
      <c r="L31" s="26">
        <v>40.423728813559322</v>
      </c>
      <c r="M31" s="26">
        <v>29.627118644067782</v>
      </c>
      <c r="N31" s="26">
        <v>65.576271186440692</v>
      </c>
      <c r="O31" s="26">
        <v>146.28813559322026</v>
      </c>
      <c r="P31" s="26">
        <v>19.525423728813557</v>
      </c>
      <c r="Q31" s="26">
        <v>54.440677966101781</v>
      </c>
      <c r="R31" s="26">
        <v>39.661016949152554</v>
      </c>
      <c r="S31" s="26">
        <v>17.525423728813557</v>
      </c>
      <c r="T31" s="26">
        <v>27.915254237288128</v>
      </c>
      <c r="U31" s="26">
        <v>200.72881355932208</v>
      </c>
      <c r="V31" s="26">
        <v>226.08474576271198</v>
      </c>
      <c r="W31" s="27">
        <v>751</v>
      </c>
      <c r="X31" s="24" t="s">
        <v>193</v>
      </c>
      <c r="Y31" s="30" t="s">
        <v>194</v>
      </c>
      <c r="Z31" s="24" t="s">
        <v>195</v>
      </c>
      <c r="AA31" s="28" t="s">
        <v>268</v>
      </c>
      <c r="AB31" s="24" t="s">
        <v>220</v>
      </c>
      <c r="AC31" s="30"/>
      <c r="AD31" s="30"/>
      <c r="AE31" s="37"/>
    </row>
    <row r="32" spans="1:31" ht="15.75" x14ac:dyDescent="0.25">
      <c r="A32" s="23" t="s">
        <v>336</v>
      </c>
      <c r="B32" s="24" t="s">
        <v>337</v>
      </c>
      <c r="C32" s="24" t="s">
        <v>338</v>
      </c>
      <c r="D32" s="24" t="s">
        <v>339</v>
      </c>
      <c r="E32" s="29">
        <v>14020</v>
      </c>
      <c r="F32" s="24" t="s">
        <v>340</v>
      </c>
      <c r="G32" s="24" t="s">
        <v>250</v>
      </c>
      <c r="H32" s="24" t="s">
        <v>192</v>
      </c>
      <c r="I32" s="25">
        <v>101.33152173913</v>
      </c>
      <c r="J32" s="26">
        <v>51.949152542372865</v>
      </c>
      <c r="K32" s="26">
        <v>33.999999999999993</v>
      </c>
      <c r="L32" s="26">
        <v>80.779661016949177</v>
      </c>
      <c r="M32" s="26">
        <v>113.47457627118646</v>
      </c>
      <c r="N32" s="26">
        <v>206.94915254237299</v>
      </c>
      <c r="O32" s="26">
        <v>61.694915254237273</v>
      </c>
      <c r="P32" s="26">
        <v>5.4237288135593218</v>
      </c>
      <c r="Q32" s="26">
        <v>6.1355932203389827</v>
      </c>
      <c r="R32" s="26">
        <v>159.05084745762721</v>
      </c>
      <c r="S32" s="26">
        <v>30.389830508474571</v>
      </c>
      <c r="T32" s="26">
        <v>22.796610169491526</v>
      </c>
      <c r="U32" s="26">
        <v>67.966101694915253</v>
      </c>
      <c r="V32" s="26">
        <v>235.72881355932211</v>
      </c>
      <c r="W32" s="27">
        <v>400</v>
      </c>
      <c r="X32" s="24" t="s">
        <v>193</v>
      </c>
      <c r="Y32" s="30" t="s">
        <v>194</v>
      </c>
      <c r="Z32" s="24" t="s">
        <v>195</v>
      </c>
      <c r="AA32" s="28" t="s">
        <v>341</v>
      </c>
      <c r="AB32" s="24" t="s">
        <v>193</v>
      </c>
      <c r="AC32" s="30" t="s">
        <v>194</v>
      </c>
      <c r="AD32" s="30" t="s">
        <v>195</v>
      </c>
      <c r="AE32" s="37">
        <v>43181</v>
      </c>
    </row>
    <row r="33" spans="1:31" ht="15.75" x14ac:dyDescent="0.25">
      <c r="A33" s="23" t="s">
        <v>312</v>
      </c>
      <c r="B33" s="24" t="s">
        <v>313</v>
      </c>
      <c r="C33" s="24" t="s">
        <v>46</v>
      </c>
      <c r="D33" s="24" t="s">
        <v>314</v>
      </c>
      <c r="E33" s="29">
        <v>80010</v>
      </c>
      <c r="F33" s="24" t="s">
        <v>315</v>
      </c>
      <c r="G33" s="24" t="s">
        <v>207</v>
      </c>
      <c r="H33" s="24" t="s">
        <v>192</v>
      </c>
      <c r="I33" s="25">
        <v>68.649122807017505</v>
      </c>
      <c r="J33" s="26">
        <v>29.694915254237305</v>
      </c>
      <c r="K33" s="26">
        <v>50.016949152542374</v>
      </c>
      <c r="L33" s="26">
        <v>88.644067796610187</v>
      </c>
      <c r="M33" s="26">
        <v>85.779661016949177</v>
      </c>
      <c r="N33" s="26">
        <v>188.89830508474569</v>
      </c>
      <c r="O33" s="26">
        <v>60.338983050847503</v>
      </c>
      <c r="P33" s="26">
        <v>3.9152542372881354</v>
      </c>
      <c r="Q33" s="26">
        <v>0.98305084745762705</v>
      </c>
      <c r="R33" s="26">
        <v>118.49152542372882</v>
      </c>
      <c r="S33" s="26">
        <v>45.711864406779647</v>
      </c>
      <c r="T33" s="26">
        <v>27.406779661016948</v>
      </c>
      <c r="U33" s="26">
        <v>62.525423728813607</v>
      </c>
      <c r="V33" s="26">
        <v>164.61016949152531</v>
      </c>
      <c r="W33" s="27">
        <v>525</v>
      </c>
      <c r="X33" s="24" t="s">
        <v>193</v>
      </c>
      <c r="Y33" s="30" t="s">
        <v>194</v>
      </c>
      <c r="Z33" s="24" t="s">
        <v>195</v>
      </c>
      <c r="AA33" s="28" t="s">
        <v>316</v>
      </c>
      <c r="AB33" s="24" t="s">
        <v>193</v>
      </c>
      <c r="AC33" s="30" t="s">
        <v>194</v>
      </c>
      <c r="AD33" s="30" t="s">
        <v>195</v>
      </c>
      <c r="AE33" s="37">
        <v>43377</v>
      </c>
    </row>
    <row r="34" spans="1:31" ht="15.75" x14ac:dyDescent="0.25">
      <c r="A34" s="23" t="s">
        <v>290</v>
      </c>
      <c r="B34" s="24" t="s">
        <v>291</v>
      </c>
      <c r="C34" s="24" t="s">
        <v>292</v>
      </c>
      <c r="D34" s="24" t="s">
        <v>189</v>
      </c>
      <c r="E34" s="29">
        <v>92231</v>
      </c>
      <c r="F34" s="24" t="s">
        <v>238</v>
      </c>
      <c r="G34" s="24" t="s">
        <v>207</v>
      </c>
      <c r="H34" s="24" t="s">
        <v>192</v>
      </c>
      <c r="I34" s="25">
        <v>109.39766081871301</v>
      </c>
      <c r="J34" s="26">
        <v>213.49152542372886</v>
      </c>
      <c r="K34" s="26">
        <v>6.3220338983050839</v>
      </c>
      <c r="L34" s="26">
        <v>6.1186440677966099</v>
      </c>
      <c r="M34" s="26">
        <v>21.525423728813557</v>
      </c>
      <c r="N34" s="26">
        <v>35.898305084745765</v>
      </c>
      <c r="O34" s="26">
        <v>181.74576271186439</v>
      </c>
      <c r="P34" s="26">
        <v>1.1694915254237288</v>
      </c>
      <c r="Q34" s="26">
        <v>28.644067796610159</v>
      </c>
      <c r="R34" s="26">
        <v>28.677966101694913</v>
      </c>
      <c r="S34" s="26">
        <v>4.9152542372881349</v>
      </c>
      <c r="T34" s="26">
        <v>3.4745762711864403</v>
      </c>
      <c r="U34" s="26">
        <v>210.38983050847463</v>
      </c>
      <c r="V34" s="26">
        <v>150.06779661016964</v>
      </c>
      <c r="W34" s="27">
        <v>640</v>
      </c>
      <c r="X34" s="24" t="s">
        <v>193</v>
      </c>
      <c r="Y34" s="30" t="s">
        <v>194</v>
      </c>
      <c r="Z34" s="24" t="s">
        <v>195</v>
      </c>
      <c r="AA34" s="28" t="s">
        <v>293</v>
      </c>
      <c r="AB34" s="24" t="s">
        <v>193</v>
      </c>
      <c r="AC34" s="30" t="s">
        <v>194</v>
      </c>
      <c r="AD34" s="30" t="s">
        <v>195</v>
      </c>
      <c r="AE34" s="37">
        <v>43482</v>
      </c>
    </row>
    <row r="35" spans="1:31" ht="15.75" x14ac:dyDescent="0.25">
      <c r="A35" s="23" t="s">
        <v>252</v>
      </c>
      <c r="B35" s="24" t="s">
        <v>253</v>
      </c>
      <c r="C35" s="24" t="s">
        <v>254</v>
      </c>
      <c r="D35" s="24" t="s">
        <v>255</v>
      </c>
      <c r="E35" s="29">
        <v>88081</v>
      </c>
      <c r="F35" s="24" t="s">
        <v>256</v>
      </c>
      <c r="G35" s="24" t="s">
        <v>191</v>
      </c>
      <c r="H35" s="24" t="s">
        <v>5</v>
      </c>
      <c r="I35" s="25">
        <v>58.964444444444403</v>
      </c>
      <c r="J35" s="26">
        <v>142.49152542372869</v>
      </c>
      <c r="K35" s="26">
        <v>41.66101694915254</v>
      </c>
      <c r="L35" s="26">
        <v>28.779661016949149</v>
      </c>
      <c r="M35" s="26">
        <v>20.389830508474574</v>
      </c>
      <c r="N35" s="26">
        <v>80.898305084745743</v>
      </c>
      <c r="O35" s="26">
        <v>151.98305084745746</v>
      </c>
      <c r="P35" s="26">
        <v>0</v>
      </c>
      <c r="Q35" s="26">
        <v>0.44067796610169491</v>
      </c>
      <c r="R35" s="26">
        <v>44.237288135593232</v>
      </c>
      <c r="S35" s="26">
        <v>19.864406779661017</v>
      </c>
      <c r="T35" s="26">
        <v>16.728813559322035</v>
      </c>
      <c r="U35" s="26">
        <v>152.49152542372863</v>
      </c>
      <c r="V35" s="26">
        <v>169.2203389830506</v>
      </c>
      <c r="W35" s="27">
        <v>500</v>
      </c>
      <c r="X35" s="24" t="s">
        <v>193</v>
      </c>
      <c r="Y35" s="30" t="s">
        <v>194</v>
      </c>
      <c r="Z35" s="24" t="s">
        <v>195</v>
      </c>
      <c r="AA35" s="28" t="s">
        <v>251</v>
      </c>
      <c r="AB35" s="24" t="s">
        <v>193</v>
      </c>
      <c r="AC35" s="30" t="s">
        <v>194</v>
      </c>
      <c r="AD35" s="30" t="s">
        <v>195</v>
      </c>
      <c r="AE35" s="37">
        <v>43496</v>
      </c>
    </row>
    <row r="36" spans="1:31" ht="15.75" x14ac:dyDescent="0.25">
      <c r="A36" s="23" t="s">
        <v>298</v>
      </c>
      <c r="B36" s="24" t="s">
        <v>299</v>
      </c>
      <c r="C36" s="24" t="s">
        <v>300</v>
      </c>
      <c r="D36" s="24" t="s">
        <v>301</v>
      </c>
      <c r="E36" s="29">
        <v>7105</v>
      </c>
      <c r="F36" s="24" t="s">
        <v>302</v>
      </c>
      <c r="G36" s="24" t="s">
        <v>218</v>
      </c>
      <c r="H36" s="24" t="s">
        <v>5</v>
      </c>
      <c r="I36" s="25">
        <v>144.981818181818</v>
      </c>
      <c r="J36" s="26">
        <v>2</v>
      </c>
      <c r="K36" s="26">
        <v>2.0847457627118642</v>
      </c>
      <c r="L36" s="26">
        <v>123.11864406779658</v>
      </c>
      <c r="M36" s="26">
        <v>87.491525423728774</v>
      </c>
      <c r="N36" s="26">
        <v>139.23728813559313</v>
      </c>
      <c r="O36" s="26">
        <v>75.457627118644069</v>
      </c>
      <c r="P36" s="26">
        <v>0</v>
      </c>
      <c r="Q36" s="26">
        <v>0</v>
      </c>
      <c r="R36" s="26">
        <v>88.457627118644098</v>
      </c>
      <c r="S36" s="26">
        <v>15.711864406779664</v>
      </c>
      <c r="T36" s="26">
        <v>33.779661016949156</v>
      </c>
      <c r="U36" s="26">
        <v>76.74576271186443</v>
      </c>
      <c r="V36" s="26">
        <v>127.18644067796598</v>
      </c>
      <c r="W36" s="27"/>
      <c r="X36" s="24" t="s">
        <v>193</v>
      </c>
      <c r="Y36" s="30" t="s">
        <v>194</v>
      </c>
      <c r="Z36" s="24" t="s">
        <v>195</v>
      </c>
      <c r="AA36" s="28" t="s">
        <v>878</v>
      </c>
      <c r="AB36" s="24" t="s">
        <v>193</v>
      </c>
      <c r="AC36" s="30" t="s">
        <v>194</v>
      </c>
      <c r="AD36" s="30" t="s">
        <v>195</v>
      </c>
      <c r="AE36" s="37">
        <v>43734</v>
      </c>
    </row>
    <row r="37" spans="1:31" ht="15.75" x14ac:dyDescent="0.25">
      <c r="A37" s="23" t="s">
        <v>53</v>
      </c>
      <c r="B37" s="24" t="s">
        <v>411</v>
      </c>
      <c r="C37" s="24" t="s">
        <v>412</v>
      </c>
      <c r="D37" s="24" t="s">
        <v>301</v>
      </c>
      <c r="E37" s="29">
        <v>7601</v>
      </c>
      <c r="F37" s="24" t="s">
        <v>378</v>
      </c>
      <c r="G37" s="24" t="s">
        <v>274</v>
      </c>
      <c r="H37" s="24" t="s">
        <v>192</v>
      </c>
      <c r="I37" s="25">
        <v>59.888235294117599</v>
      </c>
      <c r="J37" s="26">
        <v>42.372881355932194</v>
      </c>
      <c r="K37" s="26">
        <v>19.135593220338979</v>
      </c>
      <c r="L37" s="26">
        <v>79.881355932203391</v>
      </c>
      <c r="M37" s="26">
        <v>68.220338983050823</v>
      </c>
      <c r="N37" s="26">
        <v>134.13559322033899</v>
      </c>
      <c r="O37" s="26">
        <v>62.30508474576272</v>
      </c>
      <c r="P37" s="26">
        <v>9.7457627118644083</v>
      </c>
      <c r="Q37" s="26">
        <v>3.4237288135593227</v>
      </c>
      <c r="R37" s="26">
        <v>76.830508474576291</v>
      </c>
      <c r="S37" s="26">
        <v>33.220338983050844</v>
      </c>
      <c r="T37" s="26">
        <v>34.271186440677965</v>
      </c>
      <c r="U37" s="26">
        <v>65.288135593220318</v>
      </c>
      <c r="V37" s="26">
        <v>148.3050847457628</v>
      </c>
      <c r="W37" s="27"/>
      <c r="X37" s="24" t="s">
        <v>193</v>
      </c>
      <c r="Y37" s="30" t="s">
        <v>323</v>
      </c>
      <c r="Z37" s="24" t="s">
        <v>344</v>
      </c>
      <c r="AA37" s="28" t="s">
        <v>924</v>
      </c>
      <c r="AB37" s="24" t="s">
        <v>193</v>
      </c>
      <c r="AC37" s="30" t="s">
        <v>323</v>
      </c>
      <c r="AD37" s="30" t="s">
        <v>344</v>
      </c>
      <c r="AE37" s="37">
        <v>43524</v>
      </c>
    </row>
    <row r="38" spans="1:31" ht="15.75" x14ac:dyDescent="0.25">
      <c r="A38" s="23" t="s">
        <v>43</v>
      </c>
      <c r="B38" s="24" t="s">
        <v>284</v>
      </c>
      <c r="C38" s="24" t="s">
        <v>285</v>
      </c>
      <c r="D38" s="24" t="s">
        <v>216</v>
      </c>
      <c r="E38" s="29">
        <v>70576</v>
      </c>
      <c r="F38" s="24" t="s">
        <v>217</v>
      </c>
      <c r="G38" s="24" t="s">
        <v>191</v>
      </c>
      <c r="H38" s="24" t="s">
        <v>5</v>
      </c>
      <c r="I38" s="25">
        <v>75.126213592233</v>
      </c>
      <c r="J38" s="26">
        <v>88.254237288135556</v>
      </c>
      <c r="K38" s="26">
        <v>47.288135593220346</v>
      </c>
      <c r="L38" s="26">
        <v>50.474576271186486</v>
      </c>
      <c r="M38" s="26">
        <v>21.271186440677976</v>
      </c>
      <c r="N38" s="26">
        <v>84.474576271186393</v>
      </c>
      <c r="O38" s="26">
        <v>122.8135593220339</v>
      </c>
      <c r="P38" s="26">
        <v>0</v>
      </c>
      <c r="Q38" s="26">
        <v>0</v>
      </c>
      <c r="R38" s="26">
        <v>44.711864406779689</v>
      </c>
      <c r="S38" s="26">
        <v>11.42372881355932</v>
      </c>
      <c r="T38" s="26">
        <v>28.338983050847464</v>
      </c>
      <c r="U38" s="26">
        <v>122.81355932203391</v>
      </c>
      <c r="V38" s="26">
        <v>147.8474576271185</v>
      </c>
      <c r="W38" s="27"/>
      <c r="X38" s="24" t="s">
        <v>193</v>
      </c>
      <c r="Y38" s="30" t="s">
        <v>194</v>
      </c>
      <c r="Z38" s="24" t="s">
        <v>195</v>
      </c>
      <c r="AA38" s="28" t="s">
        <v>286</v>
      </c>
      <c r="AB38" s="24" t="s">
        <v>193</v>
      </c>
      <c r="AC38" s="30" t="s">
        <v>194</v>
      </c>
      <c r="AD38" s="30" t="s">
        <v>195</v>
      </c>
      <c r="AE38" s="37">
        <v>43216</v>
      </c>
    </row>
    <row r="39" spans="1:31" ht="15.75" x14ac:dyDescent="0.25">
      <c r="A39" s="23" t="s">
        <v>388</v>
      </c>
      <c r="B39" s="24" t="s">
        <v>389</v>
      </c>
      <c r="C39" s="24" t="s">
        <v>390</v>
      </c>
      <c r="D39" s="24" t="s">
        <v>311</v>
      </c>
      <c r="E39" s="29">
        <v>32063</v>
      </c>
      <c r="F39" s="24" t="s">
        <v>33</v>
      </c>
      <c r="G39" s="24" t="s">
        <v>218</v>
      </c>
      <c r="H39" s="24" t="s">
        <v>192</v>
      </c>
      <c r="I39" s="25">
        <v>63.761363636363598</v>
      </c>
      <c r="J39" s="26">
        <v>15.033898305084746</v>
      </c>
      <c r="K39" s="26">
        <v>46.559322033898312</v>
      </c>
      <c r="L39" s="26">
        <v>95.050847457627071</v>
      </c>
      <c r="M39" s="26">
        <v>45.135593220338976</v>
      </c>
      <c r="N39" s="26">
        <v>137.94915254237293</v>
      </c>
      <c r="O39" s="26">
        <v>56.000000000000014</v>
      </c>
      <c r="P39" s="26">
        <v>6.7288135593220328</v>
      </c>
      <c r="Q39" s="26">
        <v>1.1016949152542372</v>
      </c>
      <c r="R39" s="26">
        <v>85.084745762711918</v>
      </c>
      <c r="S39" s="26">
        <v>35.898305084745772</v>
      </c>
      <c r="T39" s="26">
        <v>22.593220338983055</v>
      </c>
      <c r="U39" s="26">
        <v>58.203389830508492</v>
      </c>
      <c r="V39" s="26">
        <v>139.88135593220346</v>
      </c>
      <c r="W39" s="27"/>
      <c r="X39" s="24" t="s">
        <v>193</v>
      </c>
      <c r="Y39" s="30" t="s">
        <v>323</v>
      </c>
      <c r="Z39" s="24" t="s">
        <v>344</v>
      </c>
      <c r="AA39" s="28" t="s">
        <v>391</v>
      </c>
      <c r="AB39" s="24" t="s">
        <v>193</v>
      </c>
      <c r="AC39" s="30" t="s">
        <v>323</v>
      </c>
      <c r="AD39" s="30" t="s">
        <v>344</v>
      </c>
      <c r="AE39" s="37">
        <v>43252</v>
      </c>
    </row>
    <row r="40" spans="1:31" ht="15.75" x14ac:dyDescent="0.25">
      <c r="A40" s="23" t="s">
        <v>281</v>
      </c>
      <c r="B40" s="24" t="s">
        <v>282</v>
      </c>
      <c r="C40" s="24" t="s">
        <v>283</v>
      </c>
      <c r="D40" s="24" t="s">
        <v>205</v>
      </c>
      <c r="E40" s="29">
        <v>77032</v>
      </c>
      <c r="F40" s="24" t="s">
        <v>260</v>
      </c>
      <c r="G40" s="24" t="s">
        <v>207</v>
      </c>
      <c r="H40" s="24" t="s">
        <v>192</v>
      </c>
      <c r="I40" s="25">
        <v>43.496437054631798</v>
      </c>
      <c r="J40" s="26">
        <v>82.423728813559364</v>
      </c>
      <c r="K40" s="26">
        <v>60.457627118644091</v>
      </c>
      <c r="L40" s="26">
        <v>29.322033898305087</v>
      </c>
      <c r="M40" s="26">
        <v>23.525423728813557</v>
      </c>
      <c r="N40" s="26">
        <v>77.932203389830576</v>
      </c>
      <c r="O40" s="26">
        <v>94.406779661016884</v>
      </c>
      <c r="P40" s="26">
        <v>7.6610169491525424</v>
      </c>
      <c r="Q40" s="26">
        <v>15.728813559322029</v>
      </c>
      <c r="R40" s="26">
        <v>35.542372881355966</v>
      </c>
      <c r="S40" s="26">
        <v>22.610169491525426</v>
      </c>
      <c r="T40" s="26">
        <v>27.932203389830516</v>
      </c>
      <c r="U40" s="26">
        <v>109.64406779661012</v>
      </c>
      <c r="V40" s="26">
        <v>135.32203389830516</v>
      </c>
      <c r="W40" s="27">
        <v>750</v>
      </c>
      <c r="X40" s="24" t="s">
        <v>193</v>
      </c>
      <c r="Y40" s="30" t="s">
        <v>194</v>
      </c>
      <c r="Z40" s="24" t="s">
        <v>195</v>
      </c>
      <c r="AA40" s="28" t="s">
        <v>212</v>
      </c>
      <c r="AB40" s="24" t="s">
        <v>193</v>
      </c>
      <c r="AC40" s="30" t="s">
        <v>194</v>
      </c>
      <c r="AD40" s="30" t="s">
        <v>195</v>
      </c>
      <c r="AE40" s="37">
        <v>43475</v>
      </c>
    </row>
    <row r="41" spans="1:31" ht="15.75" x14ac:dyDescent="0.25">
      <c r="A41" s="23" t="s">
        <v>262</v>
      </c>
      <c r="B41" s="24" t="s">
        <v>263</v>
      </c>
      <c r="C41" s="24" t="s">
        <v>264</v>
      </c>
      <c r="D41" s="24" t="s">
        <v>216</v>
      </c>
      <c r="E41" s="29">
        <v>71202</v>
      </c>
      <c r="F41" s="24" t="s">
        <v>217</v>
      </c>
      <c r="G41" s="24" t="s">
        <v>191</v>
      </c>
      <c r="H41" s="24" t="s">
        <v>5</v>
      </c>
      <c r="I41" s="25">
        <v>54.2</v>
      </c>
      <c r="J41" s="26">
        <v>137.22033898305108</v>
      </c>
      <c r="K41" s="26">
        <v>26.864406779661021</v>
      </c>
      <c r="L41" s="26">
        <v>18.016949152542374</v>
      </c>
      <c r="M41" s="26">
        <v>9.7796610169491487</v>
      </c>
      <c r="N41" s="26">
        <v>37.389830508474567</v>
      </c>
      <c r="O41" s="26">
        <v>154.08474576271212</v>
      </c>
      <c r="P41" s="26">
        <v>0</v>
      </c>
      <c r="Q41" s="26">
        <v>0.40677966101694918</v>
      </c>
      <c r="R41" s="26">
        <v>14.067796610169495</v>
      </c>
      <c r="S41" s="26">
        <v>11.101694915254239</v>
      </c>
      <c r="T41" s="26">
        <v>11.813559322033896</v>
      </c>
      <c r="U41" s="26">
        <v>154.898305084746</v>
      </c>
      <c r="V41" s="26">
        <v>166.42372881355976</v>
      </c>
      <c r="W41" s="27">
        <v>677</v>
      </c>
      <c r="X41" s="24" t="s">
        <v>193</v>
      </c>
      <c r="Y41" s="30" t="s">
        <v>927</v>
      </c>
      <c r="Z41" s="24"/>
      <c r="AA41" s="28" t="s">
        <v>903</v>
      </c>
      <c r="AB41" s="24" t="s">
        <v>193</v>
      </c>
      <c r="AC41" s="30" t="s">
        <v>194</v>
      </c>
      <c r="AD41" s="30" t="s">
        <v>195</v>
      </c>
      <c r="AE41" s="37">
        <v>43741</v>
      </c>
    </row>
    <row r="42" spans="1:31" ht="15.75" x14ac:dyDescent="0.25">
      <c r="A42" s="23" t="s">
        <v>384</v>
      </c>
      <c r="B42" s="24" t="s">
        <v>385</v>
      </c>
      <c r="C42" s="24" t="s">
        <v>386</v>
      </c>
      <c r="D42" s="24" t="s">
        <v>306</v>
      </c>
      <c r="E42" s="29">
        <v>22427</v>
      </c>
      <c r="F42" s="24" t="s">
        <v>307</v>
      </c>
      <c r="G42" s="24" t="s">
        <v>191</v>
      </c>
      <c r="H42" s="24" t="s">
        <v>192</v>
      </c>
      <c r="I42" s="25">
        <v>31.442953020134201</v>
      </c>
      <c r="J42" s="26">
        <v>21.983050847457633</v>
      </c>
      <c r="K42" s="26">
        <v>44.067796610169523</v>
      </c>
      <c r="L42" s="26">
        <v>48.966101694915281</v>
      </c>
      <c r="M42" s="26">
        <v>55.118644067796609</v>
      </c>
      <c r="N42" s="26">
        <v>136.5423728813559</v>
      </c>
      <c r="O42" s="26">
        <v>33.067796610169502</v>
      </c>
      <c r="P42" s="26">
        <v>0.28813559322033899</v>
      </c>
      <c r="Q42" s="26">
        <v>0.23728813559322037</v>
      </c>
      <c r="R42" s="26">
        <v>61.728813559322084</v>
      </c>
      <c r="S42" s="26">
        <v>47.847457627118658</v>
      </c>
      <c r="T42" s="26">
        <v>26.864406779661028</v>
      </c>
      <c r="U42" s="26">
        <v>33.694915254237301</v>
      </c>
      <c r="V42" s="26">
        <v>106.10169491525426</v>
      </c>
      <c r="W42" s="27">
        <v>224</v>
      </c>
      <c r="X42" s="24" t="s">
        <v>193</v>
      </c>
      <c r="Y42" s="30" t="s">
        <v>194</v>
      </c>
      <c r="Z42" s="24" t="s">
        <v>197</v>
      </c>
      <c r="AA42" s="28" t="s">
        <v>845</v>
      </c>
      <c r="AB42" s="24" t="s">
        <v>193</v>
      </c>
      <c r="AC42" s="30" t="s">
        <v>194</v>
      </c>
      <c r="AD42" s="30" t="s">
        <v>195</v>
      </c>
      <c r="AE42" s="37">
        <v>43587</v>
      </c>
    </row>
    <row r="43" spans="1:31" ht="15.75" x14ac:dyDescent="0.25">
      <c r="A43" s="23" t="s">
        <v>208</v>
      </c>
      <c r="B43" s="24" t="s">
        <v>926</v>
      </c>
      <c r="C43" s="24" t="s">
        <v>209</v>
      </c>
      <c r="D43" s="24" t="s">
        <v>205</v>
      </c>
      <c r="E43" s="29">
        <v>78017</v>
      </c>
      <c r="F43" s="24" t="s">
        <v>206</v>
      </c>
      <c r="G43" s="24" t="s">
        <v>210</v>
      </c>
      <c r="H43" s="24" t="s">
        <v>192</v>
      </c>
      <c r="I43" s="25">
        <v>52.058823529411796</v>
      </c>
      <c r="J43" s="26">
        <v>160.42372881355888</v>
      </c>
      <c r="K43" s="26">
        <v>5.7457627118644083</v>
      </c>
      <c r="L43" s="26">
        <v>0.1864406779661017</v>
      </c>
      <c r="M43" s="26">
        <v>0</v>
      </c>
      <c r="N43" s="26">
        <v>8.4745762711864403E-2</v>
      </c>
      <c r="O43" s="26">
        <v>59.254237288135656</v>
      </c>
      <c r="P43" s="26">
        <v>1.2881355932203391</v>
      </c>
      <c r="Q43" s="26">
        <v>105.72881355932195</v>
      </c>
      <c r="R43" s="26">
        <v>0</v>
      </c>
      <c r="S43" s="26">
        <v>0</v>
      </c>
      <c r="T43" s="26">
        <v>1.3728813559322033</v>
      </c>
      <c r="U43" s="26">
        <v>164.98305084745721</v>
      </c>
      <c r="V43" s="26">
        <v>155.101694915254</v>
      </c>
      <c r="W43" s="27">
        <v>2400</v>
      </c>
      <c r="X43" s="24" t="s">
        <v>193</v>
      </c>
      <c r="Y43" s="30" t="s">
        <v>211</v>
      </c>
      <c r="Z43" s="24" t="s">
        <v>197</v>
      </c>
      <c r="AA43" s="28" t="s">
        <v>925</v>
      </c>
      <c r="AB43" s="24" t="s">
        <v>193</v>
      </c>
      <c r="AC43" s="30" t="s">
        <v>211</v>
      </c>
      <c r="AD43" s="30" t="s">
        <v>197</v>
      </c>
      <c r="AE43" s="37">
        <v>43839</v>
      </c>
    </row>
    <row r="44" spans="1:31" ht="15.75" x14ac:dyDescent="0.25">
      <c r="A44" s="23" t="s">
        <v>347</v>
      </c>
      <c r="B44" s="24" t="s">
        <v>348</v>
      </c>
      <c r="C44" s="24" t="s">
        <v>349</v>
      </c>
      <c r="D44" s="24" t="s">
        <v>216</v>
      </c>
      <c r="E44" s="29">
        <v>71334</v>
      </c>
      <c r="F44" s="24" t="s">
        <v>217</v>
      </c>
      <c r="G44" s="24" t="s">
        <v>191</v>
      </c>
      <c r="H44" s="24" t="s">
        <v>5</v>
      </c>
      <c r="I44" s="25">
        <v>78.260606060606094</v>
      </c>
      <c r="J44" s="26">
        <v>114.10169491525437</v>
      </c>
      <c r="K44" s="26">
        <v>21.525423728813561</v>
      </c>
      <c r="L44" s="26">
        <v>15.44067796610169</v>
      </c>
      <c r="M44" s="26">
        <v>11.169491525423728</v>
      </c>
      <c r="N44" s="26">
        <v>33.847457627118658</v>
      </c>
      <c r="O44" s="26">
        <v>128.38983050847472</v>
      </c>
      <c r="P44" s="26">
        <v>0</v>
      </c>
      <c r="Q44" s="26">
        <v>0</v>
      </c>
      <c r="R44" s="26">
        <v>11.389830508474576</v>
      </c>
      <c r="S44" s="26">
        <v>10.084745762711862</v>
      </c>
      <c r="T44" s="26">
        <v>12.372881355932201</v>
      </c>
      <c r="U44" s="26">
        <v>128.38983050847472</v>
      </c>
      <c r="V44" s="26">
        <v>127.79661016949173</v>
      </c>
      <c r="W44" s="27">
        <v>361</v>
      </c>
      <c r="X44" s="24" t="s">
        <v>193</v>
      </c>
      <c r="Y44" s="30" t="s">
        <v>323</v>
      </c>
      <c r="Z44" s="24" t="s">
        <v>344</v>
      </c>
      <c r="AA44" s="28" t="s">
        <v>919</v>
      </c>
      <c r="AB44" s="24" t="s">
        <v>193</v>
      </c>
      <c r="AC44" s="30" t="s">
        <v>323</v>
      </c>
      <c r="AD44" s="30" t="s">
        <v>344</v>
      </c>
      <c r="AE44" s="37">
        <v>43762</v>
      </c>
    </row>
    <row r="45" spans="1:31" ht="15.75" x14ac:dyDescent="0.25">
      <c r="A45" s="23" t="s">
        <v>351</v>
      </c>
      <c r="B45" s="24" t="s">
        <v>352</v>
      </c>
      <c r="C45" s="24" t="s">
        <v>353</v>
      </c>
      <c r="D45" s="24" t="s">
        <v>205</v>
      </c>
      <c r="E45" s="29">
        <v>77351</v>
      </c>
      <c r="F45" s="24" t="s">
        <v>260</v>
      </c>
      <c r="G45" s="24" t="s">
        <v>218</v>
      </c>
      <c r="H45" s="24" t="s">
        <v>5</v>
      </c>
      <c r="I45" s="25">
        <v>56.404181184669</v>
      </c>
      <c r="J45" s="26">
        <v>61.966101694915267</v>
      </c>
      <c r="K45" s="26">
        <v>31.050847457627132</v>
      </c>
      <c r="L45" s="26">
        <v>34.457627118644091</v>
      </c>
      <c r="M45" s="26">
        <v>19.627118644067792</v>
      </c>
      <c r="N45" s="26">
        <v>71.796610169491544</v>
      </c>
      <c r="O45" s="26">
        <v>75.305084745762713</v>
      </c>
      <c r="P45" s="26">
        <v>0</v>
      </c>
      <c r="Q45" s="26">
        <v>0</v>
      </c>
      <c r="R45" s="26">
        <v>31.847457627118636</v>
      </c>
      <c r="S45" s="26">
        <v>22.016949152542381</v>
      </c>
      <c r="T45" s="26">
        <v>17.627118644067796</v>
      </c>
      <c r="U45" s="26">
        <v>75.610169491525426</v>
      </c>
      <c r="V45" s="26">
        <v>120.23728813559326</v>
      </c>
      <c r="W45" s="27">
        <v>350</v>
      </c>
      <c r="X45" s="24" t="s">
        <v>193</v>
      </c>
      <c r="Y45" s="30" t="s">
        <v>323</v>
      </c>
      <c r="Z45" s="24" t="s">
        <v>344</v>
      </c>
      <c r="AA45" s="28" t="s">
        <v>212</v>
      </c>
      <c r="AB45" s="24" t="s">
        <v>193</v>
      </c>
      <c r="AC45" s="30" t="s">
        <v>323</v>
      </c>
      <c r="AD45" s="30" t="s">
        <v>344</v>
      </c>
      <c r="AE45" s="37">
        <v>43475</v>
      </c>
    </row>
    <row r="46" spans="1:31" ht="15.75" x14ac:dyDescent="0.25">
      <c r="A46" s="23" t="s">
        <v>303</v>
      </c>
      <c r="B46" s="24" t="s">
        <v>304</v>
      </c>
      <c r="C46" s="24" t="s">
        <v>305</v>
      </c>
      <c r="D46" s="24" t="s">
        <v>306</v>
      </c>
      <c r="E46" s="29">
        <v>23901</v>
      </c>
      <c r="F46" s="24" t="s">
        <v>307</v>
      </c>
      <c r="G46" s="24" t="s">
        <v>191</v>
      </c>
      <c r="H46" s="24" t="s">
        <v>5</v>
      </c>
      <c r="I46" s="25">
        <v>255.95454545454501</v>
      </c>
      <c r="J46" s="26">
        <v>17.881355932203391</v>
      </c>
      <c r="K46" s="26">
        <v>29.559322033898304</v>
      </c>
      <c r="L46" s="26">
        <v>37.694915254237287</v>
      </c>
      <c r="M46" s="26">
        <v>53.694915254237294</v>
      </c>
      <c r="N46" s="26">
        <v>112.93220338983048</v>
      </c>
      <c r="O46" s="26">
        <v>25.898305084745765</v>
      </c>
      <c r="P46" s="26">
        <v>0</v>
      </c>
      <c r="Q46" s="26">
        <v>0</v>
      </c>
      <c r="R46" s="26">
        <v>65.983050847457633</v>
      </c>
      <c r="S46" s="26">
        <v>31.677966101694917</v>
      </c>
      <c r="T46" s="26">
        <v>15.271186440677965</v>
      </c>
      <c r="U46" s="26">
        <v>25.898305084745765</v>
      </c>
      <c r="V46" s="26">
        <v>98.644067796610145</v>
      </c>
      <c r="W46" s="27">
        <v>500</v>
      </c>
      <c r="X46" s="24" t="s">
        <v>193</v>
      </c>
      <c r="Y46" s="30" t="s">
        <v>194</v>
      </c>
      <c r="Z46" s="24" t="s">
        <v>197</v>
      </c>
      <c r="AA46" s="28" t="s">
        <v>924</v>
      </c>
      <c r="AB46" s="24" t="s">
        <v>193</v>
      </c>
      <c r="AC46" s="30" t="s">
        <v>194</v>
      </c>
      <c r="AD46" s="30" t="s">
        <v>195</v>
      </c>
      <c r="AE46" s="37">
        <v>43524</v>
      </c>
    </row>
    <row r="47" spans="1:31" ht="15.75" x14ac:dyDescent="0.25">
      <c r="A47" s="23" t="s">
        <v>404</v>
      </c>
      <c r="B47" s="24" t="s">
        <v>405</v>
      </c>
      <c r="C47" s="24" t="s">
        <v>25</v>
      </c>
      <c r="D47" s="24" t="s">
        <v>301</v>
      </c>
      <c r="E47" s="29">
        <v>7201</v>
      </c>
      <c r="F47" s="24" t="s">
        <v>302</v>
      </c>
      <c r="G47" s="24" t="s">
        <v>207</v>
      </c>
      <c r="H47" s="24" t="s">
        <v>192</v>
      </c>
      <c r="I47" s="25">
        <v>27.847457627118601</v>
      </c>
      <c r="J47" s="26">
        <v>80.203389830508129</v>
      </c>
      <c r="K47" s="26">
        <v>51.372881355932208</v>
      </c>
      <c r="L47" s="26">
        <v>3.1186440677966099</v>
      </c>
      <c r="M47" s="26">
        <v>0.11864406779661016</v>
      </c>
      <c r="N47" s="26">
        <v>36.474576271186443</v>
      </c>
      <c r="O47" s="26">
        <v>86.237288135593019</v>
      </c>
      <c r="P47" s="26">
        <v>1.5254237288135593</v>
      </c>
      <c r="Q47" s="26">
        <v>10.576271186440696</v>
      </c>
      <c r="R47" s="26">
        <v>7.3898305084745761</v>
      </c>
      <c r="S47" s="26">
        <v>7.0169491525423737</v>
      </c>
      <c r="T47" s="26">
        <v>23.711864406779657</v>
      </c>
      <c r="U47" s="26">
        <v>96.694915254236946</v>
      </c>
      <c r="V47" s="26">
        <v>71.728813559321736</v>
      </c>
      <c r="W47" s="27">
        <v>285</v>
      </c>
      <c r="X47" s="24" t="s">
        <v>193</v>
      </c>
      <c r="Y47" s="30" t="s">
        <v>194</v>
      </c>
      <c r="Z47" s="24" t="s">
        <v>195</v>
      </c>
      <c r="AA47" s="28" t="s">
        <v>845</v>
      </c>
      <c r="AB47" s="24" t="s">
        <v>193</v>
      </c>
      <c r="AC47" s="30" t="s">
        <v>194</v>
      </c>
      <c r="AD47" s="30" t="s">
        <v>195</v>
      </c>
      <c r="AE47" s="37">
        <v>43741</v>
      </c>
    </row>
    <row r="48" spans="1:31" ht="15.75" x14ac:dyDescent="0.25">
      <c r="A48" s="23" t="s">
        <v>392</v>
      </c>
      <c r="B48" s="24" t="s">
        <v>393</v>
      </c>
      <c r="C48" s="24" t="s">
        <v>394</v>
      </c>
      <c r="D48" s="24" t="s">
        <v>395</v>
      </c>
      <c r="E48" s="29">
        <v>60098</v>
      </c>
      <c r="F48" s="24" t="s">
        <v>40</v>
      </c>
      <c r="G48" s="24" t="s">
        <v>274</v>
      </c>
      <c r="H48" s="24" t="s">
        <v>192</v>
      </c>
      <c r="I48" s="25">
        <v>32.207999999999998</v>
      </c>
      <c r="J48" s="26">
        <v>32.898305084745765</v>
      </c>
      <c r="K48" s="26">
        <v>20.322033898305087</v>
      </c>
      <c r="L48" s="26">
        <v>37.033898305084755</v>
      </c>
      <c r="M48" s="26">
        <v>42.084745762711869</v>
      </c>
      <c r="N48" s="26">
        <v>88.18644067796609</v>
      </c>
      <c r="O48" s="26">
        <v>40.322033898305065</v>
      </c>
      <c r="P48" s="26">
        <v>1.3220338983050848</v>
      </c>
      <c r="Q48" s="26">
        <v>2.5084745762711869</v>
      </c>
      <c r="R48" s="26">
        <v>48.169491525423759</v>
      </c>
      <c r="S48" s="26">
        <v>20.457627118644076</v>
      </c>
      <c r="T48" s="26">
        <v>20.118644067796613</v>
      </c>
      <c r="U48" s="26">
        <v>43.593220338983024</v>
      </c>
      <c r="V48" s="26">
        <v>78.999999999999943</v>
      </c>
      <c r="W48" s="27"/>
      <c r="X48" s="24" t="s">
        <v>193</v>
      </c>
      <c r="Y48" s="30" t="s">
        <v>323</v>
      </c>
      <c r="Z48" s="24" t="s">
        <v>344</v>
      </c>
      <c r="AA48" s="28" t="s">
        <v>904</v>
      </c>
      <c r="AB48" s="24" t="s">
        <v>193</v>
      </c>
      <c r="AC48" s="30" t="s">
        <v>323</v>
      </c>
      <c r="AD48" s="30" t="s">
        <v>344</v>
      </c>
      <c r="AE48" s="37">
        <v>43629</v>
      </c>
    </row>
    <row r="49" spans="1:31" ht="15.75" x14ac:dyDescent="0.25">
      <c r="A49" s="23" t="s">
        <v>413</v>
      </c>
      <c r="B49" s="24" t="s">
        <v>414</v>
      </c>
      <c r="C49" s="24" t="s">
        <v>51</v>
      </c>
      <c r="D49" s="24" t="s">
        <v>415</v>
      </c>
      <c r="E49" s="29">
        <v>89015</v>
      </c>
      <c r="F49" s="24" t="s">
        <v>416</v>
      </c>
      <c r="G49" s="24" t="s">
        <v>274</v>
      </c>
      <c r="H49" s="24" t="s">
        <v>192</v>
      </c>
      <c r="I49" s="25">
        <v>62.834532374100696</v>
      </c>
      <c r="J49" s="26">
        <v>18.627118644067796</v>
      </c>
      <c r="K49" s="26">
        <v>45.254237288135606</v>
      </c>
      <c r="L49" s="26">
        <v>51.389830508474589</v>
      </c>
      <c r="M49" s="26">
        <v>16.779661016949156</v>
      </c>
      <c r="N49" s="26">
        <v>81.949152542372872</v>
      </c>
      <c r="O49" s="26">
        <v>33.576271186440664</v>
      </c>
      <c r="P49" s="26">
        <v>11.898305084745761</v>
      </c>
      <c r="Q49" s="26">
        <v>4.6271186440677967</v>
      </c>
      <c r="R49" s="26">
        <v>43.406779661016934</v>
      </c>
      <c r="S49" s="26">
        <v>30.305084745762709</v>
      </c>
      <c r="T49" s="26">
        <v>19.813559322033893</v>
      </c>
      <c r="U49" s="26">
        <v>38.525423728813564</v>
      </c>
      <c r="V49" s="26">
        <v>99.711864406779739</v>
      </c>
      <c r="W49" s="27"/>
      <c r="X49" s="24" t="s">
        <v>193</v>
      </c>
      <c r="Y49" s="30" t="s">
        <v>323</v>
      </c>
      <c r="Z49" s="24" t="s">
        <v>344</v>
      </c>
      <c r="AA49" s="28" t="s">
        <v>403</v>
      </c>
      <c r="AB49" s="24" t="s">
        <v>193</v>
      </c>
      <c r="AC49" s="30" t="s">
        <v>323</v>
      </c>
      <c r="AD49" s="30" t="s">
        <v>344</v>
      </c>
      <c r="AE49" s="37">
        <v>43300</v>
      </c>
    </row>
    <row r="50" spans="1:31" ht="15.75" x14ac:dyDescent="0.25">
      <c r="A50" s="23" t="s">
        <v>9</v>
      </c>
      <c r="B50" s="24" t="s">
        <v>382</v>
      </c>
      <c r="C50" s="24" t="s">
        <v>34</v>
      </c>
      <c r="D50" s="24" t="s">
        <v>216</v>
      </c>
      <c r="E50" s="29">
        <v>71303</v>
      </c>
      <c r="F50" s="24" t="s">
        <v>217</v>
      </c>
      <c r="G50" s="24" t="s">
        <v>383</v>
      </c>
      <c r="H50" s="24" t="s">
        <v>5</v>
      </c>
      <c r="I50" s="25">
        <v>2.9515011547344101</v>
      </c>
      <c r="J50" s="26">
        <v>34.508474576271503</v>
      </c>
      <c r="K50" s="26">
        <v>21.169491525423837</v>
      </c>
      <c r="L50" s="26">
        <v>37.152542372881683</v>
      </c>
      <c r="M50" s="26">
        <v>35.864406779661209</v>
      </c>
      <c r="N50" s="26">
        <v>85.796610169491316</v>
      </c>
      <c r="O50" s="26">
        <v>42.762711864407244</v>
      </c>
      <c r="P50" s="26">
        <v>8.4745762711864403E-2</v>
      </c>
      <c r="Q50" s="26">
        <v>5.0847457627118647E-2</v>
      </c>
      <c r="R50" s="26">
        <v>49.389830508474894</v>
      </c>
      <c r="S50" s="26">
        <v>18.08474576271195</v>
      </c>
      <c r="T50" s="26">
        <v>18.084745762711933</v>
      </c>
      <c r="U50" s="26">
        <v>43.135593220339452</v>
      </c>
      <c r="V50" s="26">
        <v>127.23728813559156</v>
      </c>
      <c r="W50" s="27"/>
      <c r="X50" s="24" t="s">
        <v>220</v>
      </c>
      <c r="Y50" s="30"/>
      <c r="Z50" s="24"/>
      <c r="AA50" s="28"/>
      <c r="AB50" s="24" t="s">
        <v>220</v>
      </c>
      <c r="AC50" s="30"/>
      <c r="AD50" s="30"/>
      <c r="AE50" s="37"/>
    </row>
    <row r="51" spans="1:31" ht="15.75" x14ac:dyDescent="0.25">
      <c r="A51" s="23" t="s">
        <v>441</v>
      </c>
      <c r="B51" s="24" t="s">
        <v>442</v>
      </c>
      <c r="C51" s="24" t="s">
        <v>443</v>
      </c>
      <c r="D51" s="24" t="s">
        <v>444</v>
      </c>
      <c r="E51" s="29">
        <v>49014</v>
      </c>
      <c r="F51" s="24" t="s">
        <v>436</v>
      </c>
      <c r="G51" s="24" t="s">
        <v>218</v>
      </c>
      <c r="H51" s="24" t="s">
        <v>192</v>
      </c>
      <c r="I51" s="25">
        <v>50.280219780219802</v>
      </c>
      <c r="J51" s="26">
        <v>18.338983050847457</v>
      </c>
      <c r="K51" s="26">
        <v>46.745762711864387</v>
      </c>
      <c r="L51" s="26">
        <v>42.152542372881356</v>
      </c>
      <c r="M51" s="26">
        <v>18.79661016949153</v>
      </c>
      <c r="N51" s="26">
        <v>93.593220338983002</v>
      </c>
      <c r="O51" s="26">
        <v>25.525423728813557</v>
      </c>
      <c r="P51" s="26">
        <v>5</v>
      </c>
      <c r="Q51" s="26">
        <v>1.9152542372881356</v>
      </c>
      <c r="R51" s="26">
        <v>48.186440677966083</v>
      </c>
      <c r="S51" s="26">
        <v>22.932203389830512</v>
      </c>
      <c r="T51" s="26">
        <v>27.440677966101696</v>
      </c>
      <c r="U51" s="26">
        <v>27.474576271186436</v>
      </c>
      <c r="V51" s="26">
        <v>87.372881355932194</v>
      </c>
      <c r="W51" s="27"/>
      <c r="X51" s="24" t="s">
        <v>193</v>
      </c>
      <c r="Y51" s="30" t="s">
        <v>323</v>
      </c>
      <c r="Z51" s="24" t="s">
        <v>344</v>
      </c>
      <c r="AA51" s="28" t="s">
        <v>917</v>
      </c>
      <c r="AB51" s="24" t="s">
        <v>193</v>
      </c>
      <c r="AC51" s="30" t="s">
        <v>323</v>
      </c>
      <c r="AD51" s="30" t="s">
        <v>344</v>
      </c>
      <c r="AE51" s="37">
        <v>43531</v>
      </c>
    </row>
    <row r="52" spans="1:31" ht="15.75" x14ac:dyDescent="0.25">
      <c r="A52" s="23" t="s">
        <v>400</v>
      </c>
      <c r="B52" s="24" t="s">
        <v>401</v>
      </c>
      <c r="C52" s="24" t="s">
        <v>402</v>
      </c>
      <c r="D52" s="24" t="s">
        <v>50</v>
      </c>
      <c r="E52" s="29">
        <v>35901</v>
      </c>
      <c r="F52" s="24" t="s">
        <v>217</v>
      </c>
      <c r="G52" s="24" t="s">
        <v>274</v>
      </c>
      <c r="H52" s="24" t="s">
        <v>5</v>
      </c>
      <c r="I52" s="25">
        <v>55.606779661017001</v>
      </c>
      <c r="J52" s="26">
        <v>39.118644067796623</v>
      </c>
      <c r="K52" s="26">
        <v>16.542372881355952</v>
      </c>
      <c r="L52" s="26">
        <v>25.796610169491533</v>
      </c>
      <c r="M52" s="26">
        <v>37.440677966101696</v>
      </c>
      <c r="N52" s="26">
        <v>66.084745762711947</v>
      </c>
      <c r="O52" s="26">
        <v>52.813559322033981</v>
      </c>
      <c r="P52" s="26">
        <v>0</v>
      </c>
      <c r="Q52" s="26">
        <v>0</v>
      </c>
      <c r="R52" s="26">
        <v>47.372881355932215</v>
      </c>
      <c r="S52" s="26">
        <v>9.220338983050846</v>
      </c>
      <c r="T52" s="26">
        <v>9.4237288135593218</v>
      </c>
      <c r="U52" s="26">
        <v>52.881355932203476</v>
      </c>
      <c r="V52" s="26">
        <v>106.64406779661024</v>
      </c>
      <c r="W52" s="27"/>
      <c r="X52" s="24" t="s">
        <v>193</v>
      </c>
      <c r="Y52" s="30" t="s">
        <v>323</v>
      </c>
      <c r="Z52" s="24"/>
      <c r="AA52" s="28" t="s">
        <v>923</v>
      </c>
      <c r="AB52" s="24" t="s">
        <v>193</v>
      </c>
      <c r="AC52" s="30" t="s">
        <v>323</v>
      </c>
      <c r="AD52" s="30" t="s">
        <v>344</v>
      </c>
      <c r="AE52" s="37">
        <v>43664</v>
      </c>
    </row>
    <row r="53" spans="1:31" ht="15.75" x14ac:dyDescent="0.25">
      <c r="A53" s="23" t="s">
        <v>922</v>
      </c>
      <c r="B53" s="24" t="s">
        <v>921</v>
      </c>
      <c r="C53" s="24" t="s">
        <v>358</v>
      </c>
      <c r="D53" s="24" t="s">
        <v>222</v>
      </c>
      <c r="E53" s="29">
        <v>85132</v>
      </c>
      <c r="F53" s="24" t="s">
        <v>223</v>
      </c>
      <c r="G53" s="24" t="s">
        <v>274</v>
      </c>
      <c r="H53" s="24" t="s">
        <v>5</v>
      </c>
      <c r="I53" s="25">
        <v>25.601532567049802</v>
      </c>
      <c r="J53" s="26">
        <v>83.915254237287925</v>
      </c>
      <c r="K53" s="26">
        <v>9.6779661016949152</v>
      </c>
      <c r="L53" s="26">
        <v>10.949152542372882</v>
      </c>
      <c r="M53" s="26">
        <v>10.457627118644069</v>
      </c>
      <c r="N53" s="26">
        <v>20.508474576271205</v>
      </c>
      <c r="O53" s="26">
        <v>57.440677966101724</v>
      </c>
      <c r="P53" s="26">
        <v>7.3898305084745761</v>
      </c>
      <c r="Q53" s="26">
        <v>29.661016949152554</v>
      </c>
      <c r="R53" s="26">
        <v>15.101694915254241</v>
      </c>
      <c r="S53" s="26">
        <v>5.3559322033898296</v>
      </c>
      <c r="T53" s="26">
        <v>6.1355932203389836</v>
      </c>
      <c r="U53" s="26">
        <v>88.406779661016756</v>
      </c>
      <c r="V53" s="26">
        <v>24.338983050847485</v>
      </c>
      <c r="W53" s="27"/>
      <c r="X53" s="24" t="s">
        <v>193</v>
      </c>
      <c r="Y53" s="30" t="s">
        <v>275</v>
      </c>
      <c r="Z53" s="24" t="s">
        <v>195</v>
      </c>
      <c r="AA53" s="28" t="s">
        <v>332</v>
      </c>
      <c r="AB53" s="24" t="s">
        <v>193</v>
      </c>
      <c r="AC53" s="30" t="s">
        <v>275</v>
      </c>
      <c r="AD53" s="30" t="s">
        <v>195</v>
      </c>
      <c r="AE53" s="37">
        <v>43342</v>
      </c>
    </row>
    <row r="54" spans="1:31" ht="15.75" x14ac:dyDescent="0.25">
      <c r="A54" s="23" t="s">
        <v>367</v>
      </c>
      <c r="B54" s="24" t="s">
        <v>368</v>
      </c>
      <c r="C54" s="24" t="s">
        <v>369</v>
      </c>
      <c r="D54" s="24" t="s">
        <v>32</v>
      </c>
      <c r="E54" s="29">
        <v>2360</v>
      </c>
      <c r="F54" s="24" t="s">
        <v>370</v>
      </c>
      <c r="G54" s="24" t="s">
        <v>218</v>
      </c>
      <c r="H54" s="24" t="s">
        <v>5</v>
      </c>
      <c r="I54" s="25">
        <v>157.111111111111</v>
      </c>
      <c r="J54" s="26">
        <v>20.915254237288135</v>
      </c>
      <c r="K54" s="26">
        <v>6.3050847457627119</v>
      </c>
      <c r="L54" s="26">
        <v>41.745762711864415</v>
      </c>
      <c r="M54" s="26">
        <v>38.237288135593225</v>
      </c>
      <c r="N54" s="26">
        <v>56.474576271186457</v>
      </c>
      <c r="O54" s="26">
        <v>50.728813559322028</v>
      </c>
      <c r="P54" s="26">
        <v>0</v>
      </c>
      <c r="Q54" s="26">
        <v>0</v>
      </c>
      <c r="R54" s="26">
        <v>31.881355932203387</v>
      </c>
      <c r="S54" s="26">
        <v>9.4745762711864394</v>
      </c>
      <c r="T54" s="26">
        <v>15.118644067796609</v>
      </c>
      <c r="U54" s="26">
        <v>50.728813559322028</v>
      </c>
      <c r="V54" s="26">
        <v>61.627118644067821</v>
      </c>
      <c r="W54" s="27"/>
      <c r="X54" s="24" t="s">
        <v>193</v>
      </c>
      <c r="Y54" s="30" t="s">
        <v>323</v>
      </c>
      <c r="Z54" s="24" t="s">
        <v>344</v>
      </c>
      <c r="AA54" s="28" t="s">
        <v>276</v>
      </c>
      <c r="AB54" s="24" t="s">
        <v>193</v>
      </c>
      <c r="AC54" s="30" t="s">
        <v>323</v>
      </c>
      <c r="AD54" s="30" t="s">
        <v>344</v>
      </c>
      <c r="AE54" s="37">
        <v>43265</v>
      </c>
    </row>
    <row r="55" spans="1:31" ht="15.75" x14ac:dyDescent="0.25">
      <c r="A55" s="23" t="s">
        <v>354</v>
      </c>
      <c r="B55" s="24" t="s">
        <v>355</v>
      </c>
      <c r="C55" s="24" t="s">
        <v>41</v>
      </c>
      <c r="D55" s="24" t="s">
        <v>205</v>
      </c>
      <c r="E55" s="29">
        <v>76837</v>
      </c>
      <c r="F55" s="24" t="s">
        <v>296</v>
      </c>
      <c r="G55" s="24" t="s">
        <v>274</v>
      </c>
      <c r="H55" s="24" t="s">
        <v>5</v>
      </c>
      <c r="I55" s="25">
        <v>95.475609756097597</v>
      </c>
      <c r="J55" s="26">
        <v>28.694915254237298</v>
      </c>
      <c r="K55" s="26">
        <v>28.559322033898312</v>
      </c>
      <c r="L55" s="26">
        <v>25.237288135593225</v>
      </c>
      <c r="M55" s="26">
        <v>24.457627118644069</v>
      </c>
      <c r="N55" s="26">
        <v>70.288135593220417</v>
      </c>
      <c r="O55" s="26">
        <v>36.661016949152561</v>
      </c>
      <c r="P55" s="26">
        <v>0</v>
      </c>
      <c r="Q55" s="26">
        <v>0</v>
      </c>
      <c r="R55" s="26">
        <v>45.813559322033932</v>
      </c>
      <c r="S55" s="26">
        <v>15.406779661016946</v>
      </c>
      <c r="T55" s="26">
        <v>9.0677966101694896</v>
      </c>
      <c r="U55" s="26">
        <v>36.661016949152561</v>
      </c>
      <c r="V55" s="26">
        <v>72.186440677966118</v>
      </c>
      <c r="W55" s="27"/>
      <c r="X55" s="24" t="s">
        <v>193</v>
      </c>
      <c r="Y55" s="30" t="s">
        <v>323</v>
      </c>
      <c r="Z55" s="24" t="s">
        <v>344</v>
      </c>
      <c r="AA55" s="28" t="s">
        <v>261</v>
      </c>
      <c r="AB55" s="24" t="s">
        <v>220</v>
      </c>
      <c r="AC55" s="30"/>
      <c r="AD55" s="30"/>
      <c r="AE55" s="37"/>
    </row>
    <row r="56" spans="1:31" ht="15.75" x14ac:dyDescent="0.25">
      <c r="A56" s="23" t="s">
        <v>15</v>
      </c>
      <c r="B56" s="24" t="s">
        <v>345</v>
      </c>
      <c r="C56" s="24" t="s">
        <v>346</v>
      </c>
      <c r="D56" s="24" t="s">
        <v>205</v>
      </c>
      <c r="E56" s="29">
        <v>78046</v>
      </c>
      <c r="F56" s="24" t="s">
        <v>206</v>
      </c>
      <c r="G56" s="24" t="s">
        <v>239</v>
      </c>
      <c r="H56" s="24" t="s">
        <v>5</v>
      </c>
      <c r="I56" s="25">
        <v>123.494736842105</v>
      </c>
      <c r="J56" s="26">
        <v>72.033898305084719</v>
      </c>
      <c r="K56" s="26">
        <v>10.542372881355931</v>
      </c>
      <c r="L56" s="26">
        <v>6.2542372881355934</v>
      </c>
      <c r="M56" s="26">
        <v>16.305084745762716</v>
      </c>
      <c r="N56" s="26">
        <v>35.915254237288138</v>
      </c>
      <c r="O56" s="26">
        <v>69.22033898305078</v>
      </c>
      <c r="P56" s="26">
        <v>0</v>
      </c>
      <c r="Q56" s="26">
        <v>0</v>
      </c>
      <c r="R56" s="26">
        <v>14.508474576271189</v>
      </c>
      <c r="S56" s="26">
        <v>6.0338983050847466</v>
      </c>
      <c r="T56" s="26">
        <v>15.355932203389832</v>
      </c>
      <c r="U56" s="26">
        <v>69.237288135593147</v>
      </c>
      <c r="V56" s="26">
        <v>72.576271186440664</v>
      </c>
      <c r="W56" s="27">
        <v>275</v>
      </c>
      <c r="X56" s="24" t="s">
        <v>193</v>
      </c>
      <c r="Y56" s="30" t="s">
        <v>275</v>
      </c>
      <c r="Z56" s="24" t="s">
        <v>195</v>
      </c>
      <c r="AA56" s="28" t="s">
        <v>919</v>
      </c>
      <c r="AB56" s="24" t="s">
        <v>193</v>
      </c>
      <c r="AC56" s="30" t="s">
        <v>275</v>
      </c>
      <c r="AD56" s="30" t="s">
        <v>195</v>
      </c>
      <c r="AE56" s="37">
        <v>43538</v>
      </c>
    </row>
    <row r="57" spans="1:31" ht="15.75" x14ac:dyDescent="0.25">
      <c r="A57" s="23" t="s">
        <v>36</v>
      </c>
      <c r="B57" s="24" t="s">
        <v>406</v>
      </c>
      <c r="C57" s="24" t="s">
        <v>407</v>
      </c>
      <c r="D57" s="24" t="s">
        <v>408</v>
      </c>
      <c r="E57" s="29">
        <v>74447</v>
      </c>
      <c r="F57" s="24" t="s">
        <v>296</v>
      </c>
      <c r="G57" s="24" t="s">
        <v>218</v>
      </c>
      <c r="H57" s="24" t="s">
        <v>5</v>
      </c>
      <c r="I57" s="25">
        <v>69.961904761904805</v>
      </c>
      <c r="J57" s="26">
        <v>49.779661016949156</v>
      </c>
      <c r="K57" s="26">
        <v>14.542372881355934</v>
      </c>
      <c r="L57" s="26">
        <v>19.033898305084747</v>
      </c>
      <c r="M57" s="26">
        <v>21.610169491525422</v>
      </c>
      <c r="N57" s="26">
        <v>49.830508474576284</v>
      </c>
      <c r="O57" s="26">
        <v>55.135593220339004</v>
      </c>
      <c r="P57" s="26">
        <v>0</v>
      </c>
      <c r="Q57" s="26">
        <v>0</v>
      </c>
      <c r="R57" s="26">
        <v>34.389830508474574</v>
      </c>
      <c r="S57" s="26">
        <v>9.4237288135593218</v>
      </c>
      <c r="T57" s="26">
        <v>6.101694915254237</v>
      </c>
      <c r="U57" s="26">
        <v>55.050847457627135</v>
      </c>
      <c r="V57" s="26">
        <v>93.677966101694935</v>
      </c>
      <c r="W57" s="27"/>
      <c r="X57" s="24" t="s">
        <v>193</v>
      </c>
      <c r="Y57" s="30" t="s">
        <v>194</v>
      </c>
      <c r="Z57" s="24" t="s">
        <v>195</v>
      </c>
      <c r="AA57" s="28" t="s">
        <v>904</v>
      </c>
      <c r="AB57" s="24" t="s">
        <v>193</v>
      </c>
      <c r="AC57" s="30" t="s">
        <v>194</v>
      </c>
      <c r="AD57" s="30" t="s">
        <v>195</v>
      </c>
      <c r="AE57" s="37">
        <v>43727</v>
      </c>
    </row>
    <row r="58" spans="1:31" ht="15.75" x14ac:dyDescent="0.25">
      <c r="A58" s="23" t="s">
        <v>27</v>
      </c>
      <c r="B58" s="24" t="s">
        <v>920</v>
      </c>
      <c r="C58" s="24" t="s">
        <v>424</v>
      </c>
      <c r="D58" s="24" t="s">
        <v>205</v>
      </c>
      <c r="E58" s="29">
        <v>78118</v>
      </c>
      <c r="F58" s="24" t="s">
        <v>206</v>
      </c>
      <c r="G58" s="24" t="s">
        <v>210</v>
      </c>
      <c r="H58" s="24" t="s">
        <v>5</v>
      </c>
      <c r="I58" s="25">
        <v>15.585263157894699</v>
      </c>
      <c r="J58" s="26">
        <v>104.16949152542364</v>
      </c>
      <c r="K58" s="26">
        <v>0.67796610169491522</v>
      </c>
      <c r="L58" s="26">
        <v>0</v>
      </c>
      <c r="M58" s="26">
        <v>0</v>
      </c>
      <c r="N58" s="26">
        <v>0.13559322033898305</v>
      </c>
      <c r="O58" s="26">
        <v>52.186440677966182</v>
      </c>
      <c r="P58" s="26">
        <v>0</v>
      </c>
      <c r="Q58" s="26">
        <v>52.525423728813621</v>
      </c>
      <c r="R58" s="26">
        <v>0</v>
      </c>
      <c r="S58" s="26">
        <v>0</v>
      </c>
      <c r="T58" s="26">
        <v>0.13559322033898305</v>
      </c>
      <c r="U58" s="26">
        <v>104.71186440677957</v>
      </c>
      <c r="V58" s="26">
        <v>60.322033898305087</v>
      </c>
      <c r="W58" s="27">
        <v>830</v>
      </c>
      <c r="X58" s="24" t="s">
        <v>193</v>
      </c>
      <c r="Y58" s="30" t="s">
        <v>211</v>
      </c>
      <c r="Z58" s="24" t="s">
        <v>197</v>
      </c>
      <c r="AA58" s="28" t="s">
        <v>425</v>
      </c>
      <c r="AB58" s="24" t="s">
        <v>193</v>
      </c>
      <c r="AC58" s="30" t="s">
        <v>211</v>
      </c>
      <c r="AD58" s="30" t="s">
        <v>197</v>
      </c>
      <c r="AE58" s="37">
        <v>43804</v>
      </c>
    </row>
    <row r="59" spans="1:31" ht="15.75" x14ac:dyDescent="0.25">
      <c r="A59" s="23" t="s">
        <v>356</v>
      </c>
      <c r="B59" s="24" t="s">
        <v>357</v>
      </c>
      <c r="C59" s="24" t="s">
        <v>358</v>
      </c>
      <c r="D59" s="24" t="s">
        <v>222</v>
      </c>
      <c r="E59" s="29">
        <v>85132</v>
      </c>
      <c r="F59" s="24" t="s">
        <v>223</v>
      </c>
      <c r="G59" s="24" t="s">
        <v>250</v>
      </c>
      <c r="H59" s="24" t="s">
        <v>5</v>
      </c>
      <c r="I59" s="25">
        <v>15.34404536862</v>
      </c>
      <c r="J59" s="26">
        <v>58.288135593220403</v>
      </c>
      <c r="K59" s="26">
        <v>13.813559322033907</v>
      </c>
      <c r="L59" s="26">
        <v>16.491525423728824</v>
      </c>
      <c r="M59" s="26">
        <v>13.728813559322052</v>
      </c>
      <c r="N59" s="26">
        <v>43.03389830508484</v>
      </c>
      <c r="O59" s="26">
        <v>58.847457627118708</v>
      </c>
      <c r="P59" s="26">
        <v>5.0847457627118647E-2</v>
      </c>
      <c r="Q59" s="26">
        <v>0.3898305084745764</v>
      </c>
      <c r="R59" s="26">
        <v>18.27118644067799</v>
      </c>
      <c r="S59" s="26">
        <v>9.2203389830508513</v>
      </c>
      <c r="T59" s="26">
        <v>14.372881355932206</v>
      </c>
      <c r="U59" s="26">
        <v>60.457627118644155</v>
      </c>
      <c r="V59" s="26">
        <v>59.644067796610344</v>
      </c>
      <c r="W59" s="27">
        <v>392</v>
      </c>
      <c r="X59" s="24" t="s">
        <v>193</v>
      </c>
      <c r="Y59" s="30" t="s">
        <v>194</v>
      </c>
      <c r="Z59" s="24" t="s">
        <v>195</v>
      </c>
      <c r="AA59" s="28" t="s">
        <v>359</v>
      </c>
      <c r="AB59" s="24" t="s">
        <v>193</v>
      </c>
      <c r="AC59" s="30" t="s">
        <v>194</v>
      </c>
      <c r="AD59" s="30" t="s">
        <v>195</v>
      </c>
      <c r="AE59" s="37">
        <v>43202</v>
      </c>
    </row>
    <row r="60" spans="1:31" ht="15.75" x14ac:dyDescent="0.25">
      <c r="A60" s="23" t="s">
        <v>460</v>
      </c>
      <c r="B60" s="24" t="s">
        <v>461</v>
      </c>
      <c r="C60" s="24" t="s">
        <v>30</v>
      </c>
      <c r="D60" s="24" t="s">
        <v>435</v>
      </c>
      <c r="E60" s="29">
        <v>45011</v>
      </c>
      <c r="F60" s="24" t="s">
        <v>436</v>
      </c>
      <c r="G60" s="24" t="s">
        <v>218</v>
      </c>
      <c r="H60" s="24" t="s">
        <v>192</v>
      </c>
      <c r="I60" s="25">
        <v>52.173913043478301</v>
      </c>
      <c r="J60" s="26">
        <v>22.016949152542381</v>
      </c>
      <c r="K60" s="26">
        <v>15.457627118644066</v>
      </c>
      <c r="L60" s="26">
        <v>41.745762711864408</v>
      </c>
      <c r="M60" s="26">
        <v>22.966101694915253</v>
      </c>
      <c r="N60" s="26">
        <v>70.881355932203363</v>
      </c>
      <c r="O60" s="26">
        <v>22.406779661016952</v>
      </c>
      <c r="P60" s="26">
        <v>5.6949152542372881</v>
      </c>
      <c r="Q60" s="26">
        <v>3.2033898305084749</v>
      </c>
      <c r="R60" s="26">
        <v>23.847457627118647</v>
      </c>
      <c r="S60" s="26">
        <v>23.525423728813561</v>
      </c>
      <c r="T60" s="26">
        <v>29.20338983050847</v>
      </c>
      <c r="U60" s="26">
        <v>25.610169491525426</v>
      </c>
      <c r="V60" s="26">
        <v>59.983050847457633</v>
      </c>
      <c r="W60" s="27"/>
      <c r="X60" s="24" t="s">
        <v>193</v>
      </c>
      <c r="Y60" s="30" t="s">
        <v>323</v>
      </c>
      <c r="Z60" s="24" t="s">
        <v>344</v>
      </c>
      <c r="AA60" s="28" t="s">
        <v>387</v>
      </c>
      <c r="AB60" s="24" t="s">
        <v>193</v>
      </c>
      <c r="AC60" s="30" t="s">
        <v>323</v>
      </c>
      <c r="AD60" s="30" t="s">
        <v>344</v>
      </c>
      <c r="AE60" s="37">
        <v>43154</v>
      </c>
    </row>
    <row r="61" spans="1:31" ht="15.75" x14ac:dyDescent="0.25">
      <c r="A61" s="23" t="s">
        <v>287</v>
      </c>
      <c r="B61" s="24" t="s">
        <v>288</v>
      </c>
      <c r="C61" s="24" t="s">
        <v>289</v>
      </c>
      <c r="D61" s="24" t="s">
        <v>216</v>
      </c>
      <c r="E61" s="29">
        <v>70515</v>
      </c>
      <c r="F61" s="24" t="s">
        <v>217</v>
      </c>
      <c r="G61" s="24" t="s">
        <v>191</v>
      </c>
      <c r="H61" s="24" t="s">
        <v>192</v>
      </c>
      <c r="I61" s="25">
        <v>18.7561983471074</v>
      </c>
      <c r="J61" s="26">
        <v>54.966101694915238</v>
      </c>
      <c r="K61" s="26">
        <v>9.0169491525423737</v>
      </c>
      <c r="L61" s="26">
        <v>18.610169491525429</v>
      </c>
      <c r="M61" s="26">
        <v>10.779661016949152</v>
      </c>
      <c r="N61" s="26">
        <v>1.0169491525423728</v>
      </c>
      <c r="O61" s="26">
        <v>0</v>
      </c>
      <c r="P61" s="26">
        <v>32.694915254237308</v>
      </c>
      <c r="Q61" s="26">
        <v>59.661016949152518</v>
      </c>
      <c r="R61" s="26">
        <v>25.644067796610177</v>
      </c>
      <c r="S61" s="26">
        <v>5.3389830508474585</v>
      </c>
      <c r="T61" s="26">
        <v>2.6949152542372876</v>
      </c>
      <c r="U61" s="26">
        <v>59.694915254237259</v>
      </c>
      <c r="V61" s="26">
        <v>81.457627118643913</v>
      </c>
      <c r="W61" s="27">
        <v>700</v>
      </c>
      <c r="X61" s="24" t="s">
        <v>193</v>
      </c>
      <c r="Y61" s="30" t="s">
        <v>194</v>
      </c>
      <c r="Z61" s="24" t="s">
        <v>195</v>
      </c>
      <c r="AA61" s="28" t="s">
        <v>268</v>
      </c>
      <c r="AB61" s="24" t="s">
        <v>193</v>
      </c>
      <c r="AC61" s="30" t="s">
        <v>275</v>
      </c>
      <c r="AD61" s="30" t="s">
        <v>195</v>
      </c>
      <c r="AE61" s="37">
        <v>42047</v>
      </c>
    </row>
    <row r="62" spans="1:31" ht="15.75" x14ac:dyDescent="0.25">
      <c r="A62" s="23" t="s">
        <v>363</v>
      </c>
      <c r="B62" s="24" t="s">
        <v>364</v>
      </c>
      <c r="C62" s="24" t="s">
        <v>365</v>
      </c>
      <c r="D62" s="24" t="s">
        <v>205</v>
      </c>
      <c r="E62" s="29">
        <v>76642</v>
      </c>
      <c r="F62" s="24" t="s">
        <v>206</v>
      </c>
      <c r="G62" s="24" t="s">
        <v>274</v>
      </c>
      <c r="H62" s="24" t="s">
        <v>5</v>
      </c>
      <c r="I62" s="25">
        <v>103.79104477611899</v>
      </c>
      <c r="J62" s="26">
        <v>66.016949152542423</v>
      </c>
      <c r="K62" s="26">
        <v>13.237288135593223</v>
      </c>
      <c r="L62" s="26">
        <v>7.2203389830508469</v>
      </c>
      <c r="M62" s="26">
        <v>6.4915254237288131</v>
      </c>
      <c r="N62" s="26">
        <v>23.66101694915254</v>
      </c>
      <c r="O62" s="26">
        <v>69.152542372881342</v>
      </c>
      <c r="P62" s="26">
        <v>0</v>
      </c>
      <c r="Q62" s="26">
        <v>0.15254237288135594</v>
      </c>
      <c r="R62" s="26">
        <v>7.3728813559322033</v>
      </c>
      <c r="S62" s="26">
        <v>5.7796610169491522</v>
      </c>
      <c r="T62" s="26">
        <v>10.508474576271187</v>
      </c>
      <c r="U62" s="26">
        <v>69.305084745762699</v>
      </c>
      <c r="V62" s="26">
        <v>52.644067796610209</v>
      </c>
      <c r="W62" s="27"/>
      <c r="X62" s="24" t="s">
        <v>193</v>
      </c>
      <c r="Y62" s="30" t="s">
        <v>323</v>
      </c>
      <c r="Z62" s="24" t="s">
        <v>344</v>
      </c>
      <c r="AA62" s="28" t="s">
        <v>904</v>
      </c>
      <c r="AB62" s="24" t="s">
        <v>193</v>
      </c>
      <c r="AC62" s="30" t="s">
        <v>323</v>
      </c>
      <c r="AD62" s="30" t="s">
        <v>344</v>
      </c>
      <c r="AE62" s="37">
        <v>43762</v>
      </c>
    </row>
    <row r="63" spans="1:31" ht="15.75" x14ac:dyDescent="0.25">
      <c r="A63" s="23" t="s">
        <v>526</v>
      </c>
      <c r="B63" s="24" t="s">
        <v>527</v>
      </c>
      <c r="C63" s="24" t="s">
        <v>528</v>
      </c>
      <c r="D63" s="24" t="s">
        <v>222</v>
      </c>
      <c r="E63" s="29">
        <v>85349</v>
      </c>
      <c r="F63" s="24" t="s">
        <v>238</v>
      </c>
      <c r="G63" s="24" t="s">
        <v>218</v>
      </c>
      <c r="H63" s="24" t="s">
        <v>192</v>
      </c>
      <c r="I63" s="25">
        <v>20.2196078431373</v>
      </c>
      <c r="J63" s="26">
        <v>28.694915254237284</v>
      </c>
      <c r="K63" s="26">
        <v>18.254237288135599</v>
      </c>
      <c r="L63" s="26">
        <v>20.186440677966093</v>
      </c>
      <c r="M63" s="26">
        <v>24.847457627118636</v>
      </c>
      <c r="N63" s="26">
        <v>51.389830508474603</v>
      </c>
      <c r="O63" s="26">
        <v>35.525423728813578</v>
      </c>
      <c r="P63" s="26">
        <v>2.7118644067796609</v>
      </c>
      <c r="Q63" s="26">
        <v>2.3559322033898309</v>
      </c>
      <c r="R63" s="26">
        <v>28.644067796610166</v>
      </c>
      <c r="S63" s="26">
        <v>11.25423728813559</v>
      </c>
      <c r="T63" s="26">
        <v>13.338983050847455</v>
      </c>
      <c r="U63" s="26">
        <v>38.74576271186443</v>
      </c>
      <c r="V63" s="26">
        <v>53.288135593220396</v>
      </c>
      <c r="W63" s="27">
        <v>100</v>
      </c>
      <c r="X63" s="24" t="s">
        <v>193</v>
      </c>
      <c r="Y63" s="30" t="s">
        <v>323</v>
      </c>
      <c r="Z63" s="24" t="s">
        <v>344</v>
      </c>
      <c r="AA63" s="28" t="s">
        <v>387</v>
      </c>
      <c r="AB63" s="24" t="s">
        <v>193</v>
      </c>
      <c r="AC63" s="30" t="s">
        <v>323</v>
      </c>
      <c r="AD63" s="30" t="s">
        <v>344</v>
      </c>
      <c r="AE63" s="37">
        <v>43223</v>
      </c>
    </row>
    <row r="64" spans="1:31" ht="15.75" x14ac:dyDescent="0.25">
      <c r="A64" s="23" t="s">
        <v>437</v>
      </c>
      <c r="B64" s="24" t="s">
        <v>438</v>
      </c>
      <c r="C64" s="24" t="s">
        <v>439</v>
      </c>
      <c r="D64" s="24" t="s">
        <v>395</v>
      </c>
      <c r="E64" s="29">
        <v>62992</v>
      </c>
      <c r="F64" s="24" t="s">
        <v>40</v>
      </c>
      <c r="G64" s="24" t="s">
        <v>218</v>
      </c>
      <c r="H64" s="24" t="s">
        <v>192</v>
      </c>
      <c r="I64" s="25">
        <v>36.2222222222222</v>
      </c>
      <c r="J64" s="26">
        <v>25.067796610169488</v>
      </c>
      <c r="K64" s="26">
        <v>12.271186440677967</v>
      </c>
      <c r="L64" s="26">
        <v>29.118644067796609</v>
      </c>
      <c r="M64" s="26">
        <v>24.898305084745765</v>
      </c>
      <c r="N64" s="26">
        <v>58.08474576271184</v>
      </c>
      <c r="O64" s="26">
        <v>27.38983050847456</v>
      </c>
      <c r="P64" s="26">
        <v>3.9152542372881363</v>
      </c>
      <c r="Q64" s="26">
        <v>1.9661016949152543</v>
      </c>
      <c r="R64" s="26">
        <v>27.084745762711876</v>
      </c>
      <c r="S64" s="26">
        <v>17.406779661016952</v>
      </c>
      <c r="T64" s="26">
        <v>17.389830508474581</v>
      </c>
      <c r="U64" s="26">
        <v>29.474576271186425</v>
      </c>
      <c r="V64" s="26">
        <v>59.23728813559319</v>
      </c>
      <c r="W64" s="27"/>
      <c r="X64" s="24" t="s">
        <v>193</v>
      </c>
      <c r="Y64" s="30" t="s">
        <v>194</v>
      </c>
      <c r="Z64" s="24" t="s">
        <v>195</v>
      </c>
      <c r="AA64" s="28" t="s">
        <v>919</v>
      </c>
      <c r="AB64" s="24" t="s">
        <v>193</v>
      </c>
      <c r="AC64" s="30" t="s">
        <v>194</v>
      </c>
      <c r="AD64" s="30" t="s">
        <v>195</v>
      </c>
      <c r="AE64" s="37">
        <v>43538</v>
      </c>
    </row>
    <row r="65" spans="1:31" ht="15.75" x14ac:dyDescent="0.25">
      <c r="A65" s="23" t="s">
        <v>485</v>
      </c>
      <c r="B65" s="24" t="s">
        <v>486</v>
      </c>
      <c r="C65" s="24" t="s">
        <v>487</v>
      </c>
      <c r="D65" s="24" t="s">
        <v>488</v>
      </c>
      <c r="E65" s="29">
        <v>3820</v>
      </c>
      <c r="F65" s="24" t="s">
        <v>370</v>
      </c>
      <c r="G65" s="24" t="s">
        <v>218</v>
      </c>
      <c r="H65" s="24" t="s">
        <v>192</v>
      </c>
      <c r="I65" s="25">
        <v>82.020408163265301</v>
      </c>
      <c r="J65" s="26">
        <v>7.5084745762711878</v>
      </c>
      <c r="K65" s="26">
        <v>8.1694915254237284</v>
      </c>
      <c r="L65" s="26">
        <v>34.999999999999993</v>
      </c>
      <c r="M65" s="26">
        <v>38.949152542372865</v>
      </c>
      <c r="N65" s="26">
        <v>46.20338983050847</v>
      </c>
      <c r="O65" s="26">
        <v>39.35593220338982</v>
      </c>
      <c r="P65" s="26">
        <v>0.72881355932203384</v>
      </c>
      <c r="Q65" s="26">
        <v>3.3389830508474576</v>
      </c>
      <c r="R65" s="26">
        <v>25.271186440677969</v>
      </c>
      <c r="S65" s="26">
        <v>12.338983050847457</v>
      </c>
      <c r="T65" s="26">
        <v>9.322033898305083</v>
      </c>
      <c r="U65" s="26">
        <v>42.69491525423728</v>
      </c>
      <c r="V65" s="26">
        <v>48.016949152542352</v>
      </c>
      <c r="W65" s="27"/>
      <c r="X65" s="24" t="s">
        <v>193</v>
      </c>
      <c r="Y65" s="30" t="s">
        <v>275</v>
      </c>
      <c r="Z65" s="24" t="s">
        <v>195</v>
      </c>
      <c r="AA65" s="28" t="s">
        <v>280</v>
      </c>
      <c r="AB65" s="24" t="s">
        <v>193</v>
      </c>
      <c r="AC65" s="30" t="s">
        <v>275</v>
      </c>
      <c r="AD65" s="30" t="s">
        <v>195</v>
      </c>
      <c r="AE65" s="37">
        <v>43447</v>
      </c>
    </row>
    <row r="66" spans="1:31" ht="15.75" x14ac:dyDescent="0.25">
      <c r="A66" s="23" t="s">
        <v>35</v>
      </c>
      <c r="B66" s="24" t="s">
        <v>420</v>
      </c>
      <c r="C66" s="24" t="s">
        <v>421</v>
      </c>
      <c r="D66" s="24" t="s">
        <v>415</v>
      </c>
      <c r="E66" s="29">
        <v>89060</v>
      </c>
      <c r="F66" s="24" t="s">
        <v>416</v>
      </c>
      <c r="G66" s="24" t="s">
        <v>274</v>
      </c>
      <c r="H66" s="24" t="s">
        <v>192</v>
      </c>
      <c r="I66" s="25">
        <v>48</v>
      </c>
      <c r="J66" s="26">
        <v>25.83050847457627</v>
      </c>
      <c r="K66" s="26">
        <v>17.322033898305087</v>
      </c>
      <c r="L66" s="26">
        <v>23.864406779661014</v>
      </c>
      <c r="M66" s="26">
        <v>21.813559322033893</v>
      </c>
      <c r="N66" s="26">
        <v>52.694915254237273</v>
      </c>
      <c r="O66" s="26">
        <v>16.847457627118644</v>
      </c>
      <c r="P66" s="26">
        <v>6.9322033898305078</v>
      </c>
      <c r="Q66" s="26">
        <v>12.355932203389827</v>
      </c>
      <c r="R66" s="26">
        <v>32.22033898305083</v>
      </c>
      <c r="S66" s="26">
        <v>19.118644067796609</v>
      </c>
      <c r="T66" s="26">
        <v>8.2881355932203373</v>
      </c>
      <c r="U66" s="26">
        <v>29.20338983050847</v>
      </c>
      <c r="V66" s="26">
        <v>69.525423728813536</v>
      </c>
      <c r="W66" s="27"/>
      <c r="X66" s="24" t="s">
        <v>193</v>
      </c>
      <c r="Y66" s="30" t="s">
        <v>275</v>
      </c>
      <c r="Z66" s="24" t="s">
        <v>195</v>
      </c>
      <c r="AA66" s="28" t="s">
        <v>422</v>
      </c>
      <c r="AB66" s="24" t="s">
        <v>193</v>
      </c>
      <c r="AC66" s="30" t="s">
        <v>275</v>
      </c>
      <c r="AD66" s="30" t="s">
        <v>195</v>
      </c>
      <c r="AE66" s="37">
        <v>43307</v>
      </c>
    </row>
    <row r="67" spans="1:31" ht="15.75" x14ac:dyDescent="0.25">
      <c r="A67" s="23" t="s">
        <v>375</v>
      </c>
      <c r="B67" s="24" t="s">
        <v>376</v>
      </c>
      <c r="C67" s="24" t="s">
        <v>377</v>
      </c>
      <c r="D67" s="24" t="s">
        <v>301</v>
      </c>
      <c r="E67" s="29">
        <v>7032</v>
      </c>
      <c r="F67" s="24" t="s">
        <v>378</v>
      </c>
      <c r="G67" s="24" t="s">
        <v>218</v>
      </c>
      <c r="H67" s="24" t="s">
        <v>192</v>
      </c>
      <c r="I67" s="25">
        <v>132.97368421052599</v>
      </c>
      <c r="J67" s="26">
        <v>2.9152542372881354</v>
      </c>
      <c r="K67" s="26">
        <v>7.4406779661016946</v>
      </c>
      <c r="L67" s="26">
        <v>41.406779661016948</v>
      </c>
      <c r="M67" s="26">
        <v>35.999999999999993</v>
      </c>
      <c r="N67" s="26">
        <v>67.542372881355931</v>
      </c>
      <c r="O67" s="26">
        <v>20.220338983050851</v>
      </c>
      <c r="P67" s="26">
        <v>0</v>
      </c>
      <c r="Q67" s="26">
        <v>0</v>
      </c>
      <c r="R67" s="26">
        <v>39.084745762711862</v>
      </c>
      <c r="S67" s="26">
        <v>16.542372881355931</v>
      </c>
      <c r="T67" s="26">
        <v>11.915254237288138</v>
      </c>
      <c r="U67" s="26">
        <v>20.220338983050855</v>
      </c>
      <c r="V67" s="26">
        <v>51.016949152542381</v>
      </c>
      <c r="W67" s="27"/>
      <c r="X67" s="24" t="s">
        <v>193</v>
      </c>
      <c r="Y67" s="30" t="s">
        <v>275</v>
      </c>
      <c r="Z67" s="24" t="s">
        <v>195</v>
      </c>
      <c r="AA67" s="28" t="s">
        <v>918</v>
      </c>
      <c r="AB67" s="24" t="s">
        <v>193</v>
      </c>
      <c r="AC67" s="30" t="s">
        <v>275</v>
      </c>
      <c r="AD67" s="30" t="s">
        <v>195</v>
      </c>
      <c r="AE67" s="37">
        <v>43594</v>
      </c>
    </row>
    <row r="68" spans="1:31" ht="15.75" x14ac:dyDescent="0.25">
      <c r="A68" s="23" t="s">
        <v>503</v>
      </c>
      <c r="B68" s="24" t="s">
        <v>504</v>
      </c>
      <c r="C68" s="24" t="s">
        <v>505</v>
      </c>
      <c r="D68" s="24" t="s">
        <v>328</v>
      </c>
      <c r="E68" s="29">
        <v>17745</v>
      </c>
      <c r="F68" s="24" t="s">
        <v>329</v>
      </c>
      <c r="G68" s="24" t="s">
        <v>274</v>
      </c>
      <c r="H68" s="24" t="s">
        <v>5</v>
      </c>
      <c r="I68" s="25">
        <v>28.576470588235299</v>
      </c>
      <c r="J68" s="26">
        <v>1.3728813559322033</v>
      </c>
      <c r="K68" s="26">
        <v>27.610169491525422</v>
      </c>
      <c r="L68" s="26">
        <v>26.084745762711869</v>
      </c>
      <c r="M68" s="26">
        <v>25.305084745762706</v>
      </c>
      <c r="N68" s="26">
        <v>79.372881355932137</v>
      </c>
      <c r="O68" s="26">
        <v>0</v>
      </c>
      <c r="P68" s="26">
        <v>1</v>
      </c>
      <c r="Q68" s="26">
        <v>0</v>
      </c>
      <c r="R68" s="26">
        <v>53.830508474576291</v>
      </c>
      <c r="S68" s="26">
        <v>23.508474576271183</v>
      </c>
      <c r="T68" s="26">
        <v>2.3728813559322033</v>
      </c>
      <c r="U68" s="26">
        <v>0.66101694915254239</v>
      </c>
      <c r="V68" s="26">
        <v>74.305084745762642</v>
      </c>
      <c r="W68" s="27"/>
      <c r="X68" s="24" t="s">
        <v>193</v>
      </c>
      <c r="Y68" s="30" t="s">
        <v>323</v>
      </c>
      <c r="Z68" s="24" t="s">
        <v>344</v>
      </c>
      <c r="AA68" s="28" t="s">
        <v>228</v>
      </c>
      <c r="AB68" s="24" t="s">
        <v>193</v>
      </c>
      <c r="AC68" s="30" t="s">
        <v>323</v>
      </c>
      <c r="AD68" s="30" t="s">
        <v>344</v>
      </c>
      <c r="AE68" s="37">
        <v>43412</v>
      </c>
    </row>
    <row r="69" spans="1:31" ht="15.75" x14ac:dyDescent="0.25">
      <c r="A69" s="23" t="s">
        <v>462</v>
      </c>
      <c r="B69" s="24" t="s">
        <v>463</v>
      </c>
      <c r="C69" s="24" t="s">
        <v>464</v>
      </c>
      <c r="D69" s="24" t="s">
        <v>440</v>
      </c>
      <c r="E69" s="29">
        <v>53039</v>
      </c>
      <c r="F69" s="24" t="s">
        <v>40</v>
      </c>
      <c r="G69" s="24" t="s">
        <v>274</v>
      </c>
      <c r="H69" s="24" t="s">
        <v>192</v>
      </c>
      <c r="I69" s="25">
        <v>28.645390070922002</v>
      </c>
      <c r="J69" s="26">
        <v>8.9322033898305069</v>
      </c>
      <c r="K69" s="26">
        <v>6.9491525423728806</v>
      </c>
      <c r="L69" s="26">
        <v>30.033898305084751</v>
      </c>
      <c r="M69" s="26">
        <v>33.627118644067792</v>
      </c>
      <c r="N69" s="26">
        <v>59.98305084745764</v>
      </c>
      <c r="O69" s="26">
        <v>14.000000000000004</v>
      </c>
      <c r="P69" s="26">
        <v>5.3389830508474576</v>
      </c>
      <c r="Q69" s="26">
        <v>0.22033898305084745</v>
      </c>
      <c r="R69" s="26">
        <v>29.627118644067799</v>
      </c>
      <c r="S69" s="26">
        <v>19.898305084745765</v>
      </c>
      <c r="T69" s="26">
        <v>15.796610169491528</v>
      </c>
      <c r="U69" s="26">
        <v>14.22033898305085</v>
      </c>
      <c r="V69" s="26">
        <v>46.508474576271176</v>
      </c>
      <c r="W69" s="27"/>
      <c r="X69" s="24" t="s">
        <v>193</v>
      </c>
      <c r="Y69" s="30" t="s">
        <v>323</v>
      </c>
      <c r="Z69" s="24" t="s">
        <v>344</v>
      </c>
      <c r="AA69" s="28" t="s">
        <v>465</v>
      </c>
      <c r="AB69" s="24" t="s">
        <v>193</v>
      </c>
      <c r="AC69" s="30" t="s">
        <v>323</v>
      </c>
      <c r="AD69" s="30" t="s">
        <v>344</v>
      </c>
      <c r="AE69" s="37">
        <v>43209</v>
      </c>
    </row>
    <row r="70" spans="1:31" ht="15.75" x14ac:dyDescent="0.25">
      <c r="A70" s="23" t="s">
        <v>17</v>
      </c>
      <c r="B70" s="24" t="s">
        <v>398</v>
      </c>
      <c r="C70" s="24" t="s">
        <v>346</v>
      </c>
      <c r="D70" s="24" t="s">
        <v>205</v>
      </c>
      <c r="E70" s="29">
        <v>78041</v>
      </c>
      <c r="F70" s="24" t="s">
        <v>206</v>
      </c>
      <c r="G70" s="24" t="s">
        <v>191</v>
      </c>
      <c r="H70" s="24" t="s">
        <v>192</v>
      </c>
      <c r="I70" s="25">
        <v>98.284090909090907</v>
      </c>
      <c r="J70" s="26">
        <v>39.915254237288124</v>
      </c>
      <c r="K70" s="26">
        <v>5.2033898305084749</v>
      </c>
      <c r="L70" s="26">
        <v>12.898305084745763</v>
      </c>
      <c r="M70" s="26">
        <v>18.542372881355931</v>
      </c>
      <c r="N70" s="26">
        <v>8.3050847457627111</v>
      </c>
      <c r="O70" s="26">
        <v>4.4237288135593209</v>
      </c>
      <c r="P70" s="26">
        <v>19.728813559322031</v>
      </c>
      <c r="Q70" s="26">
        <v>44.101694915254221</v>
      </c>
      <c r="R70" s="26">
        <v>11.016949152542372</v>
      </c>
      <c r="S70" s="26">
        <v>9.5084745762711869</v>
      </c>
      <c r="T70" s="26">
        <v>7.28813559322034</v>
      </c>
      <c r="U70" s="26">
        <v>48.745762711864387</v>
      </c>
      <c r="V70" s="26">
        <v>53.576271186440692</v>
      </c>
      <c r="W70" s="27"/>
      <c r="X70" s="24" t="s">
        <v>193</v>
      </c>
      <c r="Y70" s="30" t="s">
        <v>323</v>
      </c>
      <c r="Z70" s="24" t="s">
        <v>344</v>
      </c>
      <c r="AA70" s="28" t="s">
        <v>399</v>
      </c>
      <c r="AB70" s="24" t="s">
        <v>193</v>
      </c>
      <c r="AC70" s="30" t="s">
        <v>323</v>
      </c>
      <c r="AD70" s="30" t="s">
        <v>344</v>
      </c>
      <c r="AE70" s="37">
        <v>43258</v>
      </c>
    </row>
    <row r="71" spans="1:31" ht="15.75" x14ac:dyDescent="0.25">
      <c r="A71" s="23" t="s">
        <v>21</v>
      </c>
      <c r="B71" s="24" t="s">
        <v>371</v>
      </c>
      <c r="C71" s="24" t="s">
        <v>372</v>
      </c>
      <c r="D71" s="24" t="s">
        <v>373</v>
      </c>
      <c r="E71" s="29">
        <v>55330</v>
      </c>
      <c r="F71" s="24" t="s">
        <v>374</v>
      </c>
      <c r="G71" s="24" t="s">
        <v>218</v>
      </c>
      <c r="H71" s="24" t="s">
        <v>192</v>
      </c>
      <c r="I71" s="25">
        <v>135.70454545454501</v>
      </c>
      <c r="J71" s="26">
        <v>4.4406779661016955</v>
      </c>
      <c r="K71" s="26">
        <v>10.457627118644069</v>
      </c>
      <c r="L71" s="26">
        <v>48.593220338983052</v>
      </c>
      <c r="M71" s="26">
        <v>12.694915254237287</v>
      </c>
      <c r="N71" s="26">
        <v>51.338983050847453</v>
      </c>
      <c r="O71" s="26">
        <v>19.35593220338983</v>
      </c>
      <c r="P71" s="26">
        <v>3.254237288135593</v>
      </c>
      <c r="Q71" s="26">
        <v>2.2372881355932202</v>
      </c>
      <c r="R71" s="26">
        <v>38.79661016949153</v>
      </c>
      <c r="S71" s="26">
        <v>7.9491525423728788</v>
      </c>
      <c r="T71" s="26">
        <v>7.8474576271186445</v>
      </c>
      <c r="U71" s="26">
        <v>21.593220338983052</v>
      </c>
      <c r="V71" s="26">
        <v>58.169491525423716</v>
      </c>
      <c r="W71" s="27"/>
      <c r="X71" s="24" t="s">
        <v>193</v>
      </c>
      <c r="Y71" s="30" t="s">
        <v>323</v>
      </c>
      <c r="Z71" s="24" t="s">
        <v>344</v>
      </c>
      <c r="AA71" s="28" t="s">
        <v>335</v>
      </c>
      <c r="AB71" s="24" t="s">
        <v>193</v>
      </c>
      <c r="AC71" s="30" t="s">
        <v>323</v>
      </c>
      <c r="AD71" s="30" t="s">
        <v>344</v>
      </c>
      <c r="AE71" s="37">
        <v>43420</v>
      </c>
    </row>
    <row r="72" spans="1:31" ht="15.75" x14ac:dyDescent="0.25">
      <c r="A72" s="23" t="s">
        <v>529</v>
      </c>
      <c r="B72" s="24" t="s">
        <v>530</v>
      </c>
      <c r="C72" s="24" t="s">
        <v>531</v>
      </c>
      <c r="D72" s="24" t="s">
        <v>373</v>
      </c>
      <c r="E72" s="29">
        <v>56201</v>
      </c>
      <c r="F72" s="24" t="s">
        <v>374</v>
      </c>
      <c r="G72" s="24" t="s">
        <v>218</v>
      </c>
      <c r="H72" s="24" t="s">
        <v>192</v>
      </c>
      <c r="I72" s="25">
        <v>47.294117647058798</v>
      </c>
      <c r="J72" s="26">
        <v>4.3898305084745761</v>
      </c>
      <c r="K72" s="26">
        <v>10.813559322033896</v>
      </c>
      <c r="L72" s="26">
        <v>43.898305084745751</v>
      </c>
      <c r="M72" s="26">
        <v>16.593220338983052</v>
      </c>
      <c r="N72" s="26">
        <v>45.932203389830512</v>
      </c>
      <c r="O72" s="26">
        <v>15.016949152542376</v>
      </c>
      <c r="P72" s="26">
        <v>11.59322033898305</v>
      </c>
      <c r="Q72" s="26">
        <v>3.152542372881356</v>
      </c>
      <c r="R72" s="26">
        <v>31.627118644067796</v>
      </c>
      <c r="S72" s="26">
        <v>11.033898305084746</v>
      </c>
      <c r="T72" s="26">
        <v>14.864406779661019</v>
      </c>
      <c r="U72" s="26">
        <v>18.169491525423727</v>
      </c>
      <c r="V72" s="26">
        <v>50.067796610169459</v>
      </c>
      <c r="W72" s="27"/>
      <c r="X72" s="24" t="s">
        <v>193</v>
      </c>
      <c r="Y72" s="30" t="s">
        <v>323</v>
      </c>
      <c r="Z72" s="24" t="s">
        <v>344</v>
      </c>
      <c r="AA72" s="28" t="s">
        <v>496</v>
      </c>
      <c r="AB72" s="24" t="s">
        <v>193</v>
      </c>
      <c r="AC72" s="30" t="s">
        <v>323</v>
      </c>
      <c r="AD72" s="30" t="s">
        <v>344</v>
      </c>
      <c r="AE72" s="37">
        <v>43440</v>
      </c>
    </row>
    <row r="73" spans="1:31" ht="15.75" x14ac:dyDescent="0.25">
      <c r="A73" s="23" t="s">
        <v>456</v>
      </c>
      <c r="B73" s="24" t="s">
        <v>457</v>
      </c>
      <c r="C73" s="24" t="s">
        <v>458</v>
      </c>
      <c r="D73" s="24" t="s">
        <v>459</v>
      </c>
      <c r="E73" s="29">
        <v>41005</v>
      </c>
      <c r="F73" s="24" t="s">
        <v>40</v>
      </c>
      <c r="G73" s="24" t="s">
        <v>274</v>
      </c>
      <c r="H73" s="24" t="s">
        <v>192</v>
      </c>
      <c r="I73" s="25">
        <v>39.539215686274503</v>
      </c>
      <c r="J73" s="26">
        <v>13.355932203389836</v>
      </c>
      <c r="K73" s="26">
        <v>8.2711864406779654</v>
      </c>
      <c r="L73" s="26">
        <v>26.067796610169488</v>
      </c>
      <c r="M73" s="26">
        <v>27.322033898305079</v>
      </c>
      <c r="N73" s="26">
        <v>53.135593220338961</v>
      </c>
      <c r="O73" s="26">
        <v>21.508474576271183</v>
      </c>
      <c r="P73" s="26">
        <v>0</v>
      </c>
      <c r="Q73" s="26">
        <v>0.3728813559322034</v>
      </c>
      <c r="R73" s="26">
        <v>30.152542372881349</v>
      </c>
      <c r="S73" s="26">
        <v>13.796610169491526</v>
      </c>
      <c r="T73" s="26">
        <v>9.118644067796609</v>
      </c>
      <c r="U73" s="26">
        <v>21.949152542372879</v>
      </c>
      <c r="V73" s="26">
        <v>41.203389830508463</v>
      </c>
      <c r="W73" s="27"/>
      <c r="X73" s="24" t="s">
        <v>193</v>
      </c>
      <c r="Y73" s="30" t="s">
        <v>323</v>
      </c>
      <c r="Z73" s="24" t="s">
        <v>344</v>
      </c>
      <c r="AA73" s="28" t="s">
        <v>917</v>
      </c>
      <c r="AB73" s="24" t="s">
        <v>193</v>
      </c>
      <c r="AC73" s="30" t="s">
        <v>323</v>
      </c>
      <c r="AD73" s="30" t="s">
        <v>344</v>
      </c>
      <c r="AE73" s="37">
        <v>43531</v>
      </c>
    </row>
    <row r="74" spans="1:31" ht="15.75" x14ac:dyDescent="0.25">
      <c r="A74" s="23" t="s">
        <v>19</v>
      </c>
      <c r="B74" s="24" t="s">
        <v>331</v>
      </c>
      <c r="C74" s="24" t="s">
        <v>39</v>
      </c>
      <c r="D74" s="24" t="s">
        <v>205</v>
      </c>
      <c r="E74" s="29">
        <v>76574</v>
      </c>
      <c r="F74" s="24" t="s">
        <v>206</v>
      </c>
      <c r="G74" s="24" t="s">
        <v>210</v>
      </c>
      <c r="H74" s="24" t="s">
        <v>10</v>
      </c>
      <c r="I74" s="25">
        <v>93.041095890411</v>
      </c>
      <c r="J74" s="26">
        <v>72.237288135593275</v>
      </c>
      <c r="K74" s="26">
        <v>0.13559322033898305</v>
      </c>
      <c r="L74" s="26">
        <v>0</v>
      </c>
      <c r="M74" s="26">
        <v>0</v>
      </c>
      <c r="N74" s="26">
        <v>0</v>
      </c>
      <c r="O74" s="26">
        <v>0</v>
      </c>
      <c r="P74" s="26">
        <v>2.1355932203389831</v>
      </c>
      <c r="Q74" s="26">
        <v>70.237288135593275</v>
      </c>
      <c r="R74" s="26">
        <v>0</v>
      </c>
      <c r="S74" s="26">
        <v>0</v>
      </c>
      <c r="T74" s="26">
        <v>2.1355932203389831</v>
      </c>
      <c r="U74" s="26">
        <v>70.237288135593275</v>
      </c>
      <c r="V74" s="26">
        <v>45.847457627118679</v>
      </c>
      <c r="W74" s="27">
        <v>461</v>
      </c>
      <c r="X74" s="24" t="s">
        <v>193</v>
      </c>
      <c r="Y74" s="30" t="s">
        <v>211</v>
      </c>
      <c r="Z74" s="24" t="s">
        <v>197</v>
      </c>
      <c r="AA74" s="28" t="s">
        <v>332</v>
      </c>
      <c r="AB74" s="24" t="s">
        <v>220</v>
      </c>
      <c r="AC74" s="30"/>
      <c r="AD74" s="30"/>
      <c r="AE74" s="37"/>
    </row>
    <row r="75" spans="1:31" ht="15.75" x14ac:dyDescent="0.25">
      <c r="A75" s="23" t="s">
        <v>490</v>
      </c>
      <c r="B75" s="24" t="s">
        <v>491</v>
      </c>
      <c r="C75" s="24" t="s">
        <v>421</v>
      </c>
      <c r="D75" s="24" t="s">
        <v>415</v>
      </c>
      <c r="E75" s="29">
        <v>89060</v>
      </c>
      <c r="F75" s="24" t="s">
        <v>416</v>
      </c>
      <c r="G75" s="24" t="s">
        <v>218</v>
      </c>
      <c r="H75" s="24" t="s">
        <v>192</v>
      </c>
      <c r="I75" s="25">
        <v>24.285714285714299</v>
      </c>
      <c r="J75" s="26">
        <v>14.949152542372886</v>
      </c>
      <c r="K75" s="26">
        <v>9.5254237288135588</v>
      </c>
      <c r="L75" s="26">
        <v>23.983050847457623</v>
      </c>
      <c r="M75" s="26">
        <v>23.1864406779661</v>
      </c>
      <c r="N75" s="26">
        <v>55.13559322033899</v>
      </c>
      <c r="O75" s="26">
        <v>16.508474576271187</v>
      </c>
      <c r="P75" s="26">
        <v>0</v>
      </c>
      <c r="Q75" s="26">
        <v>0</v>
      </c>
      <c r="R75" s="26">
        <v>34.47457627118645</v>
      </c>
      <c r="S75" s="26">
        <v>10.101694915254237</v>
      </c>
      <c r="T75" s="26">
        <v>10.559322033898304</v>
      </c>
      <c r="U75" s="26">
        <v>16.508474576271187</v>
      </c>
      <c r="V75" s="26">
        <v>46.983050847457612</v>
      </c>
      <c r="W75" s="27"/>
      <c r="X75" s="24" t="s">
        <v>193</v>
      </c>
      <c r="Y75" s="30" t="s">
        <v>323</v>
      </c>
      <c r="Z75" s="24" t="s">
        <v>344</v>
      </c>
      <c r="AA75" s="28" t="s">
        <v>470</v>
      </c>
      <c r="AB75" s="24" t="s">
        <v>193</v>
      </c>
      <c r="AC75" s="30" t="s">
        <v>323</v>
      </c>
      <c r="AD75" s="30" t="s">
        <v>366</v>
      </c>
      <c r="AE75" s="37">
        <v>43616</v>
      </c>
    </row>
    <row r="76" spans="1:31" ht="15.75" x14ac:dyDescent="0.25">
      <c r="A76" s="23" t="s">
        <v>916</v>
      </c>
      <c r="B76" s="24" t="s">
        <v>915</v>
      </c>
      <c r="C76" s="24" t="s">
        <v>914</v>
      </c>
      <c r="D76" s="24" t="s">
        <v>189</v>
      </c>
      <c r="E76" s="29">
        <v>93250</v>
      </c>
      <c r="F76" s="24" t="s">
        <v>362</v>
      </c>
      <c r="G76" s="24" t="s">
        <v>207</v>
      </c>
      <c r="H76" s="24" t="s">
        <v>192</v>
      </c>
      <c r="I76" s="25">
        <v>27.64</v>
      </c>
      <c r="J76" s="26">
        <v>4.4745762711864421</v>
      </c>
      <c r="K76" s="26">
        <v>10.915254237288138</v>
      </c>
      <c r="L76" s="26">
        <v>18.338983050847457</v>
      </c>
      <c r="M76" s="26">
        <v>36.762711864406789</v>
      </c>
      <c r="N76" s="26">
        <v>64.813559322033896</v>
      </c>
      <c r="O76" s="26">
        <v>5.6779661016949161</v>
      </c>
      <c r="P76" s="26">
        <v>0</v>
      </c>
      <c r="Q76" s="26">
        <v>0</v>
      </c>
      <c r="R76" s="26">
        <v>53.694915254237287</v>
      </c>
      <c r="S76" s="26">
        <v>6.2372881355932197</v>
      </c>
      <c r="T76" s="26">
        <v>4.8813559322033901</v>
      </c>
      <c r="U76" s="26">
        <v>5.6779661016949161</v>
      </c>
      <c r="V76" s="26">
        <v>50.220338983050866</v>
      </c>
      <c r="W76" s="27">
        <v>560</v>
      </c>
      <c r="X76" s="24" t="s">
        <v>193</v>
      </c>
      <c r="Y76" s="30" t="s">
        <v>194</v>
      </c>
      <c r="Z76" s="24" t="s">
        <v>366</v>
      </c>
      <c r="AA76" s="28" t="s">
        <v>913</v>
      </c>
      <c r="AB76" s="24" t="s">
        <v>220</v>
      </c>
      <c r="AC76" s="30"/>
      <c r="AD76" s="30"/>
      <c r="AE76" s="37"/>
    </row>
    <row r="77" spans="1:31" ht="15.75" x14ac:dyDescent="0.25">
      <c r="A77" s="23" t="s">
        <v>479</v>
      </c>
      <c r="B77" s="24" t="s">
        <v>480</v>
      </c>
      <c r="C77" s="24" t="s">
        <v>481</v>
      </c>
      <c r="D77" s="24" t="s">
        <v>311</v>
      </c>
      <c r="E77" s="29">
        <v>32327</v>
      </c>
      <c r="F77" s="24" t="s">
        <v>33</v>
      </c>
      <c r="G77" s="24" t="s">
        <v>218</v>
      </c>
      <c r="H77" s="24" t="s">
        <v>5</v>
      </c>
      <c r="I77" s="25">
        <v>55.012987012986997</v>
      </c>
      <c r="J77" s="26">
        <v>1.7627118644067794</v>
      </c>
      <c r="K77" s="26">
        <v>6.0338983050847448</v>
      </c>
      <c r="L77" s="26">
        <v>32.50847457627119</v>
      </c>
      <c r="M77" s="26">
        <v>29.050847457627118</v>
      </c>
      <c r="N77" s="26">
        <v>58.237288135593225</v>
      </c>
      <c r="O77" s="26">
        <v>11.118644067796609</v>
      </c>
      <c r="P77" s="26">
        <v>0</v>
      </c>
      <c r="Q77" s="26">
        <v>0</v>
      </c>
      <c r="R77" s="26">
        <v>41.525423728813564</v>
      </c>
      <c r="S77" s="26">
        <v>11.016949152542372</v>
      </c>
      <c r="T77" s="26">
        <v>4.8813559322033893</v>
      </c>
      <c r="U77" s="26">
        <v>11.932203389830507</v>
      </c>
      <c r="V77" s="26">
        <v>60.83050847457627</v>
      </c>
      <c r="W77" s="27"/>
      <c r="X77" s="24" t="s">
        <v>193</v>
      </c>
      <c r="Y77" s="30" t="s">
        <v>323</v>
      </c>
      <c r="Z77" s="24" t="s">
        <v>197</v>
      </c>
      <c r="AA77" s="28" t="s">
        <v>912</v>
      </c>
      <c r="AB77" s="24" t="s">
        <v>193</v>
      </c>
      <c r="AC77" s="30" t="s">
        <v>323</v>
      </c>
      <c r="AD77" s="30" t="s">
        <v>344</v>
      </c>
      <c r="AE77" s="37">
        <v>43756</v>
      </c>
    </row>
    <row r="78" spans="1:31" ht="15.75" x14ac:dyDescent="0.25">
      <c r="A78" s="23" t="s">
        <v>31</v>
      </c>
      <c r="B78" s="24" t="s">
        <v>466</v>
      </c>
      <c r="C78" s="24" t="s">
        <v>467</v>
      </c>
      <c r="D78" s="24" t="s">
        <v>339</v>
      </c>
      <c r="E78" s="29">
        <v>10924</v>
      </c>
      <c r="F78" s="24" t="s">
        <v>378</v>
      </c>
      <c r="G78" s="24" t="s">
        <v>218</v>
      </c>
      <c r="H78" s="24" t="s">
        <v>192</v>
      </c>
      <c r="I78" s="25">
        <v>80.490566037735803</v>
      </c>
      <c r="J78" s="26">
        <v>8.3389830508474567</v>
      </c>
      <c r="K78" s="26">
        <v>13.711864406779659</v>
      </c>
      <c r="L78" s="26">
        <v>27.016949152542377</v>
      </c>
      <c r="M78" s="26">
        <v>15.711864406779659</v>
      </c>
      <c r="N78" s="26">
        <v>40.728813559322028</v>
      </c>
      <c r="O78" s="26">
        <v>23.762711864406779</v>
      </c>
      <c r="P78" s="26">
        <v>0</v>
      </c>
      <c r="Q78" s="26">
        <v>0.28813559322033899</v>
      </c>
      <c r="R78" s="26">
        <v>15.593220338983052</v>
      </c>
      <c r="S78" s="26">
        <v>11.457627118644069</v>
      </c>
      <c r="T78" s="26">
        <v>13.677966101694913</v>
      </c>
      <c r="U78" s="26">
        <v>24.050847457627118</v>
      </c>
      <c r="V78" s="26">
        <v>37.694915254237301</v>
      </c>
      <c r="W78" s="27"/>
      <c r="X78" s="24" t="s">
        <v>193</v>
      </c>
      <c r="Y78" s="30" t="s">
        <v>323</v>
      </c>
      <c r="Z78" s="24" t="s">
        <v>344</v>
      </c>
      <c r="AA78" s="28" t="s">
        <v>465</v>
      </c>
      <c r="AB78" s="24" t="s">
        <v>193</v>
      </c>
      <c r="AC78" s="30" t="s">
        <v>323</v>
      </c>
      <c r="AD78" s="30" t="s">
        <v>344</v>
      </c>
      <c r="AE78" s="37">
        <v>43209</v>
      </c>
    </row>
    <row r="79" spans="1:31" ht="15.75" x14ac:dyDescent="0.25">
      <c r="A79" s="23" t="s">
        <v>499</v>
      </c>
      <c r="B79" s="24" t="s">
        <v>500</v>
      </c>
      <c r="C79" s="24" t="s">
        <v>501</v>
      </c>
      <c r="D79" s="24" t="s">
        <v>502</v>
      </c>
      <c r="E79" s="29">
        <v>66845</v>
      </c>
      <c r="F79" s="24" t="s">
        <v>40</v>
      </c>
      <c r="G79" s="24" t="s">
        <v>218</v>
      </c>
      <c r="H79" s="24" t="s">
        <v>192</v>
      </c>
      <c r="I79" s="25">
        <v>23.814814814814799</v>
      </c>
      <c r="J79" s="26">
        <v>8.0508474576271194</v>
      </c>
      <c r="K79" s="26">
        <v>20.355932203389827</v>
      </c>
      <c r="L79" s="26">
        <v>26.338983050847464</v>
      </c>
      <c r="M79" s="26">
        <v>9.5593220338983045</v>
      </c>
      <c r="N79" s="26">
        <v>46.762711864406789</v>
      </c>
      <c r="O79" s="26">
        <v>15.64406779661017</v>
      </c>
      <c r="P79" s="26">
        <v>0.42372881355932202</v>
      </c>
      <c r="Q79" s="26">
        <v>1.4745762711864405</v>
      </c>
      <c r="R79" s="26">
        <v>22.118644067796616</v>
      </c>
      <c r="S79" s="26">
        <v>10.949152542372881</v>
      </c>
      <c r="T79" s="26">
        <v>14.118644067796611</v>
      </c>
      <c r="U79" s="26">
        <v>17.118644067796605</v>
      </c>
      <c r="V79" s="26">
        <v>42.491525423728817</v>
      </c>
      <c r="W79" s="27"/>
      <c r="X79" s="24" t="s">
        <v>193</v>
      </c>
      <c r="Y79" s="30" t="s">
        <v>323</v>
      </c>
      <c r="Z79" s="24" t="s">
        <v>344</v>
      </c>
      <c r="AA79" s="28" t="s">
        <v>496</v>
      </c>
      <c r="AB79" s="24" t="s">
        <v>193</v>
      </c>
      <c r="AC79" s="30" t="s">
        <v>323</v>
      </c>
      <c r="AD79" s="30" t="s">
        <v>344</v>
      </c>
      <c r="AE79" s="37">
        <v>43293</v>
      </c>
    </row>
    <row r="80" spans="1:31" ht="15.75" x14ac:dyDescent="0.25">
      <c r="A80" s="23" t="s">
        <v>911</v>
      </c>
      <c r="B80" s="24" t="s">
        <v>910</v>
      </c>
      <c r="C80" s="24" t="s">
        <v>259</v>
      </c>
      <c r="D80" s="24" t="s">
        <v>205</v>
      </c>
      <c r="E80" s="29">
        <v>77301</v>
      </c>
      <c r="F80" s="24" t="s">
        <v>260</v>
      </c>
      <c r="G80" s="24" t="s">
        <v>218</v>
      </c>
      <c r="H80" s="24" t="s">
        <v>192</v>
      </c>
      <c r="I80" s="25">
        <v>99.340206185566998</v>
      </c>
      <c r="J80" s="26">
        <v>36.169491525423744</v>
      </c>
      <c r="K80" s="26">
        <v>11.711864406779659</v>
      </c>
      <c r="L80" s="26">
        <v>5.4406779661016937</v>
      </c>
      <c r="M80" s="26">
        <v>9.42372881355932</v>
      </c>
      <c r="N80" s="26">
        <v>27.491525423728802</v>
      </c>
      <c r="O80" s="26">
        <v>35.254237288135599</v>
      </c>
      <c r="P80" s="26">
        <v>0</v>
      </c>
      <c r="Q80" s="26">
        <v>0</v>
      </c>
      <c r="R80" s="26">
        <v>14.271186440677969</v>
      </c>
      <c r="S80" s="26">
        <v>3.2372881355932206</v>
      </c>
      <c r="T80" s="26">
        <v>9.9830508474576263</v>
      </c>
      <c r="U80" s="26">
        <v>35.254237288135599</v>
      </c>
      <c r="V80" s="26">
        <v>54.338983050847432</v>
      </c>
      <c r="W80" s="27"/>
      <c r="X80" s="24" t="s">
        <v>220</v>
      </c>
      <c r="Y80" s="30"/>
      <c r="Z80" s="24"/>
      <c r="AA80" s="28" t="s">
        <v>334</v>
      </c>
      <c r="AB80" s="24" t="s">
        <v>220</v>
      </c>
      <c r="AC80" s="30"/>
      <c r="AD80" s="30"/>
      <c r="AE80" s="37"/>
    </row>
    <row r="81" spans="1:31" ht="15.75" x14ac:dyDescent="0.25">
      <c r="A81" s="23" t="s">
        <v>7</v>
      </c>
      <c r="B81" s="24" t="s">
        <v>468</v>
      </c>
      <c r="C81" s="24" t="s">
        <v>469</v>
      </c>
      <c r="D81" s="24" t="s">
        <v>216</v>
      </c>
      <c r="E81" s="29">
        <v>70655</v>
      </c>
      <c r="F81" s="24" t="s">
        <v>217</v>
      </c>
      <c r="G81" s="24" t="s">
        <v>218</v>
      </c>
      <c r="H81" s="24" t="s">
        <v>5</v>
      </c>
      <c r="I81" s="25">
        <v>23.7878787878788</v>
      </c>
      <c r="J81" s="26">
        <v>39.847457627118658</v>
      </c>
      <c r="K81" s="26">
        <v>17.83050847457627</v>
      </c>
      <c r="L81" s="26">
        <v>4.2203389830508478</v>
      </c>
      <c r="M81" s="26">
        <v>0</v>
      </c>
      <c r="N81" s="26">
        <v>10.152542372881355</v>
      </c>
      <c r="O81" s="26">
        <v>51.745762711864387</v>
      </c>
      <c r="P81" s="26">
        <v>0</v>
      </c>
      <c r="Q81" s="26">
        <v>0</v>
      </c>
      <c r="R81" s="26">
        <v>3.9830508474576276</v>
      </c>
      <c r="S81" s="26">
        <v>2.0508474576271185</v>
      </c>
      <c r="T81" s="26">
        <v>4.1186440677966107</v>
      </c>
      <c r="U81" s="26">
        <v>51.745762711864387</v>
      </c>
      <c r="V81" s="26">
        <v>50.508474576271148</v>
      </c>
      <c r="W81" s="27">
        <v>100</v>
      </c>
      <c r="X81" s="24" t="s">
        <v>193</v>
      </c>
      <c r="Y81" s="30" t="s">
        <v>194</v>
      </c>
      <c r="Z81" s="24" t="s">
        <v>195</v>
      </c>
      <c r="AA81" s="28" t="s">
        <v>470</v>
      </c>
      <c r="AB81" s="24" t="s">
        <v>193</v>
      </c>
      <c r="AC81" s="30" t="s">
        <v>194</v>
      </c>
      <c r="AD81" s="30" t="s">
        <v>350</v>
      </c>
      <c r="AE81" s="37">
        <v>43510</v>
      </c>
    </row>
    <row r="82" spans="1:31" ht="15.75" x14ac:dyDescent="0.25">
      <c r="A82" s="23" t="s">
        <v>537</v>
      </c>
      <c r="B82" s="24" t="s">
        <v>538</v>
      </c>
      <c r="C82" s="24" t="s">
        <v>539</v>
      </c>
      <c r="D82" s="24" t="s">
        <v>373</v>
      </c>
      <c r="E82" s="29">
        <v>56007</v>
      </c>
      <c r="F82" s="24" t="s">
        <v>374</v>
      </c>
      <c r="G82" s="24" t="s">
        <v>218</v>
      </c>
      <c r="H82" s="24" t="s">
        <v>5</v>
      </c>
      <c r="I82" s="25">
        <v>75.263157894736807</v>
      </c>
      <c r="J82" s="26">
        <v>6.0508474576271167</v>
      </c>
      <c r="K82" s="26">
        <v>8.6271186440677958</v>
      </c>
      <c r="L82" s="26">
        <v>30.35593220338983</v>
      </c>
      <c r="M82" s="26">
        <v>16.745762711864408</v>
      </c>
      <c r="N82" s="26">
        <v>44.745762711864408</v>
      </c>
      <c r="O82" s="26">
        <v>17.033898305084751</v>
      </c>
      <c r="P82" s="26">
        <v>0</v>
      </c>
      <c r="Q82" s="26">
        <v>0</v>
      </c>
      <c r="R82" s="26">
        <v>29.711864406779664</v>
      </c>
      <c r="S82" s="26">
        <v>10.779661016949154</v>
      </c>
      <c r="T82" s="26">
        <v>4.2542372881355925</v>
      </c>
      <c r="U82" s="26">
        <v>17.033898305084751</v>
      </c>
      <c r="V82" s="26">
        <v>43.576271186440664</v>
      </c>
      <c r="W82" s="27"/>
      <c r="X82" s="24" t="s">
        <v>193</v>
      </c>
      <c r="Y82" s="30" t="s">
        <v>323</v>
      </c>
      <c r="Z82" s="24" t="s">
        <v>344</v>
      </c>
      <c r="AA82" s="28" t="s">
        <v>909</v>
      </c>
      <c r="AB82" s="24" t="s">
        <v>193</v>
      </c>
      <c r="AC82" s="30" t="s">
        <v>323</v>
      </c>
      <c r="AD82" s="30" t="s">
        <v>344</v>
      </c>
      <c r="AE82" s="37">
        <v>43573</v>
      </c>
    </row>
    <row r="83" spans="1:31" ht="15.75" x14ac:dyDescent="0.25">
      <c r="A83" s="23" t="s">
        <v>540</v>
      </c>
      <c r="B83" s="24" t="s">
        <v>541</v>
      </c>
      <c r="C83" s="24" t="s">
        <v>12</v>
      </c>
      <c r="D83" s="24" t="s">
        <v>542</v>
      </c>
      <c r="E83" s="29">
        <v>47834</v>
      </c>
      <c r="F83" s="24" t="s">
        <v>40</v>
      </c>
      <c r="G83" s="24" t="s">
        <v>274</v>
      </c>
      <c r="H83" s="24" t="s">
        <v>5</v>
      </c>
      <c r="I83" s="25">
        <v>18.1302083333333</v>
      </c>
      <c r="J83" s="26">
        <v>20.05084745762715</v>
      </c>
      <c r="K83" s="26">
        <v>10.508474576271185</v>
      </c>
      <c r="L83" s="26">
        <v>17.220338983050862</v>
      </c>
      <c r="M83" s="26">
        <v>12.288135593220343</v>
      </c>
      <c r="N83" s="26">
        <v>32.932203389830526</v>
      </c>
      <c r="O83" s="26">
        <v>24.169491525423759</v>
      </c>
      <c r="P83" s="26">
        <v>1.5423728813559321</v>
      </c>
      <c r="Q83" s="26">
        <v>1.423728813559322</v>
      </c>
      <c r="R83" s="26">
        <v>14.406779661016952</v>
      </c>
      <c r="S83" s="26">
        <v>7.0677966101694913</v>
      </c>
      <c r="T83" s="26">
        <v>13.000000000000009</v>
      </c>
      <c r="U83" s="26">
        <v>25.59322033898307</v>
      </c>
      <c r="V83" s="26">
        <v>37.271186440677994</v>
      </c>
      <c r="W83" s="27"/>
      <c r="X83" s="24" t="s">
        <v>193</v>
      </c>
      <c r="Y83" s="30" t="s">
        <v>275</v>
      </c>
      <c r="Z83" s="24" t="s">
        <v>195</v>
      </c>
      <c r="AA83" s="28" t="s">
        <v>902</v>
      </c>
      <c r="AB83" s="24" t="s">
        <v>193</v>
      </c>
      <c r="AC83" s="30" t="s">
        <v>275</v>
      </c>
      <c r="AD83" s="30" t="s">
        <v>195</v>
      </c>
      <c r="AE83" s="37">
        <v>43616</v>
      </c>
    </row>
    <row r="84" spans="1:31" ht="15.75" x14ac:dyDescent="0.25">
      <c r="A84" s="23" t="s">
        <v>396</v>
      </c>
      <c r="B84" s="24" t="s">
        <v>397</v>
      </c>
      <c r="C84" s="24" t="s">
        <v>319</v>
      </c>
      <c r="D84" s="24" t="s">
        <v>201</v>
      </c>
      <c r="E84" s="29">
        <v>31537</v>
      </c>
      <c r="F84" s="24" t="s">
        <v>202</v>
      </c>
      <c r="G84" s="24" t="s">
        <v>191</v>
      </c>
      <c r="H84" s="24" t="s">
        <v>5</v>
      </c>
      <c r="I84" s="25">
        <v>35.546798029556598</v>
      </c>
      <c r="J84" s="26">
        <v>7.2542372881355934</v>
      </c>
      <c r="K84" s="26">
        <v>13.677966101694915</v>
      </c>
      <c r="L84" s="26">
        <v>20.050847457627121</v>
      </c>
      <c r="M84" s="26">
        <v>16.271186440677969</v>
      </c>
      <c r="N84" s="26">
        <v>43.711864406779725</v>
      </c>
      <c r="O84" s="26">
        <v>13.542372881355931</v>
      </c>
      <c r="P84" s="26">
        <v>0</v>
      </c>
      <c r="Q84" s="26">
        <v>0</v>
      </c>
      <c r="R84" s="26">
        <v>26.593220338983077</v>
      </c>
      <c r="S84" s="26">
        <v>10.830508474576272</v>
      </c>
      <c r="T84" s="26">
        <v>6.2881355932203391</v>
      </c>
      <c r="U84" s="26">
        <v>13.542372881355931</v>
      </c>
      <c r="V84" s="26">
        <v>38.593220338983109</v>
      </c>
      <c r="W84" s="27"/>
      <c r="X84" s="24" t="s">
        <v>193</v>
      </c>
      <c r="Y84" s="30" t="s">
        <v>194</v>
      </c>
      <c r="Z84" s="24" t="s">
        <v>197</v>
      </c>
      <c r="AA84" s="28" t="s">
        <v>878</v>
      </c>
      <c r="AB84" s="24" t="s">
        <v>193</v>
      </c>
      <c r="AC84" s="30" t="s">
        <v>194</v>
      </c>
      <c r="AD84" s="30" t="s">
        <v>195</v>
      </c>
      <c r="AE84" s="37">
        <v>43622</v>
      </c>
    </row>
    <row r="85" spans="1:31" ht="15.75" x14ac:dyDescent="0.25">
      <c r="A85" s="23" t="s">
        <v>13</v>
      </c>
      <c r="B85" s="24" t="s">
        <v>357</v>
      </c>
      <c r="C85" s="24" t="s">
        <v>358</v>
      </c>
      <c r="D85" s="24" t="s">
        <v>222</v>
      </c>
      <c r="E85" s="29">
        <v>85232</v>
      </c>
      <c r="F85" s="24" t="s">
        <v>223</v>
      </c>
      <c r="G85" s="24" t="s">
        <v>383</v>
      </c>
      <c r="H85" s="24" t="s">
        <v>5</v>
      </c>
      <c r="I85" s="25">
        <v>1.8869080779944301</v>
      </c>
      <c r="J85" s="26">
        <v>19.74576271186459</v>
      </c>
      <c r="K85" s="26">
        <v>16.152542372881474</v>
      </c>
      <c r="L85" s="26">
        <v>9.932203389830514</v>
      </c>
      <c r="M85" s="26">
        <v>10.966101694915267</v>
      </c>
      <c r="N85" s="26">
        <v>29.23728813559363</v>
      </c>
      <c r="O85" s="26">
        <v>22.474576271186702</v>
      </c>
      <c r="P85" s="26">
        <v>1.1525423728813557</v>
      </c>
      <c r="Q85" s="26">
        <v>3.9322033898305038</v>
      </c>
      <c r="R85" s="26">
        <v>16.288135593220431</v>
      </c>
      <c r="S85" s="26">
        <v>6.9491525423728682</v>
      </c>
      <c r="T85" s="26">
        <v>6.3389830508474487</v>
      </c>
      <c r="U85" s="26">
        <v>27.220338983051235</v>
      </c>
      <c r="V85" s="26">
        <v>31.864406779661433</v>
      </c>
      <c r="W85" s="27"/>
      <c r="X85" s="24" t="s">
        <v>220</v>
      </c>
      <c r="Y85" s="30"/>
      <c r="Z85" s="24"/>
      <c r="AA85" s="28"/>
      <c r="AB85" s="24" t="s">
        <v>220</v>
      </c>
      <c r="AC85" s="30"/>
      <c r="AD85" s="30"/>
      <c r="AE85" s="37"/>
    </row>
    <row r="86" spans="1:31" ht="15.75" x14ac:dyDescent="0.25">
      <c r="A86" s="23" t="s">
        <v>417</v>
      </c>
      <c r="B86" s="24" t="s">
        <v>418</v>
      </c>
      <c r="C86" s="24" t="s">
        <v>419</v>
      </c>
      <c r="D86" s="24" t="s">
        <v>328</v>
      </c>
      <c r="E86" s="29">
        <v>18428</v>
      </c>
      <c r="F86" s="24" t="s">
        <v>329</v>
      </c>
      <c r="G86" s="24" t="s">
        <v>218</v>
      </c>
      <c r="H86" s="24" t="s">
        <v>5</v>
      </c>
      <c r="I86" s="25">
        <v>55.35</v>
      </c>
      <c r="J86" s="26">
        <v>10.355932203389832</v>
      </c>
      <c r="K86" s="26">
        <v>10.338983050847457</v>
      </c>
      <c r="L86" s="26">
        <v>21.694915254237287</v>
      </c>
      <c r="M86" s="26">
        <v>13.35593220338983</v>
      </c>
      <c r="N86" s="26">
        <v>36.423728813559322</v>
      </c>
      <c r="O86" s="26">
        <v>19.32203389830509</v>
      </c>
      <c r="P86" s="26">
        <v>0</v>
      </c>
      <c r="Q86" s="26">
        <v>0</v>
      </c>
      <c r="R86" s="26">
        <v>20.338983050847457</v>
      </c>
      <c r="S86" s="26">
        <v>5.0508474576271185</v>
      </c>
      <c r="T86" s="26">
        <v>9.5762711864406782</v>
      </c>
      <c r="U86" s="26">
        <v>20.779661016949156</v>
      </c>
      <c r="V86" s="26">
        <v>32.152542372881356</v>
      </c>
      <c r="W86" s="27"/>
      <c r="X86" s="24" t="s">
        <v>193</v>
      </c>
      <c r="Y86" s="30" t="s">
        <v>275</v>
      </c>
      <c r="Z86" s="24" t="s">
        <v>195</v>
      </c>
      <c r="AA86" s="28" t="s">
        <v>286</v>
      </c>
      <c r="AB86" s="24" t="s">
        <v>193</v>
      </c>
      <c r="AC86" s="30" t="s">
        <v>275</v>
      </c>
      <c r="AD86" s="30" t="s">
        <v>195</v>
      </c>
      <c r="AE86" s="37">
        <v>43146</v>
      </c>
    </row>
    <row r="87" spans="1:31" ht="15.75" x14ac:dyDescent="0.25">
      <c r="A87" s="23" t="s">
        <v>908</v>
      </c>
      <c r="B87" s="24" t="s">
        <v>907</v>
      </c>
      <c r="C87" s="24" t="s">
        <v>906</v>
      </c>
      <c r="D87" s="24" t="s">
        <v>205</v>
      </c>
      <c r="E87" s="29">
        <v>78019</v>
      </c>
      <c r="F87" s="24" t="s">
        <v>206</v>
      </c>
      <c r="G87" s="24" t="s">
        <v>274</v>
      </c>
      <c r="H87" s="24" t="s">
        <v>5</v>
      </c>
      <c r="I87" s="25">
        <v>4.2729124236252503</v>
      </c>
      <c r="J87" s="26">
        <v>30.864406779661071</v>
      </c>
      <c r="K87" s="26">
        <v>5.6949152542372836</v>
      </c>
      <c r="L87" s="26">
        <v>11.864406779661017</v>
      </c>
      <c r="M87" s="26">
        <v>7.2372881355932179</v>
      </c>
      <c r="N87" s="26">
        <v>25.610169491525454</v>
      </c>
      <c r="O87" s="26">
        <v>30.050847457627182</v>
      </c>
      <c r="P87" s="26">
        <v>0</v>
      </c>
      <c r="Q87" s="26">
        <v>0</v>
      </c>
      <c r="R87" s="26">
        <v>8.6271186440677941</v>
      </c>
      <c r="S87" s="26">
        <v>7.3559322033898242</v>
      </c>
      <c r="T87" s="26">
        <v>9.6271186440677923</v>
      </c>
      <c r="U87" s="26">
        <v>30.050847457627182</v>
      </c>
      <c r="V87" s="26">
        <v>28.423728813559386</v>
      </c>
      <c r="W87" s="27"/>
      <c r="X87" s="24" t="s">
        <v>193</v>
      </c>
      <c r="Y87" s="30" t="s">
        <v>323</v>
      </c>
      <c r="Z87" s="24"/>
      <c r="AA87" s="28" t="s">
        <v>903</v>
      </c>
      <c r="AB87" s="24" t="s">
        <v>193</v>
      </c>
      <c r="AC87" s="30" t="s">
        <v>323</v>
      </c>
      <c r="AD87" s="30" t="s">
        <v>344</v>
      </c>
      <c r="AE87" s="37">
        <v>43727</v>
      </c>
    </row>
    <row r="88" spans="1:31" ht="15.75" x14ac:dyDescent="0.25">
      <c r="A88" s="23" t="s">
        <v>453</v>
      </c>
      <c r="B88" s="24" t="s">
        <v>454</v>
      </c>
      <c r="C88" s="24" t="s">
        <v>455</v>
      </c>
      <c r="D88" s="24" t="s">
        <v>395</v>
      </c>
      <c r="E88" s="29">
        <v>60901</v>
      </c>
      <c r="F88" s="24" t="s">
        <v>40</v>
      </c>
      <c r="G88" s="24" t="s">
        <v>274</v>
      </c>
      <c r="H88" s="24" t="s">
        <v>5</v>
      </c>
      <c r="I88" s="25">
        <v>60.075471698113198</v>
      </c>
      <c r="J88" s="26">
        <v>12.8135593220339</v>
      </c>
      <c r="K88" s="26">
        <v>6.0508474576271185</v>
      </c>
      <c r="L88" s="26">
        <v>17.033898305084747</v>
      </c>
      <c r="M88" s="26">
        <v>16.135593220338983</v>
      </c>
      <c r="N88" s="26">
        <v>37.559322033898304</v>
      </c>
      <c r="O88" s="26">
        <v>14.474576271186445</v>
      </c>
      <c r="P88" s="26">
        <v>0</v>
      </c>
      <c r="Q88" s="26">
        <v>0</v>
      </c>
      <c r="R88" s="26">
        <v>24.593220338983052</v>
      </c>
      <c r="S88" s="26">
        <v>8.2711864406779654</v>
      </c>
      <c r="T88" s="26">
        <v>4.6271186440677958</v>
      </c>
      <c r="U88" s="26">
        <v>14.542372881355936</v>
      </c>
      <c r="V88" s="26">
        <v>37.677966101694921</v>
      </c>
      <c r="W88" s="27"/>
      <c r="X88" s="24" t="s">
        <v>193</v>
      </c>
      <c r="Y88" s="30" t="s">
        <v>323</v>
      </c>
      <c r="Z88" s="24" t="s">
        <v>344</v>
      </c>
      <c r="AA88" s="28" t="s">
        <v>359</v>
      </c>
      <c r="AB88" s="24" t="s">
        <v>193</v>
      </c>
      <c r="AC88" s="30" t="s">
        <v>323</v>
      </c>
      <c r="AD88" s="30" t="s">
        <v>344</v>
      </c>
      <c r="AE88" s="37">
        <v>43202</v>
      </c>
    </row>
    <row r="89" spans="1:31" ht="15.75" x14ac:dyDescent="0.25">
      <c r="A89" s="23" t="s">
        <v>54</v>
      </c>
      <c r="B89" s="24" t="s">
        <v>360</v>
      </c>
      <c r="C89" s="24" t="s">
        <v>361</v>
      </c>
      <c r="D89" s="24" t="s">
        <v>189</v>
      </c>
      <c r="E89" s="29">
        <v>93301</v>
      </c>
      <c r="F89" s="24" t="s">
        <v>362</v>
      </c>
      <c r="G89" s="24" t="s">
        <v>207</v>
      </c>
      <c r="H89" s="24" t="s">
        <v>192</v>
      </c>
      <c r="I89" s="25">
        <v>294.66666666666703</v>
      </c>
      <c r="J89" s="26">
        <v>0</v>
      </c>
      <c r="K89" s="26">
        <v>17.000000000000004</v>
      </c>
      <c r="L89" s="26">
        <v>15.796610169491524</v>
      </c>
      <c r="M89" s="26">
        <v>18.440677966101692</v>
      </c>
      <c r="N89" s="26">
        <v>50.237288135593225</v>
      </c>
      <c r="O89" s="26">
        <v>1</v>
      </c>
      <c r="P89" s="26">
        <v>0</v>
      </c>
      <c r="Q89" s="26">
        <v>0</v>
      </c>
      <c r="R89" s="26">
        <v>45.305084745762713</v>
      </c>
      <c r="S89" s="26">
        <v>2.9322033898305087</v>
      </c>
      <c r="T89" s="26">
        <v>2</v>
      </c>
      <c r="U89" s="26">
        <v>1</v>
      </c>
      <c r="V89" s="26">
        <v>45.661016949152547</v>
      </c>
      <c r="W89" s="27">
        <v>880</v>
      </c>
      <c r="X89" s="24" t="s">
        <v>193</v>
      </c>
      <c r="Y89" s="30" t="s">
        <v>194</v>
      </c>
      <c r="Z89" s="24" t="s">
        <v>195</v>
      </c>
      <c r="AA89" s="28" t="s">
        <v>905</v>
      </c>
      <c r="AB89" s="24" t="s">
        <v>193</v>
      </c>
      <c r="AC89" s="30" t="s">
        <v>194</v>
      </c>
      <c r="AD89" s="30" t="s">
        <v>195</v>
      </c>
      <c r="AE89" s="37">
        <v>43643</v>
      </c>
    </row>
    <row r="90" spans="1:31" ht="15.75" x14ac:dyDescent="0.25">
      <c r="A90" s="23" t="s">
        <v>409</v>
      </c>
      <c r="B90" s="24" t="s">
        <v>410</v>
      </c>
      <c r="C90" s="24" t="s">
        <v>46</v>
      </c>
      <c r="D90" s="24" t="s">
        <v>314</v>
      </c>
      <c r="E90" s="29">
        <v>80010</v>
      </c>
      <c r="F90" s="24" t="s">
        <v>315</v>
      </c>
      <c r="G90" s="24" t="s">
        <v>207</v>
      </c>
      <c r="H90" s="24" t="s">
        <v>192</v>
      </c>
      <c r="I90" s="25">
        <v>84.5</v>
      </c>
      <c r="J90" s="26">
        <v>3.2881355932203387</v>
      </c>
      <c r="K90" s="26">
        <v>6.7966101694915251</v>
      </c>
      <c r="L90" s="26">
        <v>23.677966101694917</v>
      </c>
      <c r="M90" s="26">
        <v>17.33898305084746</v>
      </c>
      <c r="N90" s="26">
        <v>36.79661016949153</v>
      </c>
      <c r="O90" s="26">
        <v>2.5762711864406778</v>
      </c>
      <c r="P90" s="26">
        <v>9.2372881355932215</v>
      </c>
      <c r="Q90" s="26">
        <v>2.4915254237288131</v>
      </c>
      <c r="R90" s="26">
        <v>29.847457627118644</v>
      </c>
      <c r="S90" s="26">
        <v>10.559322033898304</v>
      </c>
      <c r="T90" s="26">
        <v>5.6271186440677967</v>
      </c>
      <c r="U90" s="26">
        <v>5.0677966101694905</v>
      </c>
      <c r="V90" s="26">
        <v>33.966101694915281</v>
      </c>
      <c r="W90" s="27">
        <v>432</v>
      </c>
      <c r="X90" s="24" t="s">
        <v>193</v>
      </c>
      <c r="Y90" s="30" t="s">
        <v>194</v>
      </c>
      <c r="Z90" s="24" t="s">
        <v>195</v>
      </c>
      <c r="AA90" s="28" t="s">
        <v>316</v>
      </c>
      <c r="AB90" s="24" t="s">
        <v>220</v>
      </c>
      <c r="AC90" s="30"/>
      <c r="AD90" s="30"/>
      <c r="AE90" s="37"/>
    </row>
    <row r="91" spans="1:31" ht="15.75" x14ac:dyDescent="0.25">
      <c r="A91" s="23" t="s">
        <v>28</v>
      </c>
      <c r="B91" s="24" t="s">
        <v>475</v>
      </c>
      <c r="C91" s="24" t="s">
        <v>346</v>
      </c>
      <c r="D91" s="24" t="s">
        <v>205</v>
      </c>
      <c r="E91" s="29">
        <v>78046</v>
      </c>
      <c r="F91" s="24" t="s">
        <v>206</v>
      </c>
      <c r="G91" s="24" t="s">
        <v>191</v>
      </c>
      <c r="H91" s="24" t="s">
        <v>192</v>
      </c>
      <c r="I91" s="25">
        <v>17.974137931034502</v>
      </c>
      <c r="J91" s="26">
        <v>29.355932203389834</v>
      </c>
      <c r="K91" s="26">
        <v>5.3728813559322024</v>
      </c>
      <c r="L91" s="26">
        <v>2.0338983050847457</v>
      </c>
      <c r="M91" s="26">
        <v>7.5423728813559316</v>
      </c>
      <c r="N91" s="26">
        <v>6.1525423728813555</v>
      </c>
      <c r="O91" s="26">
        <v>5.6271186440677949</v>
      </c>
      <c r="P91" s="26">
        <v>5.5593220338983045</v>
      </c>
      <c r="Q91" s="26">
        <v>26.96610169491526</v>
      </c>
      <c r="R91" s="26">
        <v>6.6949152542372872</v>
      </c>
      <c r="S91" s="26">
        <v>1.9491525423728817</v>
      </c>
      <c r="T91" s="26">
        <v>3.0677966101694909</v>
      </c>
      <c r="U91" s="26">
        <v>32.593220338983045</v>
      </c>
      <c r="V91" s="26">
        <v>30.389830508474581</v>
      </c>
      <c r="W91" s="27"/>
      <c r="X91" s="24" t="s">
        <v>193</v>
      </c>
      <c r="Y91" s="30" t="s">
        <v>194</v>
      </c>
      <c r="Z91" s="24" t="s">
        <v>195</v>
      </c>
      <c r="AA91" s="28" t="s">
        <v>231</v>
      </c>
      <c r="AB91" s="24" t="s">
        <v>193</v>
      </c>
      <c r="AC91" s="30" t="s">
        <v>194</v>
      </c>
      <c r="AD91" s="30" t="s">
        <v>195</v>
      </c>
      <c r="AE91" s="37">
        <v>43503</v>
      </c>
    </row>
    <row r="92" spans="1:31" ht="15.75" x14ac:dyDescent="0.25">
      <c r="A92" s="23" t="s">
        <v>379</v>
      </c>
      <c r="B92" s="24" t="s">
        <v>380</v>
      </c>
      <c r="C92" s="24" t="s">
        <v>381</v>
      </c>
      <c r="D92" s="24" t="s">
        <v>255</v>
      </c>
      <c r="E92" s="29">
        <v>87016</v>
      </c>
      <c r="F92" s="24" t="s">
        <v>256</v>
      </c>
      <c r="G92" s="24" t="s">
        <v>218</v>
      </c>
      <c r="H92" s="24" t="s">
        <v>5</v>
      </c>
      <c r="I92" s="25">
        <v>130.333333333333</v>
      </c>
      <c r="J92" s="26">
        <v>22.694915254237291</v>
      </c>
      <c r="K92" s="26">
        <v>10.627118644067798</v>
      </c>
      <c r="L92" s="26">
        <v>6.4745762711864412</v>
      </c>
      <c r="M92" s="26">
        <v>3.5254237288135593</v>
      </c>
      <c r="N92" s="26">
        <v>22.474576271186436</v>
      </c>
      <c r="O92" s="26">
        <v>20.847457627118647</v>
      </c>
      <c r="P92" s="26">
        <v>0</v>
      </c>
      <c r="Q92" s="26">
        <v>0</v>
      </c>
      <c r="R92" s="26">
        <v>7.4745762711864403</v>
      </c>
      <c r="S92" s="26">
        <v>5.2203389830508478</v>
      </c>
      <c r="T92" s="26">
        <v>9.7796610169491522</v>
      </c>
      <c r="U92" s="26">
        <v>20.847457627118647</v>
      </c>
      <c r="V92" s="26">
        <v>39.050847457627121</v>
      </c>
      <c r="W92" s="27">
        <v>714</v>
      </c>
      <c r="X92" s="24" t="s">
        <v>193</v>
      </c>
      <c r="Y92" s="30" t="s">
        <v>194</v>
      </c>
      <c r="Z92" s="24" t="s">
        <v>195</v>
      </c>
      <c r="AA92" s="28" t="s">
        <v>904</v>
      </c>
      <c r="AB92" s="24" t="s">
        <v>193</v>
      </c>
      <c r="AC92" s="30" t="s">
        <v>194</v>
      </c>
      <c r="AD92" s="30" t="s">
        <v>195</v>
      </c>
      <c r="AE92" s="37">
        <v>43790</v>
      </c>
    </row>
    <row r="93" spans="1:31" ht="15.75" x14ac:dyDescent="0.25">
      <c r="A93" s="23" t="s">
        <v>476</v>
      </c>
      <c r="B93" s="24" t="s">
        <v>477</v>
      </c>
      <c r="C93" s="24" t="s">
        <v>478</v>
      </c>
      <c r="D93" s="24" t="s">
        <v>408</v>
      </c>
      <c r="E93" s="29">
        <v>74647</v>
      </c>
      <c r="F93" s="24" t="s">
        <v>296</v>
      </c>
      <c r="G93" s="24" t="s">
        <v>218</v>
      </c>
      <c r="H93" s="24" t="s">
        <v>10</v>
      </c>
      <c r="I93" s="25">
        <v>30.211538461538499</v>
      </c>
      <c r="J93" s="26">
        <v>20.237288135593229</v>
      </c>
      <c r="K93" s="26">
        <v>6.6779661016949143</v>
      </c>
      <c r="L93" s="26">
        <v>7.3050847457627111</v>
      </c>
      <c r="M93" s="26">
        <v>7.8813559322033893</v>
      </c>
      <c r="N93" s="26">
        <v>20.338983050847467</v>
      </c>
      <c r="O93" s="26">
        <v>9.3389830508474603</v>
      </c>
      <c r="P93" s="26">
        <v>3.1694915254237288</v>
      </c>
      <c r="Q93" s="26">
        <v>9.2542372881355934</v>
      </c>
      <c r="R93" s="26">
        <v>15.847457627118647</v>
      </c>
      <c r="S93" s="26">
        <v>4.9999999999999991</v>
      </c>
      <c r="T93" s="26">
        <v>2.6440677966101682</v>
      </c>
      <c r="U93" s="26">
        <v>18.610169491525426</v>
      </c>
      <c r="V93" s="26">
        <v>35.677966101694928</v>
      </c>
      <c r="W93" s="27"/>
      <c r="X93" s="24" t="s">
        <v>193</v>
      </c>
      <c r="Y93" s="30" t="s">
        <v>194</v>
      </c>
      <c r="Z93" s="24" t="s">
        <v>195</v>
      </c>
      <c r="AA93" s="28" t="s">
        <v>902</v>
      </c>
      <c r="AB93" s="24" t="s">
        <v>193</v>
      </c>
      <c r="AC93" s="30" t="s">
        <v>194</v>
      </c>
      <c r="AD93" s="30" t="s">
        <v>195</v>
      </c>
      <c r="AE93" s="37">
        <v>43762</v>
      </c>
    </row>
    <row r="94" spans="1:31" ht="15.75" x14ac:dyDescent="0.25">
      <c r="A94" s="23" t="s">
        <v>513</v>
      </c>
      <c r="B94" s="24" t="s">
        <v>514</v>
      </c>
      <c r="C94" s="24" t="s">
        <v>515</v>
      </c>
      <c r="D94" s="24" t="s">
        <v>516</v>
      </c>
      <c r="E94" s="29">
        <v>50627</v>
      </c>
      <c r="F94" s="24" t="s">
        <v>374</v>
      </c>
      <c r="G94" s="24" t="s">
        <v>218</v>
      </c>
      <c r="H94" s="24" t="s">
        <v>192</v>
      </c>
      <c r="I94" s="25">
        <v>35.847826086956502</v>
      </c>
      <c r="J94" s="26">
        <v>4.6949152542372881</v>
      </c>
      <c r="K94" s="26">
        <v>9.3559322033898304</v>
      </c>
      <c r="L94" s="26">
        <v>10.711864406779659</v>
      </c>
      <c r="M94" s="26">
        <v>12.305084745762713</v>
      </c>
      <c r="N94" s="26">
        <v>30.322033898305094</v>
      </c>
      <c r="O94" s="26">
        <v>6.6949152542372881</v>
      </c>
      <c r="P94" s="26">
        <v>3.3898305084745763E-2</v>
      </c>
      <c r="Q94" s="26">
        <v>1.6949152542372881E-2</v>
      </c>
      <c r="R94" s="26">
        <v>17.711864406779661</v>
      </c>
      <c r="S94" s="26">
        <v>6.3220338983050839</v>
      </c>
      <c r="T94" s="26">
        <v>6.3220338983050839</v>
      </c>
      <c r="U94" s="26">
        <v>6.7118644067796618</v>
      </c>
      <c r="V94" s="26">
        <v>26.559322033898315</v>
      </c>
      <c r="W94" s="27"/>
      <c r="X94" s="24" t="s">
        <v>193</v>
      </c>
      <c r="Y94" s="30" t="s">
        <v>323</v>
      </c>
      <c r="Z94" s="24" t="s">
        <v>344</v>
      </c>
      <c r="AA94" s="28" t="s">
        <v>517</v>
      </c>
      <c r="AB94" s="24" t="s">
        <v>193</v>
      </c>
      <c r="AC94" s="30" t="s">
        <v>323</v>
      </c>
      <c r="AD94" s="30" t="s">
        <v>344</v>
      </c>
      <c r="AE94" s="37">
        <v>43356</v>
      </c>
    </row>
    <row r="95" spans="1:31" ht="15.75" x14ac:dyDescent="0.25">
      <c r="A95" s="23" t="s">
        <v>14</v>
      </c>
      <c r="B95" s="24" t="s">
        <v>523</v>
      </c>
      <c r="C95" s="24" t="s">
        <v>524</v>
      </c>
      <c r="D95" s="24" t="s">
        <v>435</v>
      </c>
      <c r="E95" s="29">
        <v>44883</v>
      </c>
      <c r="F95" s="24" t="s">
        <v>436</v>
      </c>
      <c r="G95" s="24" t="s">
        <v>218</v>
      </c>
      <c r="H95" s="24" t="s">
        <v>192</v>
      </c>
      <c r="I95" s="25">
        <v>46.903225806451601</v>
      </c>
      <c r="J95" s="26">
        <v>9.3559322033898304</v>
      </c>
      <c r="K95" s="26">
        <v>4.8644067796610164</v>
      </c>
      <c r="L95" s="26">
        <v>11.898305084745761</v>
      </c>
      <c r="M95" s="26">
        <v>8.881355932203391</v>
      </c>
      <c r="N95" s="26">
        <v>21.64406779661017</v>
      </c>
      <c r="O95" s="26">
        <v>13.355932203389834</v>
      </c>
      <c r="P95" s="26">
        <v>0</v>
      </c>
      <c r="Q95" s="26">
        <v>0</v>
      </c>
      <c r="R95" s="26">
        <v>7.406779661016949</v>
      </c>
      <c r="S95" s="26">
        <v>8.101694915254237</v>
      </c>
      <c r="T95" s="26">
        <v>6.1355932203389836</v>
      </c>
      <c r="U95" s="26">
        <v>13.355932203389834</v>
      </c>
      <c r="V95" s="26">
        <v>24.610169491525429</v>
      </c>
      <c r="W95" s="27"/>
      <c r="X95" s="24" t="s">
        <v>193</v>
      </c>
      <c r="Y95" s="30" t="s">
        <v>323</v>
      </c>
      <c r="Z95" s="24" t="s">
        <v>350</v>
      </c>
      <c r="AA95" s="28" t="s">
        <v>265</v>
      </c>
      <c r="AB95" s="24" t="s">
        <v>193</v>
      </c>
      <c r="AC95" s="30" t="s">
        <v>323</v>
      </c>
      <c r="AD95" s="30" t="s">
        <v>344</v>
      </c>
      <c r="AE95" s="37">
        <v>43377</v>
      </c>
    </row>
    <row r="96" spans="1:31" ht="15.75" x14ac:dyDescent="0.25">
      <c r="A96" s="23" t="s">
        <v>49</v>
      </c>
      <c r="B96" s="24" t="s">
        <v>543</v>
      </c>
      <c r="C96" s="24" t="s">
        <v>544</v>
      </c>
      <c r="D96" s="24" t="s">
        <v>435</v>
      </c>
      <c r="E96" s="29">
        <v>44024</v>
      </c>
      <c r="F96" s="24" t="s">
        <v>436</v>
      </c>
      <c r="G96" s="24" t="s">
        <v>274</v>
      </c>
      <c r="H96" s="24" t="s">
        <v>192</v>
      </c>
      <c r="I96" s="25">
        <v>109.10344827586199</v>
      </c>
      <c r="J96" s="26">
        <v>8.2203389830508478</v>
      </c>
      <c r="K96" s="26">
        <v>6.8813559322033893</v>
      </c>
      <c r="L96" s="26">
        <v>11.016949152542374</v>
      </c>
      <c r="M96" s="26">
        <v>7.3220338983050857</v>
      </c>
      <c r="N96" s="26">
        <v>20.305084745762709</v>
      </c>
      <c r="O96" s="26">
        <v>11.135593220338983</v>
      </c>
      <c r="P96" s="26">
        <v>1</v>
      </c>
      <c r="Q96" s="26">
        <v>1</v>
      </c>
      <c r="R96" s="26">
        <v>7.2542372881355925</v>
      </c>
      <c r="S96" s="26">
        <v>7.0169491525423728</v>
      </c>
      <c r="T96" s="26">
        <v>7.0338983050847457</v>
      </c>
      <c r="U96" s="26">
        <v>12.135593220338983</v>
      </c>
      <c r="V96" s="26">
        <v>20.237288135593214</v>
      </c>
      <c r="W96" s="27"/>
      <c r="X96" s="24" t="s">
        <v>193</v>
      </c>
      <c r="Y96" s="30" t="s">
        <v>323</v>
      </c>
      <c r="Z96" s="24" t="s">
        <v>344</v>
      </c>
      <c r="AA96" s="28" t="s">
        <v>219</v>
      </c>
      <c r="AB96" s="24" t="s">
        <v>193</v>
      </c>
      <c r="AC96" s="30" t="s">
        <v>323</v>
      </c>
      <c r="AD96" s="30" t="s">
        <v>350</v>
      </c>
      <c r="AE96" s="37">
        <v>43433</v>
      </c>
    </row>
    <row r="97" spans="1:31" ht="15.75" x14ac:dyDescent="0.25">
      <c r="A97" s="23" t="s">
        <v>518</v>
      </c>
      <c r="B97" s="24" t="s">
        <v>519</v>
      </c>
      <c r="C97" s="24" t="s">
        <v>520</v>
      </c>
      <c r="D97" s="24" t="s">
        <v>444</v>
      </c>
      <c r="E97" s="29">
        <v>48060</v>
      </c>
      <c r="F97" s="24" t="s">
        <v>436</v>
      </c>
      <c r="G97" s="24" t="s">
        <v>218</v>
      </c>
      <c r="H97" s="24" t="s">
        <v>5</v>
      </c>
      <c r="I97" s="25">
        <v>64.774193548387103</v>
      </c>
      <c r="J97" s="26">
        <v>4.5593220338983054</v>
      </c>
      <c r="K97" s="26">
        <v>10.457627118644069</v>
      </c>
      <c r="L97" s="26">
        <v>11.813559322033898</v>
      </c>
      <c r="M97" s="26">
        <v>2.593220338983051</v>
      </c>
      <c r="N97" s="26">
        <v>18.576271186440675</v>
      </c>
      <c r="O97" s="26">
        <v>10.847457627118644</v>
      </c>
      <c r="P97" s="26">
        <v>0</v>
      </c>
      <c r="Q97" s="26">
        <v>0</v>
      </c>
      <c r="R97" s="26">
        <v>11.610169491525422</v>
      </c>
      <c r="S97" s="26">
        <v>3.9322033898305087</v>
      </c>
      <c r="T97" s="26">
        <v>3.0338983050847457</v>
      </c>
      <c r="U97" s="26">
        <v>10.847457627118644</v>
      </c>
      <c r="V97" s="26">
        <v>21.203389830508474</v>
      </c>
      <c r="W97" s="27"/>
      <c r="X97" s="24" t="s">
        <v>193</v>
      </c>
      <c r="Y97" s="30" t="s">
        <v>275</v>
      </c>
      <c r="Z97" s="24" t="s">
        <v>195</v>
      </c>
      <c r="AA97" s="28" t="s">
        <v>904</v>
      </c>
      <c r="AB97" s="24" t="s">
        <v>193</v>
      </c>
      <c r="AC97" s="30" t="s">
        <v>275</v>
      </c>
      <c r="AD97" s="30" t="s">
        <v>195</v>
      </c>
      <c r="AE97" s="37">
        <v>43769</v>
      </c>
    </row>
    <row r="98" spans="1:31" ht="15.75" x14ac:dyDescent="0.25">
      <c r="A98" s="23" t="s">
        <v>557</v>
      </c>
      <c r="B98" s="24" t="s">
        <v>558</v>
      </c>
      <c r="C98" s="24" t="s">
        <v>559</v>
      </c>
      <c r="D98" s="24" t="s">
        <v>516</v>
      </c>
      <c r="E98" s="29">
        <v>50313</v>
      </c>
      <c r="F98" s="24" t="s">
        <v>374</v>
      </c>
      <c r="G98" s="24" t="s">
        <v>274</v>
      </c>
      <c r="H98" s="24" t="s">
        <v>192</v>
      </c>
      <c r="I98" s="25">
        <v>36.289473684210499</v>
      </c>
      <c r="J98" s="26">
        <v>10.525423728813561</v>
      </c>
      <c r="K98" s="26">
        <v>8.5593220338983045</v>
      </c>
      <c r="L98" s="26">
        <v>5.2372881355932197</v>
      </c>
      <c r="M98" s="26">
        <v>4.0508474576271185</v>
      </c>
      <c r="N98" s="26">
        <v>18.559322033898301</v>
      </c>
      <c r="O98" s="26">
        <v>8.2372881355932197</v>
      </c>
      <c r="P98" s="26">
        <v>1.4406779661016949</v>
      </c>
      <c r="Q98" s="26">
        <v>0.13559322033898305</v>
      </c>
      <c r="R98" s="26">
        <v>7.6440677966101704</v>
      </c>
      <c r="S98" s="26">
        <v>5.8813559322033893</v>
      </c>
      <c r="T98" s="26">
        <v>6.4745762711864412</v>
      </c>
      <c r="U98" s="26">
        <v>8.3728813559322042</v>
      </c>
      <c r="V98" s="26">
        <v>17.186440677966104</v>
      </c>
      <c r="W98" s="27"/>
      <c r="X98" s="24" t="s">
        <v>193</v>
      </c>
      <c r="Y98" s="30" t="s">
        <v>323</v>
      </c>
      <c r="Z98" s="24" t="s">
        <v>344</v>
      </c>
      <c r="AA98" s="28" t="s">
        <v>489</v>
      </c>
      <c r="AB98" s="24" t="s">
        <v>193</v>
      </c>
      <c r="AC98" s="30" t="s">
        <v>323</v>
      </c>
      <c r="AD98" s="30" t="s">
        <v>344</v>
      </c>
      <c r="AE98" s="37">
        <v>43314</v>
      </c>
    </row>
    <row r="99" spans="1:31" ht="15.75" x14ac:dyDescent="0.25">
      <c r="A99" s="23" t="s">
        <v>426</v>
      </c>
      <c r="B99" s="24" t="s">
        <v>427</v>
      </c>
      <c r="C99" s="24" t="s">
        <v>428</v>
      </c>
      <c r="D99" s="24" t="s">
        <v>189</v>
      </c>
      <c r="E99" s="29">
        <v>95901</v>
      </c>
      <c r="F99" s="24" t="s">
        <v>362</v>
      </c>
      <c r="G99" s="24" t="s">
        <v>218</v>
      </c>
      <c r="H99" s="24" t="s">
        <v>192</v>
      </c>
      <c r="I99" s="25">
        <v>156.272727272727</v>
      </c>
      <c r="J99" s="26">
        <v>1</v>
      </c>
      <c r="K99" s="26">
        <v>3.101694915254237</v>
      </c>
      <c r="L99" s="26">
        <v>5.4745762711864403</v>
      </c>
      <c r="M99" s="26">
        <v>18.728813559322035</v>
      </c>
      <c r="N99" s="26">
        <v>27.305084745762709</v>
      </c>
      <c r="O99" s="26">
        <v>1</v>
      </c>
      <c r="P99" s="26">
        <v>0</v>
      </c>
      <c r="Q99" s="26">
        <v>0</v>
      </c>
      <c r="R99" s="26">
        <v>22.610169491525422</v>
      </c>
      <c r="S99" s="26">
        <v>2.6779661016949152</v>
      </c>
      <c r="T99" s="26">
        <v>2.0169491525423728</v>
      </c>
      <c r="U99" s="26">
        <v>1</v>
      </c>
      <c r="V99" s="26">
        <v>23.03389830508474</v>
      </c>
      <c r="W99" s="27">
        <v>150</v>
      </c>
      <c r="X99" s="24" t="s">
        <v>193</v>
      </c>
      <c r="Y99" s="30" t="s">
        <v>323</v>
      </c>
      <c r="Z99" s="24" t="s">
        <v>344</v>
      </c>
      <c r="AA99" s="28" t="s">
        <v>335</v>
      </c>
      <c r="AB99" s="24" t="s">
        <v>193</v>
      </c>
      <c r="AC99" s="30" t="s">
        <v>323</v>
      </c>
      <c r="AD99" s="30" t="s">
        <v>344</v>
      </c>
      <c r="AE99" s="37">
        <v>43420</v>
      </c>
    </row>
    <row r="100" spans="1:31" ht="15.75" x14ac:dyDescent="0.25">
      <c r="A100" s="23" t="s">
        <v>432</v>
      </c>
      <c r="B100" s="24" t="s">
        <v>433</v>
      </c>
      <c r="C100" s="24" t="s">
        <v>434</v>
      </c>
      <c r="D100" s="24" t="s">
        <v>32</v>
      </c>
      <c r="E100" s="29">
        <v>2747</v>
      </c>
      <c r="F100" s="24" t="s">
        <v>370</v>
      </c>
      <c r="G100" s="24" t="s">
        <v>218</v>
      </c>
      <c r="H100" s="24" t="s">
        <v>192</v>
      </c>
      <c r="I100" s="25">
        <v>291.18181818181802</v>
      </c>
      <c r="J100" s="26">
        <v>0.66101694915254239</v>
      </c>
      <c r="K100" s="26">
        <v>1</v>
      </c>
      <c r="L100" s="26">
        <v>4.3559322033898304</v>
      </c>
      <c r="M100" s="26">
        <v>21.186440677966097</v>
      </c>
      <c r="N100" s="26">
        <v>22.101694915254235</v>
      </c>
      <c r="O100" s="26">
        <v>5.101694915254237</v>
      </c>
      <c r="P100" s="26">
        <v>0</v>
      </c>
      <c r="Q100" s="26">
        <v>0</v>
      </c>
      <c r="R100" s="26">
        <v>17.711864406779661</v>
      </c>
      <c r="S100" s="26">
        <v>0.67796610169491522</v>
      </c>
      <c r="T100" s="26">
        <v>3.7118644067796609</v>
      </c>
      <c r="U100" s="26">
        <v>5.101694915254237</v>
      </c>
      <c r="V100" s="26">
        <v>18.627118644067799</v>
      </c>
      <c r="W100" s="27"/>
      <c r="X100" s="24" t="s">
        <v>193</v>
      </c>
      <c r="Y100" s="30" t="s">
        <v>275</v>
      </c>
      <c r="Z100" s="24" t="s">
        <v>195</v>
      </c>
      <c r="AA100" s="28" t="s">
        <v>246</v>
      </c>
      <c r="AB100" s="24" t="s">
        <v>193</v>
      </c>
      <c r="AC100" s="30" t="s">
        <v>275</v>
      </c>
      <c r="AD100" s="30" t="s">
        <v>195</v>
      </c>
      <c r="AE100" s="37">
        <v>43230</v>
      </c>
    </row>
    <row r="101" spans="1:31" ht="15.75" x14ac:dyDescent="0.25">
      <c r="A101" s="23" t="s">
        <v>492</v>
      </c>
      <c r="B101" s="24" t="s">
        <v>493</v>
      </c>
      <c r="C101" s="24" t="s">
        <v>494</v>
      </c>
      <c r="D101" s="24" t="s">
        <v>495</v>
      </c>
      <c r="E101" s="29">
        <v>68801</v>
      </c>
      <c r="F101" s="24" t="s">
        <v>374</v>
      </c>
      <c r="G101" s="24" t="s">
        <v>218</v>
      </c>
      <c r="H101" s="24" t="s">
        <v>192</v>
      </c>
      <c r="I101" s="25">
        <v>57.366666666666703</v>
      </c>
      <c r="J101" s="26">
        <v>4.5593220338983054</v>
      </c>
      <c r="K101" s="26">
        <v>5.1864406779661012</v>
      </c>
      <c r="L101" s="26">
        <v>6.5593220338983045</v>
      </c>
      <c r="M101" s="26">
        <v>10.169491525423728</v>
      </c>
      <c r="N101" s="26">
        <v>19.355932203389834</v>
      </c>
      <c r="O101" s="26">
        <v>4.0677966101694913</v>
      </c>
      <c r="P101" s="26">
        <v>2.6101694915254239</v>
      </c>
      <c r="Q101" s="26">
        <v>0.44067796610169491</v>
      </c>
      <c r="R101" s="26">
        <v>8.6271186440677958</v>
      </c>
      <c r="S101" s="26">
        <v>8.2033898305084758</v>
      </c>
      <c r="T101" s="26">
        <v>5.1355932203389827</v>
      </c>
      <c r="U101" s="26">
        <v>4.508474576271186</v>
      </c>
      <c r="V101" s="26">
        <v>18.254237288135599</v>
      </c>
      <c r="W101" s="27"/>
      <c r="X101" s="24" t="s">
        <v>193</v>
      </c>
      <c r="Y101" s="30" t="s">
        <v>323</v>
      </c>
      <c r="Z101" s="24" t="s">
        <v>197</v>
      </c>
      <c r="AA101" s="28" t="s">
        <v>845</v>
      </c>
      <c r="AB101" s="24" t="s">
        <v>193</v>
      </c>
      <c r="AC101" s="30" t="s">
        <v>323</v>
      </c>
      <c r="AD101" s="30" t="s">
        <v>344</v>
      </c>
      <c r="AE101" s="37">
        <v>43657</v>
      </c>
    </row>
    <row r="102" spans="1:31" ht="15.75" x14ac:dyDescent="0.25">
      <c r="A102" s="23" t="s">
        <v>445</v>
      </c>
      <c r="B102" s="24" t="s">
        <v>446</v>
      </c>
      <c r="C102" s="24" t="s">
        <v>447</v>
      </c>
      <c r="D102" s="24" t="s">
        <v>42</v>
      </c>
      <c r="E102" s="29">
        <v>21863</v>
      </c>
      <c r="F102" s="24" t="s">
        <v>448</v>
      </c>
      <c r="G102" s="24" t="s">
        <v>218</v>
      </c>
      <c r="H102" s="24" t="s">
        <v>192</v>
      </c>
      <c r="I102" s="25">
        <v>65.941176470588204</v>
      </c>
      <c r="J102" s="26">
        <v>1.593220338983051</v>
      </c>
      <c r="K102" s="26">
        <v>1.3050847457627119</v>
      </c>
      <c r="L102" s="26">
        <v>3.9322033898305082</v>
      </c>
      <c r="M102" s="26">
        <v>17.932203389830509</v>
      </c>
      <c r="N102" s="26">
        <v>16.271186440677965</v>
      </c>
      <c r="O102" s="26">
        <v>5.593220338983051</v>
      </c>
      <c r="P102" s="26">
        <v>1.3050847457627119</v>
      </c>
      <c r="Q102" s="26">
        <v>1.593220338983051</v>
      </c>
      <c r="R102" s="26">
        <v>11.338983050847457</v>
      </c>
      <c r="S102" s="26">
        <v>4.9322033898305087</v>
      </c>
      <c r="T102" s="26">
        <v>1.3050847457627119</v>
      </c>
      <c r="U102" s="26">
        <v>7.1864406779661012</v>
      </c>
      <c r="V102" s="26">
        <v>15.525423728813557</v>
      </c>
      <c r="W102" s="27"/>
      <c r="X102" s="24" t="s">
        <v>193</v>
      </c>
      <c r="Y102" s="30" t="s">
        <v>323</v>
      </c>
      <c r="Z102" s="24" t="s">
        <v>344</v>
      </c>
      <c r="AA102" s="28" t="s">
        <v>449</v>
      </c>
      <c r="AB102" s="24" t="s">
        <v>193</v>
      </c>
      <c r="AC102" s="30" t="s">
        <v>323</v>
      </c>
      <c r="AD102" s="30" t="s">
        <v>344</v>
      </c>
      <c r="AE102" s="37">
        <v>43328</v>
      </c>
    </row>
    <row r="103" spans="1:31" ht="15.75" x14ac:dyDescent="0.25">
      <c r="A103" s="23" t="s">
        <v>482</v>
      </c>
      <c r="B103" s="24" t="s">
        <v>483</v>
      </c>
      <c r="C103" s="24" t="s">
        <v>484</v>
      </c>
      <c r="D103" s="24" t="s">
        <v>205</v>
      </c>
      <c r="E103" s="29">
        <v>79521</v>
      </c>
      <c r="F103" s="24" t="s">
        <v>296</v>
      </c>
      <c r="G103" s="24" t="s">
        <v>274</v>
      </c>
      <c r="H103" s="24" t="s">
        <v>192</v>
      </c>
      <c r="I103" s="25">
        <v>38.76</v>
      </c>
      <c r="J103" s="26">
        <v>5.5932203389830519</v>
      </c>
      <c r="K103" s="26">
        <v>5.881355932203391</v>
      </c>
      <c r="L103" s="26">
        <v>8.0677966101694913</v>
      </c>
      <c r="M103" s="26">
        <v>5.1694915254237284</v>
      </c>
      <c r="N103" s="26">
        <v>6.9661016949152552</v>
      </c>
      <c r="O103" s="26">
        <v>3.1864406779661021</v>
      </c>
      <c r="P103" s="26">
        <v>8.4745762711864394</v>
      </c>
      <c r="Q103" s="26">
        <v>6.0847457627118651</v>
      </c>
      <c r="R103" s="26">
        <v>7.7118644067796609</v>
      </c>
      <c r="S103" s="26">
        <v>3.0508474576271181</v>
      </c>
      <c r="T103" s="26">
        <v>4.6779661016949152</v>
      </c>
      <c r="U103" s="26">
        <v>9.2711864406779672</v>
      </c>
      <c r="V103" s="26">
        <v>14.372881355932202</v>
      </c>
      <c r="W103" s="27"/>
      <c r="X103" s="24" t="s">
        <v>193</v>
      </c>
      <c r="Y103" s="30" t="s">
        <v>323</v>
      </c>
      <c r="Z103" s="24" t="s">
        <v>197</v>
      </c>
      <c r="AA103" s="28" t="s">
        <v>903</v>
      </c>
      <c r="AB103" s="24" t="s">
        <v>193</v>
      </c>
      <c r="AC103" s="30" t="s">
        <v>323</v>
      </c>
      <c r="AD103" s="30" t="s">
        <v>344</v>
      </c>
      <c r="AE103" s="37">
        <v>43685</v>
      </c>
    </row>
    <row r="104" spans="1:31" ht="15.75" x14ac:dyDescent="0.25">
      <c r="A104" s="23" t="s">
        <v>23</v>
      </c>
      <c r="B104" s="24" t="s">
        <v>571</v>
      </c>
      <c r="C104" s="24" t="s">
        <v>572</v>
      </c>
      <c r="D104" s="24" t="s">
        <v>535</v>
      </c>
      <c r="E104" s="29">
        <v>63361</v>
      </c>
      <c r="F104" s="24" t="s">
        <v>40</v>
      </c>
      <c r="G104" s="24" t="s">
        <v>218</v>
      </c>
      <c r="H104" s="24" t="s">
        <v>192</v>
      </c>
      <c r="I104" s="25">
        <v>62.769230769230802</v>
      </c>
      <c r="J104" s="26">
        <v>2</v>
      </c>
      <c r="K104" s="26">
        <v>2.8474576271186436</v>
      </c>
      <c r="L104" s="26">
        <v>6.7966101694915251</v>
      </c>
      <c r="M104" s="26">
        <v>10.694915254237287</v>
      </c>
      <c r="N104" s="26">
        <v>17.186440677966104</v>
      </c>
      <c r="O104" s="26">
        <v>3.7796610169491527</v>
      </c>
      <c r="P104" s="26">
        <v>0.59322033898305082</v>
      </c>
      <c r="Q104" s="26">
        <v>0.77966101694915246</v>
      </c>
      <c r="R104" s="26">
        <v>13.661016949152543</v>
      </c>
      <c r="S104" s="26">
        <v>2.4745762711864407</v>
      </c>
      <c r="T104" s="26">
        <v>1.6440677966101696</v>
      </c>
      <c r="U104" s="26">
        <v>4.5593220338983054</v>
      </c>
      <c r="V104" s="26">
        <v>13.254237288135595</v>
      </c>
      <c r="W104" s="27"/>
      <c r="X104" s="24" t="s">
        <v>193</v>
      </c>
      <c r="Y104" s="30" t="s">
        <v>323</v>
      </c>
      <c r="Z104" s="24" t="s">
        <v>344</v>
      </c>
      <c r="AA104" s="28" t="s">
        <v>268</v>
      </c>
      <c r="AB104" s="24" t="s">
        <v>193</v>
      </c>
      <c r="AC104" s="30" t="s">
        <v>323</v>
      </c>
      <c r="AD104" s="30" t="s">
        <v>344</v>
      </c>
      <c r="AE104" s="37">
        <v>42957</v>
      </c>
    </row>
    <row r="105" spans="1:31" ht="15.75" x14ac:dyDescent="0.25">
      <c r="A105" s="23" t="s">
        <v>532</v>
      </c>
      <c r="B105" s="24" t="s">
        <v>533</v>
      </c>
      <c r="C105" s="24" t="s">
        <v>534</v>
      </c>
      <c r="D105" s="24" t="s">
        <v>535</v>
      </c>
      <c r="E105" s="29">
        <v>65084</v>
      </c>
      <c r="F105" s="24" t="s">
        <v>40</v>
      </c>
      <c r="G105" s="24" t="s">
        <v>218</v>
      </c>
      <c r="H105" s="24" t="s">
        <v>5</v>
      </c>
      <c r="I105" s="25">
        <v>31.466666666666701</v>
      </c>
      <c r="J105" s="26">
        <v>2.0847457627118642</v>
      </c>
      <c r="K105" s="26">
        <v>5.9152542372881349</v>
      </c>
      <c r="L105" s="26">
        <v>9.8474576271186418</v>
      </c>
      <c r="M105" s="26">
        <v>4.2881355932203391</v>
      </c>
      <c r="N105" s="26">
        <v>15.152542372881355</v>
      </c>
      <c r="O105" s="26">
        <v>5.8474576271186427</v>
      </c>
      <c r="P105" s="26">
        <v>0.93220338983050843</v>
      </c>
      <c r="Q105" s="26">
        <v>0.20338983050847459</v>
      </c>
      <c r="R105" s="26">
        <v>5.6610169491525424</v>
      </c>
      <c r="S105" s="26">
        <v>5.6271186440677967</v>
      </c>
      <c r="T105" s="26">
        <v>4.7966101694915251</v>
      </c>
      <c r="U105" s="26">
        <v>6.0508474576271185</v>
      </c>
      <c r="V105" s="26">
        <v>14.779661016949152</v>
      </c>
      <c r="W105" s="27"/>
      <c r="X105" s="24" t="s">
        <v>193</v>
      </c>
      <c r="Y105" s="30" t="s">
        <v>323</v>
      </c>
      <c r="Z105" s="24" t="s">
        <v>344</v>
      </c>
      <c r="AA105" s="28" t="s">
        <v>536</v>
      </c>
      <c r="AB105" s="24" t="s">
        <v>193</v>
      </c>
      <c r="AC105" s="30" t="s">
        <v>323</v>
      </c>
      <c r="AD105" s="30" t="s">
        <v>344</v>
      </c>
      <c r="AE105" s="37">
        <v>43440</v>
      </c>
    </row>
    <row r="106" spans="1:31" ht="15.75" x14ac:dyDescent="0.25">
      <c r="A106" s="23" t="s">
        <v>579</v>
      </c>
      <c r="B106" s="24" t="s">
        <v>580</v>
      </c>
      <c r="C106" s="24" t="s">
        <v>581</v>
      </c>
      <c r="D106" s="24" t="s">
        <v>32</v>
      </c>
      <c r="E106" s="29">
        <v>1301</v>
      </c>
      <c r="F106" s="24" t="s">
        <v>370</v>
      </c>
      <c r="G106" s="24" t="s">
        <v>274</v>
      </c>
      <c r="H106" s="24" t="s">
        <v>5</v>
      </c>
      <c r="I106" s="25">
        <v>127.083333333333</v>
      </c>
      <c r="J106" s="26">
        <v>0</v>
      </c>
      <c r="K106" s="26">
        <v>0.55932203389830504</v>
      </c>
      <c r="L106" s="26">
        <v>5.3220338983050857</v>
      </c>
      <c r="M106" s="26">
        <v>15.305084745762711</v>
      </c>
      <c r="N106" s="26">
        <v>16.135593220338983</v>
      </c>
      <c r="O106" s="26">
        <v>5.0508474576271185</v>
      </c>
      <c r="P106" s="26">
        <v>0</v>
      </c>
      <c r="Q106" s="26">
        <v>0</v>
      </c>
      <c r="R106" s="26">
        <v>13.677966101694917</v>
      </c>
      <c r="S106" s="26">
        <v>1.1694915254237288</v>
      </c>
      <c r="T106" s="26">
        <v>1.2881355932203391</v>
      </c>
      <c r="U106" s="26">
        <v>5.0508474576271185</v>
      </c>
      <c r="V106" s="26">
        <v>16.288135593220343</v>
      </c>
      <c r="W106" s="27"/>
      <c r="X106" s="24" t="s">
        <v>193</v>
      </c>
      <c r="Y106" s="30" t="s">
        <v>323</v>
      </c>
      <c r="Z106" s="24" t="s">
        <v>344</v>
      </c>
      <c r="AA106" s="28" t="s">
        <v>387</v>
      </c>
      <c r="AB106" s="24" t="s">
        <v>193</v>
      </c>
      <c r="AC106" s="30" t="s">
        <v>323</v>
      </c>
      <c r="AD106" s="30" t="s">
        <v>344</v>
      </c>
      <c r="AE106" s="37">
        <v>43209</v>
      </c>
    </row>
    <row r="107" spans="1:31" ht="15.75" x14ac:dyDescent="0.25">
      <c r="A107" s="23" t="s">
        <v>633</v>
      </c>
      <c r="B107" s="24" t="s">
        <v>634</v>
      </c>
      <c r="C107" s="24" t="s">
        <v>635</v>
      </c>
      <c r="D107" s="24" t="s">
        <v>636</v>
      </c>
      <c r="E107" s="29">
        <v>96910</v>
      </c>
      <c r="F107" s="24" t="s">
        <v>362</v>
      </c>
      <c r="G107" s="24" t="s">
        <v>274</v>
      </c>
      <c r="H107" s="24" t="s">
        <v>192</v>
      </c>
      <c r="I107" s="25">
        <v>213.5</v>
      </c>
      <c r="J107" s="26">
        <v>0</v>
      </c>
      <c r="K107" s="26">
        <v>4.6440677966101696</v>
      </c>
      <c r="L107" s="26">
        <v>9.4067796610169498</v>
      </c>
      <c r="M107" s="26">
        <v>6.2372881355932197</v>
      </c>
      <c r="N107" s="26">
        <v>20.033898305084744</v>
      </c>
      <c r="O107" s="26">
        <v>0.25423728813559321</v>
      </c>
      <c r="P107" s="26">
        <v>0</v>
      </c>
      <c r="Q107" s="26">
        <v>0</v>
      </c>
      <c r="R107" s="26">
        <v>14.525423728813561</v>
      </c>
      <c r="S107" s="26">
        <v>2.5084745762711864</v>
      </c>
      <c r="T107" s="26">
        <v>3</v>
      </c>
      <c r="U107" s="26">
        <v>0.25423728813559321</v>
      </c>
      <c r="V107" s="26">
        <v>19.288135593220343</v>
      </c>
      <c r="W107" s="27"/>
      <c r="X107" s="24" t="s">
        <v>220</v>
      </c>
      <c r="Y107" s="30"/>
      <c r="Z107" s="24"/>
      <c r="AA107" s="28"/>
      <c r="AB107" s="24" t="s">
        <v>220</v>
      </c>
      <c r="AC107" s="30"/>
      <c r="AD107" s="30"/>
      <c r="AE107" s="37"/>
    </row>
    <row r="108" spans="1:31" ht="15.75" x14ac:dyDescent="0.25">
      <c r="A108" s="23" t="s">
        <v>471</v>
      </c>
      <c r="B108" s="24" t="s">
        <v>472</v>
      </c>
      <c r="C108" s="24" t="s">
        <v>473</v>
      </c>
      <c r="D108" s="24" t="s">
        <v>474</v>
      </c>
      <c r="E108" s="29">
        <v>2863</v>
      </c>
      <c r="F108" s="24" t="s">
        <v>370</v>
      </c>
      <c r="G108" s="24" t="s">
        <v>274</v>
      </c>
      <c r="H108" s="24" t="s">
        <v>5</v>
      </c>
      <c r="I108" s="25">
        <v>97.529411764705898</v>
      </c>
      <c r="J108" s="26">
        <v>0</v>
      </c>
      <c r="K108" s="26">
        <v>0</v>
      </c>
      <c r="L108" s="26">
        <v>2.4745762711864407</v>
      </c>
      <c r="M108" s="26">
        <v>16.898305084745761</v>
      </c>
      <c r="N108" s="26">
        <v>18.169491525423727</v>
      </c>
      <c r="O108" s="26">
        <v>1.2033898305084745</v>
      </c>
      <c r="P108" s="26">
        <v>0</v>
      </c>
      <c r="Q108" s="26">
        <v>0</v>
      </c>
      <c r="R108" s="26">
        <v>15.711864406779659</v>
      </c>
      <c r="S108" s="26">
        <v>1.4576271186440679</v>
      </c>
      <c r="T108" s="26">
        <v>1</v>
      </c>
      <c r="U108" s="26">
        <v>1.2033898305084745</v>
      </c>
      <c r="V108" s="26">
        <v>16.915254237288135</v>
      </c>
      <c r="W108" s="27"/>
      <c r="X108" s="24" t="s">
        <v>193</v>
      </c>
      <c r="Y108" s="30" t="s">
        <v>323</v>
      </c>
      <c r="Z108" s="24" t="s">
        <v>344</v>
      </c>
      <c r="AA108" s="28" t="s">
        <v>359</v>
      </c>
      <c r="AB108" s="24" t="s">
        <v>193</v>
      </c>
      <c r="AC108" s="30" t="s">
        <v>323</v>
      </c>
      <c r="AD108" s="30" t="s">
        <v>366</v>
      </c>
      <c r="AE108" s="37">
        <v>42670</v>
      </c>
    </row>
    <row r="109" spans="1:31" ht="15.75" x14ac:dyDescent="0.25">
      <c r="A109" s="23" t="s">
        <v>602</v>
      </c>
      <c r="B109" s="24" t="s">
        <v>603</v>
      </c>
      <c r="C109" s="24" t="s">
        <v>604</v>
      </c>
      <c r="D109" s="24" t="s">
        <v>495</v>
      </c>
      <c r="E109" s="29">
        <v>68102</v>
      </c>
      <c r="F109" s="24" t="s">
        <v>374</v>
      </c>
      <c r="G109" s="24" t="s">
        <v>218</v>
      </c>
      <c r="H109" s="24" t="s">
        <v>192</v>
      </c>
      <c r="I109" s="25">
        <v>11.7777777777778</v>
      </c>
      <c r="J109" s="26">
        <v>1.5593220338983051</v>
      </c>
      <c r="K109" s="26">
        <v>3.0338983050847457</v>
      </c>
      <c r="L109" s="26">
        <v>8.0508474576271176</v>
      </c>
      <c r="M109" s="26">
        <v>6.1864406779661021</v>
      </c>
      <c r="N109" s="26">
        <v>12.203389830508472</v>
      </c>
      <c r="O109" s="26">
        <v>1.7966101694915253</v>
      </c>
      <c r="P109" s="26">
        <v>4.6779661016949152</v>
      </c>
      <c r="Q109" s="26">
        <v>0.15254237288135594</v>
      </c>
      <c r="R109" s="26">
        <v>10.1864406779661</v>
      </c>
      <c r="S109" s="26">
        <v>3.5423728813559325</v>
      </c>
      <c r="T109" s="26">
        <v>3.1864406779661012</v>
      </c>
      <c r="U109" s="26">
        <v>1.9152542372881356</v>
      </c>
      <c r="V109" s="26">
        <v>16.542372881355931</v>
      </c>
      <c r="W109" s="27"/>
      <c r="X109" s="24" t="s">
        <v>193</v>
      </c>
      <c r="Y109" s="30" t="s">
        <v>275</v>
      </c>
      <c r="Z109" s="24" t="s">
        <v>195</v>
      </c>
      <c r="AA109" s="28" t="s">
        <v>271</v>
      </c>
      <c r="AB109" s="24" t="s">
        <v>193</v>
      </c>
      <c r="AC109" s="30" t="s">
        <v>275</v>
      </c>
      <c r="AD109" s="30" t="s">
        <v>195</v>
      </c>
      <c r="AE109" s="37">
        <v>43398</v>
      </c>
    </row>
    <row r="110" spans="1:31" ht="15.75" x14ac:dyDescent="0.25">
      <c r="A110" s="23" t="s">
        <v>552</v>
      </c>
      <c r="B110" s="24" t="s">
        <v>553</v>
      </c>
      <c r="C110" s="24" t="s">
        <v>554</v>
      </c>
      <c r="D110" s="24" t="s">
        <v>555</v>
      </c>
      <c r="E110" s="29">
        <v>96819</v>
      </c>
      <c r="F110" s="24" t="s">
        <v>362</v>
      </c>
      <c r="G110" s="24" t="s">
        <v>556</v>
      </c>
      <c r="H110" s="24" t="s">
        <v>192</v>
      </c>
      <c r="I110" s="25">
        <v>176.555555555556</v>
      </c>
      <c r="J110" s="26">
        <v>0.69491525423728817</v>
      </c>
      <c r="K110" s="26">
        <v>7.2372881355932197</v>
      </c>
      <c r="L110" s="26">
        <v>7.9152542372881349</v>
      </c>
      <c r="M110" s="26">
        <v>2</v>
      </c>
      <c r="N110" s="26">
        <v>14.440677966101694</v>
      </c>
      <c r="O110" s="26">
        <v>1.4745762711864407</v>
      </c>
      <c r="P110" s="26">
        <v>1.7118644067796609</v>
      </c>
      <c r="Q110" s="26">
        <v>0.22033898305084745</v>
      </c>
      <c r="R110" s="26">
        <v>6.9661016949152543</v>
      </c>
      <c r="S110" s="26">
        <v>6.9152542372881349</v>
      </c>
      <c r="T110" s="26">
        <v>2.2711864406779663</v>
      </c>
      <c r="U110" s="26">
        <v>1.6949152542372881</v>
      </c>
      <c r="V110" s="26">
        <v>14.491525423728813</v>
      </c>
      <c r="W110" s="27"/>
      <c r="X110" s="24" t="s">
        <v>220</v>
      </c>
      <c r="Y110" s="30"/>
      <c r="Z110" s="24"/>
      <c r="AA110" s="28"/>
      <c r="AB110" s="24" t="s">
        <v>220</v>
      </c>
      <c r="AC110" s="30"/>
      <c r="AD110" s="30"/>
      <c r="AE110" s="37"/>
    </row>
    <row r="111" spans="1:31" ht="15.75" x14ac:dyDescent="0.25">
      <c r="A111" s="23" t="s">
        <v>573</v>
      </c>
      <c r="B111" s="24" t="s">
        <v>574</v>
      </c>
      <c r="C111" s="24" t="s">
        <v>575</v>
      </c>
      <c r="D111" s="24" t="s">
        <v>201</v>
      </c>
      <c r="E111" s="29">
        <v>30250</v>
      </c>
      <c r="F111" s="24" t="s">
        <v>202</v>
      </c>
      <c r="G111" s="24" t="s">
        <v>239</v>
      </c>
      <c r="H111" s="24" t="s">
        <v>192</v>
      </c>
      <c r="I111" s="25">
        <v>6.1951219512195097</v>
      </c>
      <c r="J111" s="26">
        <v>3.8135593220338975</v>
      </c>
      <c r="K111" s="26">
        <v>4.4576271186440666</v>
      </c>
      <c r="L111" s="26">
        <v>6.4576271186440666</v>
      </c>
      <c r="M111" s="26">
        <v>2.6101694915254239</v>
      </c>
      <c r="N111" s="26">
        <v>11.000000000000002</v>
      </c>
      <c r="O111" s="26">
        <v>6.3389830508474523</v>
      </c>
      <c r="P111" s="26">
        <v>0</v>
      </c>
      <c r="Q111" s="26">
        <v>0</v>
      </c>
      <c r="R111" s="26">
        <v>4.3559322033898296</v>
      </c>
      <c r="S111" s="26">
        <v>3.3728813559322028</v>
      </c>
      <c r="T111" s="26">
        <v>3.2372881355932202</v>
      </c>
      <c r="U111" s="26">
        <v>6.372881355932198</v>
      </c>
      <c r="V111" s="26">
        <v>15.254237288135611</v>
      </c>
      <c r="W111" s="27"/>
      <c r="X111" s="24" t="s">
        <v>193</v>
      </c>
      <c r="Y111" s="30" t="s">
        <v>323</v>
      </c>
      <c r="Z111" s="24" t="s">
        <v>344</v>
      </c>
      <c r="AA111" s="28" t="s">
        <v>470</v>
      </c>
      <c r="AB111" s="24" t="s">
        <v>220</v>
      </c>
      <c r="AC111" s="30"/>
      <c r="AD111" s="30"/>
      <c r="AE111" s="37"/>
    </row>
    <row r="112" spans="1:31" ht="15.75" x14ac:dyDescent="0.25">
      <c r="A112" s="23" t="s">
        <v>38</v>
      </c>
      <c r="B112" s="24" t="s">
        <v>521</v>
      </c>
      <c r="C112" s="24" t="s">
        <v>522</v>
      </c>
      <c r="D112" s="24" t="s">
        <v>328</v>
      </c>
      <c r="E112" s="29">
        <v>19533</v>
      </c>
      <c r="F112" s="24" t="s">
        <v>329</v>
      </c>
      <c r="G112" s="24" t="s">
        <v>210</v>
      </c>
      <c r="H112" s="24" t="s">
        <v>192</v>
      </c>
      <c r="I112" s="25">
        <v>25.535714285714299</v>
      </c>
      <c r="J112" s="26">
        <v>14.254237288135602</v>
      </c>
      <c r="K112" s="26">
        <v>2.7288135593220342</v>
      </c>
      <c r="L112" s="26">
        <v>0</v>
      </c>
      <c r="M112" s="26">
        <v>0</v>
      </c>
      <c r="N112" s="26">
        <v>0</v>
      </c>
      <c r="O112" s="26">
        <v>7.3220338983050812</v>
      </c>
      <c r="P112" s="26">
        <v>0</v>
      </c>
      <c r="Q112" s="26">
        <v>9.6610169491525415</v>
      </c>
      <c r="R112" s="26">
        <v>0</v>
      </c>
      <c r="S112" s="26">
        <v>0</v>
      </c>
      <c r="T112" s="26">
        <v>0</v>
      </c>
      <c r="U112" s="26">
        <v>16.983050847457626</v>
      </c>
      <c r="V112" s="26">
        <v>16.983050847457626</v>
      </c>
      <c r="W112" s="27">
        <v>84</v>
      </c>
      <c r="X112" s="24" t="s">
        <v>193</v>
      </c>
      <c r="Y112" s="30" t="s">
        <v>211</v>
      </c>
      <c r="Z112" s="24" t="s">
        <v>197</v>
      </c>
      <c r="AA112" s="28" t="s">
        <v>261</v>
      </c>
      <c r="AB112" s="24" t="s">
        <v>193</v>
      </c>
      <c r="AC112" s="30" t="s">
        <v>211</v>
      </c>
      <c r="AD112" s="30" t="s">
        <v>197</v>
      </c>
      <c r="AE112" s="37">
        <v>43783</v>
      </c>
    </row>
    <row r="113" spans="1:31" ht="15.75" x14ac:dyDescent="0.25">
      <c r="A113" s="23" t="s">
        <v>509</v>
      </c>
      <c r="B113" s="24" t="s">
        <v>510</v>
      </c>
      <c r="C113" s="24" t="s">
        <v>511</v>
      </c>
      <c r="D113" s="24" t="s">
        <v>42</v>
      </c>
      <c r="E113" s="29">
        <v>20794</v>
      </c>
      <c r="F113" s="24" t="s">
        <v>448</v>
      </c>
      <c r="G113" s="24" t="s">
        <v>218</v>
      </c>
      <c r="H113" s="24" t="s">
        <v>5</v>
      </c>
      <c r="I113" s="25">
        <v>96.5</v>
      </c>
      <c r="J113" s="26">
        <v>0</v>
      </c>
      <c r="K113" s="26">
        <v>0</v>
      </c>
      <c r="L113" s="26">
        <v>5.5084745762711869</v>
      </c>
      <c r="M113" s="26">
        <v>10.898305084745765</v>
      </c>
      <c r="N113" s="26">
        <v>14.593220338983052</v>
      </c>
      <c r="O113" s="26">
        <v>1.8135593220338984</v>
      </c>
      <c r="P113" s="26">
        <v>0</v>
      </c>
      <c r="Q113" s="26">
        <v>0</v>
      </c>
      <c r="R113" s="26">
        <v>10.8135593220339</v>
      </c>
      <c r="S113" s="26">
        <v>2.7796610169491527</v>
      </c>
      <c r="T113" s="26">
        <v>0</v>
      </c>
      <c r="U113" s="26">
        <v>2.8135593220338984</v>
      </c>
      <c r="V113" s="26">
        <v>13.271186440677967</v>
      </c>
      <c r="W113" s="27"/>
      <c r="X113" s="24" t="s">
        <v>193</v>
      </c>
      <c r="Y113" s="30" t="s">
        <v>194</v>
      </c>
      <c r="Z113" s="24" t="s">
        <v>195</v>
      </c>
      <c r="AA113" s="28" t="s">
        <v>332</v>
      </c>
      <c r="AB113" s="24" t="s">
        <v>193</v>
      </c>
      <c r="AC113" s="30" t="s">
        <v>194</v>
      </c>
      <c r="AD113" s="30" t="s">
        <v>512</v>
      </c>
      <c r="AE113" s="37">
        <v>43433</v>
      </c>
    </row>
    <row r="114" spans="1:31" ht="15.75" x14ac:dyDescent="0.25">
      <c r="A114" s="23" t="s">
        <v>429</v>
      </c>
      <c r="B114" s="24" t="s">
        <v>430</v>
      </c>
      <c r="C114" s="24" t="s">
        <v>431</v>
      </c>
      <c r="D114" s="24" t="s">
        <v>205</v>
      </c>
      <c r="E114" s="29">
        <v>76031</v>
      </c>
      <c r="F114" s="24" t="s">
        <v>296</v>
      </c>
      <c r="G114" s="24" t="s">
        <v>218</v>
      </c>
      <c r="H114" s="24" t="s">
        <v>5</v>
      </c>
      <c r="I114" s="25">
        <v>253.75</v>
      </c>
      <c r="J114" s="26">
        <v>6</v>
      </c>
      <c r="K114" s="26">
        <v>4</v>
      </c>
      <c r="L114" s="26">
        <v>2.0847457627118642</v>
      </c>
      <c r="M114" s="26">
        <v>2.6440677966101691</v>
      </c>
      <c r="N114" s="26">
        <v>11.728813559322035</v>
      </c>
      <c r="O114" s="26">
        <v>3</v>
      </c>
      <c r="P114" s="26">
        <v>0</v>
      </c>
      <c r="Q114" s="26">
        <v>0</v>
      </c>
      <c r="R114" s="26">
        <v>7.0847457627118642</v>
      </c>
      <c r="S114" s="26">
        <v>2</v>
      </c>
      <c r="T114" s="26">
        <v>2.6440677966101691</v>
      </c>
      <c r="U114" s="26">
        <v>3</v>
      </c>
      <c r="V114" s="26">
        <v>11.508474576271187</v>
      </c>
      <c r="W114" s="27"/>
      <c r="X114" s="24" t="s">
        <v>193</v>
      </c>
      <c r="Y114" s="30" t="s">
        <v>194</v>
      </c>
      <c r="Z114" s="24" t="s">
        <v>195</v>
      </c>
      <c r="AA114" s="28" t="s">
        <v>845</v>
      </c>
      <c r="AB114" s="24" t="s">
        <v>193</v>
      </c>
      <c r="AC114" s="30" t="s">
        <v>194</v>
      </c>
      <c r="AD114" s="30" t="s">
        <v>195</v>
      </c>
      <c r="AE114" s="37">
        <v>43699</v>
      </c>
    </row>
    <row r="115" spans="1:31" ht="15.75" x14ac:dyDescent="0.25">
      <c r="A115" s="23" t="s">
        <v>564</v>
      </c>
      <c r="B115" s="24" t="s">
        <v>565</v>
      </c>
      <c r="C115" s="24" t="s">
        <v>566</v>
      </c>
      <c r="D115" s="24" t="s">
        <v>444</v>
      </c>
      <c r="E115" s="29">
        <v>49783</v>
      </c>
      <c r="F115" s="24" t="s">
        <v>436</v>
      </c>
      <c r="G115" s="24" t="s">
        <v>218</v>
      </c>
      <c r="H115" s="24" t="s">
        <v>192</v>
      </c>
      <c r="I115" s="25">
        <v>108.8</v>
      </c>
      <c r="J115" s="26">
        <v>2.3559322033898304</v>
      </c>
      <c r="K115" s="26">
        <v>1.8644067796610169</v>
      </c>
      <c r="L115" s="26">
        <v>7.4745762711864403</v>
      </c>
      <c r="M115" s="26">
        <v>2.949152542372881</v>
      </c>
      <c r="N115" s="26">
        <v>11.423728813559322</v>
      </c>
      <c r="O115" s="26">
        <v>2.2203389830508478</v>
      </c>
      <c r="P115" s="26">
        <v>1</v>
      </c>
      <c r="Q115" s="26">
        <v>0</v>
      </c>
      <c r="R115" s="26">
        <v>8.9491525423728824</v>
      </c>
      <c r="S115" s="26">
        <v>2.406779661016949</v>
      </c>
      <c r="T115" s="26">
        <v>1.0677966101694913</v>
      </c>
      <c r="U115" s="26">
        <v>2.2203389830508478</v>
      </c>
      <c r="V115" s="26">
        <v>14.067796610169491</v>
      </c>
      <c r="W115" s="27"/>
      <c r="X115" s="24" t="s">
        <v>193</v>
      </c>
      <c r="Y115" s="30" t="s">
        <v>323</v>
      </c>
      <c r="Z115" s="24" t="s">
        <v>344</v>
      </c>
      <c r="AA115" s="28" t="s">
        <v>567</v>
      </c>
      <c r="AB115" s="24" t="s">
        <v>193</v>
      </c>
      <c r="AC115" s="30" t="s">
        <v>323</v>
      </c>
      <c r="AD115" s="30" t="s">
        <v>344</v>
      </c>
      <c r="AE115" s="37">
        <v>42803</v>
      </c>
    </row>
    <row r="116" spans="1:31" ht="15.75" x14ac:dyDescent="0.25">
      <c r="A116" s="23" t="s">
        <v>24</v>
      </c>
      <c r="B116" s="24" t="s">
        <v>497</v>
      </c>
      <c r="C116" s="24" t="s">
        <v>498</v>
      </c>
      <c r="D116" s="24" t="s">
        <v>444</v>
      </c>
      <c r="E116" s="29">
        <v>48161</v>
      </c>
      <c r="F116" s="24" t="s">
        <v>436</v>
      </c>
      <c r="G116" s="24" t="s">
        <v>218</v>
      </c>
      <c r="H116" s="24" t="s">
        <v>5</v>
      </c>
      <c r="I116" s="25">
        <v>24.375</v>
      </c>
      <c r="J116" s="26">
        <v>2.2881355932203382</v>
      </c>
      <c r="K116" s="26">
        <v>9.4915254237288131</v>
      </c>
      <c r="L116" s="26">
        <v>2.0338983050847457</v>
      </c>
      <c r="M116" s="26">
        <v>0.23728813559322032</v>
      </c>
      <c r="N116" s="26">
        <v>9.5593220338983045</v>
      </c>
      <c r="O116" s="26">
        <v>4.4915254237288131</v>
      </c>
      <c r="P116" s="26">
        <v>0</v>
      </c>
      <c r="Q116" s="26">
        <v>0</v>
      </c>
      <c r="R116" s="26">
        <v>2.3898305084745752</v>
      </c>
      <c r="S116" s="26">
        <v>4.7457627118644075</v>
      </c>
      <c r="T116" s="26">
        <v>2.4237288135593222</v>
      </c>
      <c r="U116" s="26">
        <v>4.4915254237288131</v>
      </c>
      <c r="V116" s="26">
        <v>12.627118644067794</v>
      </c>
      <c r="W116" s="27"/>
      <c r="X116" s="24" t="s">
        <v>193</v>
      </c>
      <c r="Y116" s="30" t="s">
        <v>323</v>
      </c>
      <c r="Z116" s="24" t="s">
        <v>344</v>
      </c>
      <c r="AA116" s="28" t="s">
        <v>449</v>
      </c>
      <c r="AB116" s="24" t="s">
        <v>193</v>
      </c>
      <c r="AC116" s="30" t="s">
        <v>323</v>
      </c>
      <c r="AD116" s="30" t="s">
        <v>344</v>
      </c>
      <c r="AE116" s="37">
        <v>43328</v>
      </c>
    </row>
    <row r="117" spans="1:31" ht="15.75" x14ac:dyDescent="0.25">
      <c r="A117" s="23" t="s">
        <v>637</v>
      </c>
      <c r="B117" s="24" t="s">
        <v>638</v>
      </c>
      <c r="C117" s="24" t="s">
        <v>639</v>
      </c>
      <c r="D117" s="24" t="s">
        <v>495</v>
      </c>
      <c r="E117" s="29">
        <v>68949</v>
      </c>
      <c r="F117" s="24" t="s">
        <v>374</v>
      </c>
      <c r="G117" s="24" t="s">
        <v>274</v>
      </c>
      <c r="H117" s="24" t="s">
        <v>192</v>
      </c>
      <c r="I117" s="25">
        <v>55.8</v>
      </c>
      <c r="J117" s="26">
        <v>2.0508474576271185</v>
      </c>
      <c r="K117" s="26">
        <v>2.1186440677966103</v>
      </c>
      <c r="L117" s="26">
        <v>4.7627118644067803</v>
      </c>
      <c r="M117" s="26">
        <v>4.4576271186440675</v>
      </c>
      <c r="N117" s="26">
        <v>12.033898305084747</v>
      </c>
      <c r="O117" s="26">
        <v>1.3559322033898307</v>
      </c>
      <c r="P117" s="26">
        <v>0</v>
      </c>
      <c r="Q117" s="26">
        <v>0</v>
      </c>
      <c r="R117" s="26">
        <v>3.4237288135593218</v>
      </c>
      <c r="S117" s="26">
        <v>6.1864406779661021</v>
      </c>
      <c r="T117" s="26">
        <v>2.4237288135593218</v>
      </c>
      <c r="U117" s="26">
        <v>1.3559322033898307</v>
      </c>
      <c r="V117" s="26">
        <v>6.1864406779661012</v>
      </c>
      <c r="W117" s="27"/>
      <c r="X117" s="24" t="s">
        <v>193</v>
      </c>
      <c r="Y117" s="30" t="s">
        <v>323</v>
      </c>
      <c r="Z117" s="24" t="s">
        <v>344</v>
      </c>
      <c r="AA117" s="28" t="s">
        <v>403</v>
      </c>
      <c r="AB117" s="24" t="s">
        <v>585</v>
      </c>
      <c r="AC117" s="30" t="s">
        <v>323</v>
      </c>
      <c r="AD117" s="30" t="s">
        <v>344</v>
      </c>
      <c r="AE117" s="37">
        <v>43371</v>
      </c>
    </row>
    <row r="118" spans="1:31" ht="15.75" x14ac:dyDescent="0.25">
      <c r="A118" s="23" t="s">
        <v>594</v>
      </c>
      <c r="B118" s="24" t="s">
        <v>595</v>
      </c>
      <c r="C118" s="24" t="s">
        <v>596</v>
      </c>
      <c r="D118" s="24" t="s">
        <v>415</v>
      </c>
      <c r="E118" s="29">
        <v>89512</v>
      </c>
      <c r="F118" s="24" t="s">
        <v>416</v>
      </c>
      <c r="G118" s="24" t="s">
        <v>274</v>
      </c>
      <c r="H118" s="24" t="s">
        <v>192</v>
      </c>
      <c r="I118" s="25">
        <v>18.0208333333333</v>
      </c>
      <c r="J118" s="26">
        <v>0.10169491525423729</v>
      </c>
      <c r="K118" s="26">
        <v>1.9152542372881356</v>
      </c>
      <c r="L118" s="26">
        <v>5.0508474576271185</v>
      </c>
      <c r="M118" s="26">
        <v>5.7627118644067794</v>
      </c>
      <c r="N118" s="26">
        <v>10.169491525423727</v>
      </c>
      <c r="O118" s="26">
        <v>2.3220338983050848</v>
      </c>
      <c r="P118" s="26">
        <v>0</v>
      </c>
      <c r="Q118" s="26">
        <v>0.33898305084745761</v>
      </c>
      <c r="R118" s="26">
        <v>7.7796610169491514</v>
      </c>
      <c r="S118" s="26">
        <v>1.1186440677966101</v>
      </c>
      <c r="T118" s="26">
        <v>1.271186440677966</v>
      </c>
      <c r="U118" s="26">
        <v>2.6610169491525424</v>
      </c>
      <c r="V118" s="26">
        <v>9.8305084745762699</v>
      </c>
      <c r="W118" s="27"/>
      <c r="X118" s="24" t="s">
        <v>193</v>
      </c>
      <c r="Y118" s="30" t="s">
        <v>323</v>
      </c>
      <c r="Z118" s="24" t="s">
        <v>344</v>
      </c>
      <c r="AA118" s="28" t="s">
        <v>902</v>
      </c>
      <c r="AB118" s="24" t="s">
        <v>193</v>
      </c>
      <c r="AC118" s="30" t="s">
        <v>323</v>
      </c>
      <c r="AD118" s="30" t="s">
        <v>344</v>
      </c>
      <c r="AE118" s="37">
        <v>43342</v>
      </c>
    </row>
    <row r="119" spans="1:31" ht="15.75" x14ac:dyDescent="0.25">
      <c r="A119" s="23" t="s">
        <v>549</v>
      </c>
      <c r="B119" s="24" t="s">
        <v>550</v>
      </c>
      <c r="C119" s="24" t="s">
        <v>551</v>
      </c>
      <c r="D119" s="24" t="s">
        <v>328</v>
      </c>
      <c r="E119" s="29">
        <v>15931</v>
      </c>
      <c r="F119" s="24" t="s">
        <v>329</v>
      </c>
      <c r="G119" s="24" t="s">
        <v>274</v>
      </c>
      <c r="H119" s="24" t="s">
        <v>5</v>
      </c>
      <c r="I119" s="25">
        <v>112.208333333333</v>
      </c>
      <c r="J119" s="26">
        <v>0.49152542372881353</v>
      </c>
      <c r="K119" s="26">
        <v>2.8983050847457625</v>
      </c>
      <c r="L119" s="26">
        <v>8.2711864406779672</v>
      </c>
      <c r="M119" s="26">
        <v>0.83050847457627119</v>
      </c>
      <c r="N119" s="26">
        <v>8.2372881355932215</v>
      </c>
      <c r="O119" s="26">
        <v>4.2542372881355934</v>
      </c>
      <c r="P119" s="26">
        <v>0</v>
      </c>
      <c r="Q119" s="26">
        <v>0</v>
      </c>
      <c r="R119" s="26">
        <v>4.2203389830508478</v>
      </c>
      <c r="S119" s="26">
        <v>3.745762711864407</v>
      </c>
      <c r="T119" s="26">
        <v>0.2711864406779661</v>
      </c>
      <c r="U119" s="26">
        <v>4.2542372881355934</v>
      </c>
      <c r="V119" s="26">
        <v>7.7288135593220337</v>
      </c>
      <c r="W119" s="27"/>
      <c r="X119" s="24" t="s">
        <v>193</v>
      </c>
      <c r="Y119" s="30" t="s">
        <v>323</v>
      </c>
      <c r="Z119" s="24" t="s">
        <v>344</v>
      </c>
      <c r="AA119" s="28" t="s">
        <v>268</v>
      </c>
      <c r="AB119" s="24" t="s">
        <v>193</v>
      </c>
      <c r="AC119" s="30" t="s">
        <v>323</v>
      </c>
      <c r="AD119" s="30" t="s">
        <v>344</v>
      </c>
      <c r="AE119" s="37">
        <v>43412</v>
      </c>
    </row>
    <row r="120" spans="1:31" ht="15.75" x14ac:dyDescent="0.25">
      <c r="A120" s="23" t="s">
        <v>901</v>
      </c>
      <c r="B120" s="24" t="s">
        <v>900</v>
      </c>
      <c r="C120" s="24" t="s">
        <v>899</v>
      </c>
      <c r="D120" s="24" t="s">
        <v>205</v>
      </c>
      <c r="E120" s="29">
        <v>76040</v>
      </c>
      <c r="F120" s="24" t="s">
        <v>296</v>
      </c>
      <c r="G120" s="24" t="s">
        <v>218</v>
      </c>
      <c r="H120" s="24" t="s">
        <v>192</v>
      </c>
      <c r="I120" s="25">
        <v>1.18766066838046</v>
      </c>
      <c r="J120" s="26">
        <v>7.389830508474561</v>
      </c>
      <c r="K120" s="26">
        <v>1.1525423728813553</v>
      </c>
      <c r="L120" s="26">
        <v>0.27118644067796616</v>
      </c>
      <c r="M120" s="26">
        <v>0.40677966101694929</v>
      </c>
      <c r="N120" s="26">
        <v>3.8135593220338908</v>
      </c>
      <c r="O120" s="26">
        <v>4.6271186440677887</v>
      </c>
      <c r="P120" s="26">
        <v>0.15254237288135594</v>
      </c>
      <c r="Q120" s="26">
        <v>0.62711864406779638</v>
      </c>
      <c r="R120" s="26">
        <v>1.6440677966101673</v>
      </c>
      <c r="S120" s="26">
        <v>0.96610169491525388</v>
      </c>
      <c r="T120" s="26">
        <v>1.2881355932203378</v>
      </c>
      <c r="U120" s="26">
        <v>5.322033898305075</v>
      </c>
      <c r="V120" s="26">
        <v>3.728813559322028</v>
      </c>
      <c r="W120" s="27"/>
      <c r="X120" s="24" t="s">
        <v>585</v>
      </c>
      <c r="Y120" s="30" t="s">
        <v>323</v>
      </c>
      <c r="Z120" s="24" t="s">
        <v>344</v>
      </c>
      <c r="AA120" s="28" t="s">
        <v>895</v>
      </c>
      <c r="AB120" s="24" t="s">
        <v>585</v>
      </c>
      <c r="AC120" s="30" t="s">
        <v>323</v>
      </c>
      <c r="AD120" s="30" t="s">
        <v>344</v>
      </c>
      <c r="AE120" s="37">
        <v>42613</v>
      </c>
    </row>
    <row r="121" spans="1:31" ht="15.75" x14ac:dyDescent="0.25">
      <c r="A121" s="23" t="s">
        <v>560</v>
      </c>
      <c r="B121" s="24" t="s">
        <v>561</v>
      </c>
      <c r="C121" s="24" t="s">
        <v>562</v>
      </c>
      <c r="D121" s="24" t="s">
        <v>435</v>
      </c>
      <c r="E121" s="29">
        <v>43338</v>
      </c>
      <c r="F121" s="24" t="s">
        <v>436</v>
      </c>
      <c r="G121" s="24" t="s">
        <v>218</v>
      </c>
      <c r="H121" s="24" t="s">
        <v>192</v>
      </c>
      <c r="I121" s="25">
        <v>48.0833333333333</v>
      </c>
      <c r="J121" s="26">
        <v>1.8813559322033899</v>
      </c>
      <c r="K121" s="26">
        <v>2.5084745762711864</v>
      </c>
      <c r="L121" s="26">
        <v>2.4237288135593222</v>
      </c>
      <c r="M121" s="26">
        <v>2.3050847457627119</v>
      </c>
      <c r="N121" s="26">
        <v>7</v>
      </c>
      <c r="O121" s="26">
        <v>2.1186440677966103</v>
      </c>
      <c r="P121" s="26">
        <v>0</v>
      </c>
      <c r="Q121" s="26">
        <v>0</v>
      </c>
      <c r="R121" s="26">
        <v>3.4237288135593218</v>
      </c>
      <c r="S121" s="26">
        <v>1.3050847457627119</v>
      </c>
      <c r="T121" s="26">
        <v>2.2711864406779658</v>
      </c>
      <c r="U121" s="26">
        <v>2.1186440677966103</v>
      </c>
      <c r="V121" s="26">
        <v>8.7627118644067785</v>
      </c>
      <c r="W121" s="27"/>
      <c r="X121" s="24" t="s">
        <v>193</v>
      </c>
      <c r="Y121" s="30" t="s">
        <v>323</v>
      </c>
      <c r="Z121" s="24" t="s">
        <v>344</v>
      </c>
      <c r="AA121" s="28" t="s">
        <v>563</v>
      </c>
      <c r="AB121" s="24" t="s">
        <v>193</v>
      </c>
      <c r="AC121" s="30" t="s">
        <v>323</v>
      </c>
      <c r="AD121" s="30" t="s">
        <v>344</v>
      </c>
      <c r="AE121" s="37">
        <v>42411</v>
      </c>
    </row>
    <row r="122" spans="1:31" ht="15.75" x14ac:dyDescent="0.25">
      <c r="A122" s="23" t="s">
        <v>582</v>
      </c>
      <c r="B122" s="24" t="s">
        <v>583</v>
      </c>
      <c r="C122" s="24" t="s">
        <v>584</v>
      </c>
      <c r="D122" s="24" t="s">
        <v>314</v>
      </c>
      <c r="E122" s="29">
        <v>80814</v>
      </c>
      <c r="F122" s="24" t="s">
        <v>315</v>
      </c>
      <c r="G122" s="24" t="s">
        <v>218</v>
      </c>
      <c r="H122" s="24" t="s">
        <v>192</v>
      </c>
      <c r="I122" s="25">
        <v>26.071428571428601</v>
      </c>
      <c r="J122" s="26">
        <v>1.3050847457627119</v>
      </c>
      <c r="K122" s="26">
        <v>1.728813559322034</v>
      </c>
      <c r="L122" s="26">
        <v>2.7457627118644057</v>
      </c>
      <c r="M122" s="26">
        <v>2.3728813559322033</v>
      </c>
      <c r="N122" s="26">
        <v>5.4745762711864385</v>
      </c>
      <c r="O122" s="26">
        <v>2.5423728813559325</v>
      </c>
      <c r="P122" s="26">
        <v>0.13559322033898305</v>
      </c>
      <c r="Q122" s="26">
        <v>0</v>
      </c>
      <c r="R122" s="26">
        <v>1.728813559322034</v>
      </c>
      <c r="S122" s="26">
        <v>2.8305084745762707</v>
      </c>
      <c r="T122" s="26">
        <v>1.0508474576271187</v>
      </c>
      <c r="U122" s="26">
        <v>2.5423728813559325</v>
      </c>
      <c r="V122" s="26">
        <v>4.7627118644067785</v>
      </c>
      <c r="W122" s="27"/>
      <c r="X122" s="24" t="s">
        <v>193</v>
      </c>
      <c r="Y122" s="30" t="s">
        <v>323</v>
      </c>
      <c r="Z122" s="24" t="s">
        <v>525</v>
      </c>
      <c r="AA122" s="28" t="s">
        <v>322</v>
      </c>
      <c r="AB122" s="24" t="s">
        <v>585</v>
      </c>
      <c r="AC122" s="30" t="s">
        <v>323</v>
      </c>
      <c r="AD122" s="30" t="s">
        <v>344</v>
      </c>
      <c r="AE122" s="37">
        <v>43371</v>
      </c>
    </row>
    <row r="123" spans="1:31" ht="15.75" x14ac:dyDescent="0.25">
      <c r="A123" s="23" t="s">
        <v>545</v>
      </c>
      <c r="B123" s="24" t="s">
        <v>546</v>
      </c>
      <c r="C123" s="24" t="s">
        <v>547</v>
      </c>
      <c r="D123" s="24" t="s">
        <v>548</v>
      </c>
      <c r="E123" s="29">
        <v>27253</v>
      </c>
      <c r="F123" s="24" t="s">
        <v>202</v>
      </c>
      <c r="G123" s="24" t="s">
        <v>218</v>
      </c>
      <c r="H123" s="24" t="s">
        <v>192</v>
      </c>
      <c r="I123" s="25">
        <v>2.2785388127853898</v>
      </c>
      <c r="J123" s="26">
        <v>1.6779661016949154</v>
      </c>
      <c r="K123" s="26">
        <v>1.8644067796610166</v>
      </c>
      <c r="L123" s="26">
        <v>1.9491525423728802</v>
      </c>
      <c r="M123" s="26">
        <v>2.3559322033898296</v>
      </c>
      <c r="N123" s="26">
        <v>6.4067796610169365</v>
      </c>
      <c r="O123" s="26">
        <v>1.254237288135593</v>
      </c>
      <c r="P123" s="26">
        <v>0.1864406779661017</v>
      </c>
      <c r="Q123" s="26">
        <v>0</v>
      </c>
      <c r="R123" s="26">
        <v>3.355932203389826</v>
      </c>
      <c r="S123" s="26">
        <v>1.8983050847457623</v>
      </c>
      <c r="T123" s="26">
        <v>1.3728813559322031</v>
      </c>
      <c r="U123" s="26">
        <v>1.2203389830508471</v>
      </c>
      <c r="V123" s="26">
        <v>4.5593220338982983</v>
      </c>
      <c r="W123" s="27">
        <v>50</v>
      </c>
      <c r="X123" s="24" t="s">
        <v>193</v>
      </c>
      <c r="Y123" s="30" t="s">
        <v>323</v>
      </c>
      <c r="Z123" s="24" t="s">
        <v>344</v>
      </c>
      <c r="AA123" s="28" t="s">
        <v>268</v>
      </c>
      <c r="AB123" s="24" t="s">
        <v>193</v>
      </c>
      <c r="AC123" s="30" t="s">
        <v>323</v>
      </c>
      <c r="AD123" s="30" t="s">
        <v>366</v>
      </c>
      <c r="AE123" s="37">
        <v>43454</v>
      </c>
    </row>
    <row r="124" spans="1:31" ht="15.75" x14ac:dyDescent="0.25">
      <c r="A124" s="23" t="s">
        <v>898</v>
      </c>
      <c r="B124" s="24" t="s">
        <v>897</v>
      </c>
      <c r="C124" s="24" t="s">
        <v>896</v>
      </c>
      <c r="D124" s="24" t="s">
        <v>205</v>
      </c>
      <c r="E124" s="29">
        <v>76021</v>
      </c>
      <c r="F124" s="24" t="s">
        <v>296</v>
      </c>
      <c r="G124" s="24" t="s">
        <v>218</v>
      </c>
      <c r="H124" s="24" t="s">
        <v>192</v>
      </c>
      <c r="I124" s="25">
        <v>1.2410958904109599</v>
      </c>
      <c r="J124" s="26">
        <v>6.491525423728798</v>
      </c>
      <c r="K124" s="26">
        <v>0.72881355932203384</v>
      </c>
      <c r="L124" s="26">
        <v>0.22033898305084745</v>
      </c>
      <c r="M124" s="26">
        <v>0.35593220338983056</v>
      </c>
      <c r="N124" s="26">
        <v>3.2033898305084683</v>
      </c>
      <c r="O124" s="26">
        <v>3.7966101694915184</v>
      </c>
      <c r="P124" s="26">
        <v>8.4745762711864403E-2</v>
      </c>
      <c r="Q124" s="26">
        <v>0.7118644067796609</v>
      </c>
      <c r="R124" s="26">
        <v>1.4745762711864392</v>
      </c>
      <c r="S124" s="26">
        <v>0.81355932203389814</v>
      </c>
      <c r="T124" s="26">
        <v>0.89830508474576232</v>
      </c>
      <c r="U124" s="26">
        <v>4.610169491525415</v>
      </c>
      <c r="V124" s="26">
        <v>3.2203389830508424</v>
      </c>
      <c r="W124" s="27"/>
      <c r="X124" s="24" t="s">
        <v>585</v>
      </c>
      <c r="Y124" s="30" t="s">
        <v>323</v>
      </c>
      <c r="Z124" s="24" t="s">
        <v>344</v>
      </c>
      <c r="AA124" s="28" t="s">
        <v>895</v>
      </c>
      <c r="AB124" s="24" t="s">
        <v>585</v>
      </c>
      <c r="AC124" s="30" t="s">
        <v>323</v>
      </c>
      <c r="AD124" s="30" t="s">
        <v>344</v>
      </c>
      <c r="AE124" s="37">
        <v>42580</v>
      </c>
    </row>
    <row r="125" spans="1:31" ht="15.75" x14ac:dyDescent="0.25">
      <c r="A125" s="23" t="s">
        <v>598</v>
      </c>
      <c r="B125" s="24" t="s">
        <v>599</v>
      </c>
      <c r="C125" s="24" t="s">
        <v>600</v>
      </c>
      <c r="D125" s="24" t="s">
        <v>535</v>
      </c>
      <c r="E125" s="29">
        <v>65721</v>
      </c>
      <c r="F125" s="24" t="s">
        <v>40</v>
      </c>
      <c r="G125" s="24" t="s">
        <v>218</v>
      </c>
      <c r="H125" s="24" t="s">
        <v>5</v>
      </c>
      <c r="I125" s="25">
        <v>22.409090909090899</v>
      </c>
      <c r="J125" s="26">
        <v>2.1016949152542375</v>
      </c>
      <c r="K125" s="26">
        <v>1.6610169491525424</v>
      </c>
      <c r="L125" s="26">
        <v>2.2033898305084749</v>
      </c>
      <c r="M125" s="26">
        <v>1.4406779661016949</v>
      </c>
      <c r="N125" s="26">
        <v>3.3050847457627119</v>
      </c>
      <c r="O125" s="26">
        <v>3.1016949152542375</v>
      </c>
      <c r="P125" s="26">
        <v>1</v>
      </c>
      <c r="Q125" s="26">
        <v>0</v>
      </c>
      <c r="R125" s="26">
        <v>1.6271186440677967</v>
      </c>
      <c r="S125" s="26">
        <v>1.1864406779661016</v>
      </c>
      <c r="T125" s="26">
        <v>1.152542372881356</v>
      </c>
      <c r="U125" s="26">
        <v>3.4406779661016951</v>
      </c>
      <c r="V125" s="26">
        <v>5.4745762711864385</v>
      </c>
      <c r="W125" s="27"/>
      <c r="X125" s="24" t="s">
        <v>193</v>
      </c>
      <c r="Y125" s="30" t="s">
        <v>323</v>
      </c>
      <c r="Z125" s="24" t="s">
        <v>344</v>
      </c>
      <c r="AA125" s="28" t="s">
        <v>601</v>
      </c>
      <c r="AB125" s="24" t="s">
        <v>193</v>
      </c>
      <c r="AC125" s="30" t="s">
        <v>323</v>
      </c>
      <c r="AD125" s="30" t="s">
        <v>344</v>
      </c>
      <c r="AE125" s="37">
        <v>43160</v>
      </c>
    </row>
    <row r="126" spans="1:31" ht="15.75" x14ac:dyDescent="0.25">
      <c r="A126" s="23" t="s">
        <v>591</v>
      </c>
      <c r="B126" s="24" t="s">
        <v>592</v>
      </c>
      <c r="C126" s="24" t="s">
        <v>593</v>
      </c>
      <c r="D126" s="24" t="s">
        <v>373</v>
      </c>
      <c r="E126" s="29">
        <v>55318</v>
      </c>
      <c r="F126" s="24" t="s">
        <v>374</v>
      </c>
      <c r="G126" s="24" t="s">
        <v>218</v>
      </c>
      <c r="H126" s="24" t="s">
        <v>192</v>
      </c>
      <c r="I126" s="25">
        <v>12.44</v>
      </c>
      <c r="J126" s="26">
        <v>8.4745762711864403E-2</v>
      </c>
      <c r="K126" s="26">
        <v>2.2372881355932202</v>
      </c>
      <c r="L126" s="26">
        <v>4.3050847457627111</v>
      </c>
      <c r="M126" s="26">
        <v>0.49152542372881358</v>
      </c>
      <c r="N126" s="26">
        <v>6.8644067796610155</v>
      </c>
      <c r="O126" s="26">
        <v>0.23728813559322037</v>
      </c>
      <c r="P126" s="26">
        <v>1.6949152542372881E-2</v>
      </c>
      <c r="Q126" s="26">
        <v>0</v>
      </c>
      <c r="R126" s="26">
        <v>5.6949152542372872</v>
      </c>
      <c r="S126" s="26">
        <v>1.1525423728813557</v>
      </c>
      <c r="T126" s="26">
        <v>3.3898305084745763E-2</v>
      </c>
      <c r="U126" s="26">
        <v>0.23728813559322037</v>
      </c>
      <c r="V126" s="26">
        <v>6.8644067796610164</v>
      </c>
      <c r="W126" s="27"/>
      <c r="X126" s="24" t="s">
        <v>193</v>
      </c>
      <c r="Y126" s="30" t="s">
        <v>323</v>
      </c>
      <c r="Z126" s="24" t="s">
        <v>344</v>
      </c>
      <c r="AA126" s="28" t="s">
        <v>470</v>
      </c>
      <c r="AB126" s="24" t="s">
        <v>193</v>
      </c>
      <c r="AC126" s="30" t="s">
        <v>323</v>
      </c>
      <c r="AD126" s="30" t="s">
        <v>344</v>
      </c>
      <c r="AE126" s="37">
        <v>43055</v>
      </c>
    </row>
    <row r="127" spans="1:31" ht="15.75" x14ac:dyDescent="0.25">
      <c r="A127" s="23" t="s">
        <v>614</v>
      </c>
      <c r="B127" s="24" t="s">
        <v>615</v>
      </c>
      <c r="C127" s="24" t="s">
        <v>616</v>
      </c>
      <c r="D127" s="24" t="s">
        <v>205</v>
      </c>
      <c r="E127" s="29">
        <v>75202</v>
      </c>
      <c r="F127" s="24" t="s">
        <v>296</v>
      </c>
      <c r="G127" s="24" t="s">
        <v>274</v>
      </c>
      <c r="H127" s="24" t="s">
        <v>192</v>
      </c>
      <c r="I127" s="25">
        <v>1.2601880877742899</v>
      </c>
      <c r="J127" s="26">
        <v>6.7118644067796458</v>
      </c>
      <c r="K127" s="26">
        <v>0</v>
      </c>
      <c r="L127" s="26">
        <v>3.3898305084745763E-2</v>
      </c>
      <c r="M127" s="26">
        <v>1.6949152542372881E-2</v>
      </c>
      <c r="N127" s="26">
        <v>3.3220338983050781</v>
      </c>
      <c r="O127" s="26">
        <v>2.8983050847457577</v>
      </c>
      <c r="P127" s="26">
        <v>0.22033898305084745</v>
      </c>
      <c r="Q127" s="26">
        <v>0.32203389830508483</v>
      </c>
      <c r="R127" s="26">
        <v>1.1186440677966096</v>
      </c>
      <c r="S127" s="26">
        <v>0.83050847457627086</v>
      </c>
      <c r="T127" s="26">
        <v>1.6271186440677947</v>
      </c>
      <c r="U127" s="26">
        <v>3.1864406779660959</v>
      </c>
      <c r="V127" s="26">
        <v>2.4067796610169454</v>
      </c>
      <c r="W127" s="27"/>
      <c r="X127" s="24" t="s">
        <v>585</v>
      </c>
      <c r="Y127" s="30" t="s">
        <v>323</v>
      </c>
      <c r="Z127" s="24" t="s">
        <v>344</v>
      </c>
      <c r="AA127" s="28" t="s">
        <v>617</v>
      </c>
      <c r="AB127" s="24" t="s">
        <v>220</v>
      </c>
      <c r="AC127" s="30"/>
      <c r="AD127" s="30"/>
      <c r="AE127" s="37"/>
    </row>
    <row r="128" spans="1:31" ht="15.75" x14ac:dyDescent="0.25">
      <c r="A128" s="23" t="s">
        <v>621</v>
      </c>
      <c r="B128" s="24" t="s">
        <v>894</v>
      </c>
      <c r="C128" s="24" t="s">
        <v>622</v>
      </c>
      <c r="D128" s="24" t="s">
        <v>589</v>
      </c>
      <c r="E128" s="29">
        <v>84737</v>
      </c>
      <c r="F128" s="24" t="s">
        <v>416</v>
      </c>
      <c r="G128" s="24" t="s">
        <v>274</v>
      </c>
      <c r="H128" s="24" t="s">
        <v>192</v>
      </c>
      <c r="I128" s="25">
        <v>5.8095238095238102</v>
      </c>
      <c r="J128" s="26">
        <v>0.35593220338983056</v>
      </c>
      <c r="K128" s="26">
        <v>3.4406779661016946</v>
      </c>
      <c r="L128" s="26">
        <v>1.9152542372881354</v>
      </c>
      <c r="M128" s="26">
        <v>6.7796610169491525E-2</v>
      </c>
      <c r="N128" s="26">
        <v>3.4406779661016946</v>
      </c>
      <c r="O128" s="26">
        <v>2.1694915254237279</v>
      </c>
      <c r="P128" s="26">
        <v>0</v>
      </c>
      <c r="Q128" s="26">
        <v>0.16949152542372881</v>
      </c>
      <c r="R128" s="26">
        <v>0.50847457627118642</v>
      </c>
      <c r="S128" s="26">
        <v>1.0338983050847457</v>
      </c>
      <c r="T128" s="26">
        <v>1.8983050847457628</v>
      </c>
      <c r="U128" s="26">
        <v>2.3389830508474567</v>
      </c>
      <c r="V128" s="26">
        <v>4.9999999999999982</v>
      </c>
      <c r="W128" s="27"/>
      <c r="X128" s="24" t="s">
        <v>585</v>
      </c>
      <c r="Y128" s="30" t="s">
        <v>323</v>
      </c>
      <c r="Z128" s="24" t="s">
        <v>344</v>
      </c>
      <c r="AA128" s="28" t="s">
        <v>623</v>
      </c>
      <c r="AB128" s="24" t="s">
        <v>585</v>
      </c>
      <c r="AC128" s="30" t="s">
        <v>323</v>
      </c>
      <c r="AD128" s="30" t="s">
        <v>344</v>
      </c>
      <c r="AE128" s="37">
        <v>42978</v>
      </c>
    </row>
    <row r="129" spans="1:31" ht="15.75" x14ac:dyDescent="0.25">
      <c r="A129" s="23" t="s">
        <v>608</v>
      </c>
      <c r="B129" s="24" t="s">
        <v>609</v>
      </c>
      <c r="C129" s="24" t="s">
        <v>237</v>
      </c>
      <c r="D129" s="24" t="s">
        <v>189</v>
      </c>
      <c r="E129" s="29">
        <v>92154</v>
      </c>
      <c r="F129" s="24" t="s">
        <v>238</v>
      </c>
      <c r="G129" s="24" t="s">
        <v>0</v>
      </c>
      <c r="H129" s="24" t="s">
        <v>192</v>
      </c>
      <c r="I129" s="25">
        <v>2.0447761194029899</v>
      </c>
      <c r="J129" s="26">
        <v>5.2203389830508433</v>
      </c>
      <c r="K129" s="26">
        <v>6.7796610169491525E-2</v>
      </c>
      <c r="L129" s="26">
        <v>3.3898305084745763E-2</v>
      </c>
      <c r="M129" s="26">
        <v>0</v>
      </c>
      <c r="N129" s="26">
        <v>1.2711864406779658</v>
      </c>
      <c r="O129" s="26">
        <v>2.77966101694915</v>
      </c>
      <c r="P129" s="26">
        <v>0</v>
      </c>
      <c r="Q129" s="26">
        <v>1.2711864406779656</v>
      </c>
      <c r="R129" s="26">
        <v>3.3898305084745763E-2</v>
      </c>
      <c r="S129" s="26">
        <v>0</v>
      </c>
      <c r="T129" s="26">
        <v>1.2033898305084745</v>
      </c>
      <c r="U129" s="26">
        <v>4.0847457627118615</v>
      </c>
      <c r="V129" s="26">
        <v>1.7966101694915251</v>
      </c>
      <c r="W129" s="27"/>
      <c r="X129" s="24" t="s">
        <v>220</v>
      </c>
      <c r="Y129" s="30"/>
      <c r="Z129" s="24"/>
      <c r="AA129" s="28"/>
      <c r="AB129" s="24" t="s">
        <v>220</v>
      </c>
      <c r="AC129" s="30"/>
      <c r="AD129" s="30"/>
      <c r="AE129" s="37"/>
    </row>
    <row r="130" spans="1:31" ht="15.75" x14ac:dyDescent="0.25">
      <c r="A130" s="23" t="s">
        <v>893</v>
      </c>
      <c r="B130" s="24" t="s">
        <v>892</v>
      </c>
      <c r="C130" s="24" t="s">
        <v>891</v>
      </c>
      <c r="D130" s="24" t="s">
        <v>339</v>
      </c>
      <c r="E130" s="29">
        <v>12901</v>
      </c>
      <c r="F130" s="24" t="s">
        <v>340</v>
      </c>
      <c r="G130" s="24" t="s">
        <v>274</v>
      </c>
      <c r="H130" s="24" t="s">
        <v>192</v>
      </c>
      <c r="I130" s="25">
        <v>14.6060606060606</v>
      </c>
      <c r="J130" s="26">
        <v>3.6610169491525411</v>
      </c>
      <c r="K130" s="26">
        <v>0.81355932203389825</v>
      </c>
      <c r="L130" s="26">
        <v>0</v>
      </c>
      <c r="M130" s="26">
        <v>0.6271186440677966</v>
      </c>
      <c r="N130" s="26">
        <v>0.13559322033898305</v>
      </c>
      <c r="O130" s="26">
        <v>2.8305084745762712</v>
      </c>
      <c r="P130" s="26">
        <v>0.55932203389830515</v>
      </c>
      <c r="Q130" s="26">
        <v>1.5762711864406782</v>
      </c>
      <c r="R130" s="26">
        <v>0.30508474576271188</v>
      </c>
      <c r="S130" s="26">
        <v>0</v>
      </c>
      <c r="T130" s="26">
        <v>0.38983050847457629</v>
      </c>
      <c r="U130" s="26">
        <v>4.4067796610169481</v>
      </c>
      <c r="V130" s="26">
        <v>2.7457627118644066</v>
      </c>
      <c r="W130" s="27"/>
      <c r="X130" s="24" t="s">
        <v>193</v>
      </c>
      <c r="Y130" s="30" t="s">
        <v>323</v>
      </c>
      <c r="Z130" s="24" t="s">
        <v>344</v>
      </c>
      <c r="AA130" s="28" t="s">
        <v>890</v>
      </c>
      <c r="AB130" s="24" t="s">
        <v>193</v>
      </c>
      <c r="AC130" s="30" t="s">
        <v>323</v>
      </c>
      <c r="AD130" s="30" t="s">
        <v>344</v>
      </c>
      <c r="AE130" s="37">
        <v>43139</v>
      </c>
    </row>
    <row r="131" spans="1:31" ht="15.75" x14ac:dyDescent="0.25">
      <c r="A131" s="23" t="s">
        <v>889</v>
      </c>
      <c r="B131" s="24" t="s">
        <v>888</v>
      </c>
      <c r="C131" s="24" t="s">
        <v>887</v>
      </c>
      <c r="D131" s="24" t="s">
        <v>886</v>
      </c>
      <c r="E131" s="29">
        <v>4102</v>
      </c>
      <c r="F131" s="24" t="s">
        <v>370</v>
      </c>
      <c r="G131" s="24" t="s">
        <v>274</v>
      </c>
      <c r="H131" s="24" t="s">
        <v>192</v>
      </c>
      <c r="I131" s="25">
        <v>4.7241379310344804</v>
      </c>
      <c r="J131" s="26">
        <v>0.66101694915254239</v>
      </c>
      <c r="K131" s="26">
        <v>0.42372881355932207</v>
      </c>
      <c r="L131" s="26">
        <v>1.7796610169491525</v>
      </c>
      <c r="M131" s="26">
        <v>2.1355932203389836</v>
      </c>
      <c r="N131" s="26">
        <v>3.0169491525423724</v>
      </c>
      <c r="O131" s="26">
        <v>1.728813559322034</v>
      </c>
      <c r="P131" s="26">
        <v>8.4745762711864403E-2</v>
      </c>
      <c r="Q131" s="26">
        <v>0.16949152542372881</v>
      </c>
      <c r="R131" s="26">
        <v>2.3220338983050843</v>
      </c>
      <c r="S131" s="26">
        <v>0.33898305084745761</v>
      </c>
      <c r="T131" s="26">
        <v>0.44067796610169491</v>
      </c>
      <c r="U131" s="26">
        <v>1.8983050847457625</v>
      </c>
      <c r="V131" s="26">
        <v>3.4576271186440657</v>
      </c>
      <c r="W131" s="27"/>
      <c r="X131" s="24" t="s">
        <v>585</v>
      </c>
      <c r="Y131" s="30" t="s">
        <v>323</v>
      </c>
      <c r="Z131" s="24" t="s">
        <v>344</v>
      </c>
      <c r="AA131" s="28" t="s">
        <v>885</v>
      </c>
      <c r="AB131" s="24" t="s">
        <v>585</v>
      </c>
      <c r="AC131" s="30" t="s">
        <v>323</v>
      </c>
      <c r="AD131" s="30" t="s">
        <v>344</v>
      </c>
      <c r="AE131" s="37">
        <v>42969</v>
      </c>
    </row>
    <row r="132" spans="1:31" ht="15.75" x14ac:dyDescent="0.25">
      <c r="A132" s="23" t="s">
        <v>52</v>
      </c>
      <c r="B132" s="24" t="s">
        <v>624</v>
      </c>
      <c r="C132" s="24" t="s">
        <v>625</v>
      </c>
      <c r="D132" s="24" t="s">
        <v>626</v>
      </c>
      <c r="E132" s="29">
        <v>939</v>
      </c>
      <c r="F132" s="24" t="s">
        <v>33</v>
      </c>
      <c r="G132" s="24" t="s">
        <v>556</v>
      </c>
      <c r="H132" s="24" t="s">
        <v>192</v>
      </c>
      <c r="I132" s="25">
        <v>10.8888888888889</v>
      </c>
      <c r="J132" s="26">
        <v>0</v>
      </c>
      <c r="K132" s="26">
        <v>1.5254237288135593</v>
      </c>
      <c r="L132" s="26">
        <v>2.2881355932203387</v>
      </c>
      <c r="M132" s="26">
        <v>0.66101694915254239</v>
      </c>
      <c r="N132" s="26">
        <v>4.0338983050847448</v>
      </c>
      <c r="O132" s="26">
        <v>0.44067796610169496</v>
      </c>
      <c r="P132" s="26">
        <v>0</v>
      </c>
      <c r="Q132" s="26">
        <v>0</v>
      </c>
      <c r="R132" s="26">
        <v>3.0338983050847452</v>
      </c>
      <c r="S132" s="26">
        <v>0.71186440677966101</v>
      </c>
      <c r="T132" s="26">
        <v>1.6949152542372881E-2</v>
      </c>
      <c r="U132" s="26">
        <v>0.71186440677966112</v>
      </c>
      <c r="V132" s="26">
        <v>2.1694915254237288</v>
      </c>
      <c r="W132" s="27"/>
      <c r="X132" s="24" t="s">
        <v>193</v>
      </c>
      <c r="Y132" s="30" t="s">
        <v>323</v>
      </c>
      <c r="Z132" s="24" t="s">
        <v>324</v>
      </c>
      <c r="AA132" s="28" t="s">
        <v>627</v>
      </c>
      <c r="AB132" s="24" t="s">
        <v>193</v>
      </c>
      <c r="AC132" s="30" t="s">
        <v>323</v>
      </c>
      <c r="AD132" s="30" t="s">
        <v>324</v>
      </c>
      <c r="AE132" s="37">
        <v>39241</v>
      </c>
    </row>
    <row r="133" spans="1:31" ht="15.75" x14ac:dyDescent="0.25">
      <c r="A133" s="23" t="s">
        <v>610</v>
      </c>
      <c r="B133" s="24" t="s">
        <v>611</v>
      </c>
      <c r="C133" s="24" t="s">
        <v>612</v>
      </c>
      <c r="D133" s="24" t="s">
        <v>311</v>
      </c>
      <c r="E133" s="29">
        <v>34112</v>
      </c>
      <c r="F133" s="24" t="s">
        <v>33</v>
      </c>
      <c r="G133" s="24" t="s">
        <v>218</v>
      </c>
      <c r="H133" s="24" t="s">
        <v>192</v>
      </c>
      <c r="I133" s="25">
        <v>2.4175824175824201</v>
      </c>
      <c r="J133" s="26">
        <v>0.98305084745762727</v>
      </c>
      <c r="K133" s="26">
        <v>0.74576271186440679</v>
      </c>
      <c r="L133" s="26">
        <v>1.5593220338983047</v>
      </c>
      <c r="M133" s="26">
        <v>0.69491525423728817</v>
      </c>
      <c r="N133" s="26">
        <v>2.6610169491525406</v>
      </c>
      <c r="O133" s="26">
        <v>1.1864406779661016</v>
      </c>
      <c r="P133" s="26">
        <v>0.11864406779661016</v>
      </c>
      <c r="Q133" s="26">
        <v>1.6949152542372881E-2</v>
      </c>
      <c r="R133" s="26">
        <v>0.42372881355932213</v>
      </c>
      <c r="S133" s="26">
        <v>1.0677966101694916</v>
      </c>
      <c r="T133" s="26">
        <v>1.2881355932203389</v>
      </c>
      <c r="U133" s="26">
        <v>1.2033898305084747</v>
      </c>
      <c r="V133" s="26">
        <v>1.6101694915254237</v>
      </c>
      <c r="W133" s="27"/>
      <c r="X133" s="24" t="s">
        <v>193</v>
      </c>
      <c r="Y133" s="30" t="s">
        <v>323</v>
      </c>
      <c r="Z133" s="24" t="s">
        <v>366</v>
      </c>
      <c r="AA133" s="28" t="s">
        <v>613</v>
      </c>
      <c r="AB133" s="24" t="s">
        <v>585</v>
      </c>
      <c r="AC133" s="30" t="s">
        <v>323</v>
      </c>
      <c r="AD133" s="30" t="s">
        <v>344</v>
      </c>
      <c r="AE133" s="37">
        <v>43364</v>
      </c>
    </row>
    <row r="134" spans="1:31" ht="15.75" x14ac:dyDescent="0.25">
      <c r="A134" s="23" t="s">
        <v>640</v>
      </c>
      <c r="B134" s="24" t="s">
        <v>641</v>
      </c>
      <c r="C134" s="24" t="s">
        <v>642</v>
      </c>
      <c r="D134" s="24" t="s">
        <v>516</v>
      </c>
      <c r="E134" s="29">
        <v>52401</v>
      </c>
      <c r="F134" s="24" t="s">
        <v>374</v>
      </c>
      <c r="G134" s="24" t="s">
        <v>274</v>
      </c>
      <c r="H134" s="24" t="s">
        <v>192</v>
      </c>
      <c r="I134" s="25">
        <v>15.866666666666699</v>
      </c>
      <c r="J134" s="26">
        <v>0.3728813559322034</v>
      </c>
      <c r="K134" s="26">
        <v>3.4915254237288136</v>
      </c>
      <c r="L134" s="26">
        <v>0</v>
      </c>
      <c r="M134" s="26">
        <v>0</v>
      </c>
      <c r="N134" s="26">
        <v>1.8644067796610173</v>
      </c>
      <c r="O134" s="26">
        <v>0.74576271186440679</v>
      </c>
      <c r="P134" s="26">
        <v>1.1186440677966101</v>
      </c>
      <c r="Q134" s="26">
        <v>0.13559322033898305</v>
      </c>
      <c r="R134" s="26">
        <v>1.2542372881355932</v>
      </c>
      <c r="S134" s="26">
        <v>1.4406779661016951</v>
      </c>
      <c r="T134" s="26">
        <v>0.28813559322033899</v>
      </c>
      <c r="U134" s="26">
        <v>0.88135593220338981</v>
      </c>
      <c r="V134" s="26">
        <v>1.6949152542372881</v>
      </c>
      <c r="W134" s="27"/>
      <c r="X134" s="24" t="s">
        <v>193</v>
      </c>
      <c r="Y134" s="30" t="s">
        <v>323</v>
      </c>
      <c r="Z134" s="24" t="s">
        <v>344</v>
      </c>
      <c r="AA134" s="28" t="s">
        <v>643</v>
      </c>
      <c r="AB134" s="24" t="s">
        <v>193</v>
      </c>
      <c r="AC134" s="30" t="s">
        <v>323</v>
      </c>
      <c r="AD134" s="30" t="s">
        <v>344</v>
      </c>
      <c r="AE134" s="37">
        <v>43041</v>
      </c>
    </row>
    <row r="135" spans="1:31" ht="15.75" x14ac:dyDescent="0.25">
      <c r="A135" s="23" t="s">
        <v>658</v>
      </c>
      <c r="B135" s="24" t="s">
        <v>659</v>
      </c>
      <c r="C135" s="24" t="s">
        <v>660</v>
      </c>
      <c r="D135" s="24" t="s">
        <v>244</v>
      </c>
      <c r="E135" s="29">
        <v>98632</v>
      </c>
      <c r="F135" s="24" t="s">
        <v>245</v>
      </c>
      <c r="G135" s="24" t="s">
        <v>661</v>
      </c>
      <c r="H135" s="24" t="s">
        <v>192</v>
      </c>
      <c r="I135" s="25">
        <v>530</v>
      </c>
      <c r="J135" s="26">
        <v>0</v>
      </c>
      <c r="K135" s="26">
        <v>0</v>
      </c>
      <c r="L135" s="26">
        <v>2</v>
      </c>
      <c r="M135" s="26">
        <v>1.7457627118644068</v>
      </c>
      <c r="N135" s="26">
        <v>3</v>
      </c>
      <c r="O135" s="26">
        <v>0.74576271186440679</v>
      </c>
      <c r="P135" s="26">
        <v>0</v>
      </c>
      <c r="Q135" s="26">
        <v>0</v>
      </c>
      <c r="R135" s="26">
        <v>2</v>
      </c>
      <c r="S135" s="26">
        <v>0</v>
      </c>
      <c r="T135" s="26">
        <v>1</v>
      </c>
      <c r="U135" s="26">
        <v>0.74576271186440679</v>
      </c>
      <c r="V135" s="26">
        <v>0.74576271186440679</v>
      </c>
      <c r="W135" s="27"/>
      <c r="X135" s="24" t="s">
        <v>193</v>
      </c>
      <c r="Y135" s="30" t="s">
        <v>662</v>
      </c>
      <c r="Z135" s="24" t="s">
        <v>197</v>
      </c>
      <c r="AA135" s="28" t="s">
        <v>489</v>
      </c>
      <c r="AB135" s="24" t="s">
        <v>220</v>
      </c>
      <c r="AC135" s="30"/>
      <c r="AD135" s="30"/>
      <c r="AE135" s="37"/>
    </row>
    <row r="136" spans="1:31" ht="15.75" x14ac:dyDescent="0.25">
      <c r="A136" s="23" t="s">
        <v>664</v>
      </c>
      <c r="B136" s="24" t="s">
        <v>665</v>
      </c>
      <c r="C136" s="24" t="s">
        <v>632</v>
      </c>
      <c r="D136" s="24" t="s">
        <v>339</v>
      </c>
      <c r="E136" s="29">
        <v>12180</v>
      </c>
      <c r="F136" s="24" t="s">
        <v>340</v>
      </c>
      <c r="G136" s="24" t="s">
        <v>274</v>
      </c>
      <c r="H136" s="24" t="s">
        <v>192</v>
      </c>
      <c r="I136" s="25">
        <v>4.8</v>
      </c>
      <c r="J136" s="26">
        <v>0.71186440677966101</v>
      </c>
      <c r="K136" s="26">
        <v>0.2711864406779661</v>
      </c>
      <c r="L136" s="26">
        <v>1.1016949152542372</v>
      </c>
      <c r="M136" s="26">
        <v>1.5084745762711864</v>
      </c>
      <c r="N136" s="26">
        <v>0.40677966101694918</v>
      </c>
      <c r="O136" s="26">
        <v>0.84745762711864403</v>
      </c>
      <c r="P136" s="26">
        <v>2.2711864406779663</v>
      </c>
      <c r="Q136" s="26">
        <v>6.7796610169491525E-2</v>
      </c>
      <c r="R136" s="26">
        <v>2.3898305084745761</v>
      </c>
      <c r="S136" s="26">
        <v>1.6949152542372881E-2</v>
      </c>
      <c r="T136" s="26">
        <v>0.2711864406779661</v>
      </c>
      <c r="U136" s="26">
        <v>0.9152542372881356</v>
      </c>
      <c r="V136" s="26">
        <v>3.2203389830508473</v>
      </c>
      <c r="W136" s="27"/>
      <c r="X136" s="24" t="s">
        <v>220</v>
      </c>
      <c r="Y136" s="30"/>
      <c r="Z136" s="24"/>
      <c r="AA136" s="28"/>
      <c r="AB136" s="24" t="s">
        <v>220</v>
      </c>
      <c r="AC136" s="30"/>
      <c r="AD136" s="30"/>
      <c r="AE136" s="37"/>
    </row>
    <row r="137" spans="1:31" ht="15.75" x14ac:dyDescent="0.25">
      <c r="A137" s="23" t="s">
        <v>568</v>
      </c>
      <c r="B137" s="24" t="s">
        <v>569</v>
      </c>
      <c r="C137" s="24" t="s">
        <v>570</v>
      </c>
      <c r="D137" s="24" t="s">
        <v>205</v>
      </c>
      <c r="E137" s="29">
        <v>78380</v>
      </c>
      <c r="F137" s="24" t="s">
        <v>260</v>
      </c>
      <c r="G137" s="24" t="s">
        <v>274</v>
      </c>
      <c r="H137" s="24" t="s">
        <v>5</v>
      </c>
      <c r="I137" s="25">
        <v>2.0299999999999998</v>
      </c>
      <c r="J137" s="26">
        <v>1.6949152542372881E-2</v>
      </c>
      <c r="K137" s="26">
        <v>3.4067796610169454</v>
      </c>
      <c r="L137" s="26">
        <v>0.11864406779661016</v>
      </c>
      <c r="M137" s="26">
        <v>1.6949152542372881E-2</v>
      </c>
      <c r="N137" s="26">
        <v>2.203389830508474</v>
      </c>
      <c r="O137" s="26">
        <v>1.3559322033898293</v>
      </c>
      <c r="P137" s="26">
        <v>0</v>
      </c>
      <c r="Q137" s="26">
        <v>0</v>
      </c>
      <c r="R137" s="26">
        <v>1.3728813559322033</v>
      </c>
      <c r="S137" s="26">
        <v>0.66101694915254228</v>
      </c>
      <c r="T137" s="26">
        <v>0.22033898305084745</v>
      </c>
      <c r="U137" s="26">
        <v>1.3050847457627111</v>
      </c>
      <c r="V137" s="26">
        <v>2.9322033898305064</v>
      </c>
      <c r="W137" s="27"/>
      <c r="X137" s="24" t="s">
        <v>193</v>
      </c>
      <c r="Y137" s="30" t="s">
        <v>275</v>
      </c>
      <c r="Z137" s="24" t="s">
        <v>195</v>
      </c>
      <c r="AA137" s="28" t="s">
        <v>212</v>
      </c>
      <c r="AB137" s="24" t="s">
        <v>193</v>
      </c>
      <c r="AC137" s="30" t="s">
        <v>275</v>
      </c>
      <c r="AD137" s="30" t="s">
        <v>195</v>
      </c>
      <c r="AE137" s="37">
        <v>43475</v>
      </c>
    </row>
    <row r="138" spans="1:31" ht="15.75" x14ac:dyDescent="0.25">
      <c r="A138" s="23" t="s">
        <v>884</v>
      </c>
      <c r="B138" s="24" t="s">
        <v>883</v>
      </c>
      <c r="C138" s="24" t="s">
        <v>882</v>
      </c>
      <c r="D138" s="24" t="s">
        <v>50</v>
      </c>
      <c r="E138" s="29">
        <v>35447</v>
      </c>
      <c r="F138" s="24" t="s">
        <v>217</v>
      </c>
      <c r="G138" s="24" t="s">
        <v>218</v>
      </c>
      <c r="H138" s="24" t="s">
        <v>192</v>
      </c>
      <c r="I138" s="25">
        <v>4.4791666666666696</v>
      </c>
      <c r="J138" s="26">
        <v>0.15254237288135594</v>
      </c>
      <c r="K138" s="26">
        <v>0.15254237288135594</v>
      </c>
      <c r="L138" s="26">
        <v>3.0847457627118651</v>
      </c>
      <c r="M138" s="26">
        <v>0</v>
      </c>
      <c r="N138" s="26">
        <v>8.4745762711864403E-2</v>
      </c>
      <c r="O138" s="26">
        <v>0</v>
      </c>
      <c r="P138" s="26">
        <v>3.3050847457627124</v>
      </c>
      <c r="Q138" s="26">
        <v>0</v>
      </c>
      <c r="R138" s="26">
        <v>3.2542372881355939</v>
      </c>
      <c r="S138" s="26">
        <v>0.13559322033898305</v>
      </c>
      <c r="T138" s="26">
        <v>0</v>
      </c>
      <c r="U138" s="26">
        <v>0</v>
      </c>
      <c r="V138" s="26">
        <v>2.9491525423728815</v>
      </c>
      <c r="W138" s="27"/>
      <c r="X138" s="24" t="s">
        <v>220</v>
      </c>
      <c r="Y138" s="30"/>
      <c r="Z138" s="24"/>
      <c r="AA138" s="28"/>
      <c r="AB138" s="24" t="s">
        <v>220</v>
      </c>
      <c r="AC138" s="30"/>
      <c r="AD138" s="30"/>
      <c r="AE138" s="37"/>
    </row>
    <row r="139" spans="1:31" ht="15.75" x14ac:dyDescent="0.25">
      <c r="A139" s="23" t="s">
        <v>628</v>
      </c>
      <c r="B139" s="24" t="s">
        <v>629</v>
      </c>
      <c r="C139" s="24" t="s">
        <v>630</v>
      </c>
      <c r="D139" s="24" t="s">
        <v>631</v>
      </c>
      <c r="E139" s="29">
        <v>96950</v>
      </c>
      <c r="F139" s="24" t="s">
        <v>362</v>
      </c>
      <c r="G139" s="24" t="s">
        <v>274</v>
      </c>
      <c r="H139" s="24" t="s">
        <v>192</v>
      </c>
      <c r="I139" s="25">
        <v>145.80000000000001</v>
      </c>
      <c r="J139" s="26">
        <v>0</v>
      </c>
      <c r="K139" s="26">
        <v>1.847457627118644</v>
      </c>
      <c r="L139" s="26">
        <v>0.55932203389830504</v>
      </c>
      <c r="M139" s="26">
        <v>0.77966101694915257</v>
      </c>
      <c r="N139" s="26">
        <v>2.6779661016949152</v>
      </c>
      <c r="O139" s="26">
        <v>0</v>
      </c>
      <c r="P139" s="26">
        <v>0</v>
      </c>
      <c r="Q139" s="26">
        <v>0.50847457627118642</v>
      </c>
      <c r="R139" s="26">
        <v>1.847457627118644</v>
      </c>
      <c r="S139" s="26">
        <v>0.83050847457627119</v>
      </c>
      <c r="T139" s="26">
        <v>0</v>
      </c>
      <c r="U139" s="26">
        <v>0.50847457627118642</v>
      </c>
      <c r="V139" s="26">
        <v>3.1864406779661016</v>
      </c>
      <c r="W139" s="27"/>
      <c r="X139" s="24" t="s">
        <v>220</v>
      </c>
      <c r="Y139" s="30"/>
      <c r="Z139" s="24"/>
      <c r="AA139" s="28"/>
      <c r="AB139" s="24" t="s">
        <v>220</v>
      </c>
      <c r="AC139" s="30"/>
      <c r="AD139" s="30"/>
      <c r="AE139" s="37"/>
    </row>
    <row r="140" spans="1:31" ht="15.75" x14ac:dyDescent="0.25">
      <c r="A140" s="23" t="s">
        <v>881</v>
      </c>
      <c r="B140" s="24" t="s">
        <v>880</v>
      </c>
      <c r="C140" s="24" t="s">
        <v>879</v>
      </c>
      <c r="D140" s="24" t="s">
        <v>234</v>
      </c>
      <c r="E140" s="29">
        <v>39520</v>
      </c>
      <c r="F140" s="24" t="s">
        <v>217</v>
      </c>
      <c r="G140" s="24" t="s">
        <v>218</v>
      </c>
      <c r="H140" s="24" t="s">
        <v>192</v>
      </c>
      <c r="I140" s="25">
        <v>2.0394736842105301</v>
      </c>
      <c r="J140" s="26">
        <v>0.2711864406779661</v>
      </c>
      <c r="K140" s="26">
        <v>0.86440677966101664</v>
      </c>
      <c r="L140" s="26">
        <v>1.0338983050847457</v>
      </c>
      <c r="M140" s="26">
        <v>0.62711864406779649</v>
      </c>
      <c r="N140" s="26">
        <v>1.0677966101694911</v>
      </c>
      <c r="O140" s="26">
        <v>1.6779661016949141</v>
      </c>
      <c r="P140" s="26">
        <v>0</v>
      </c>
      <c r="Q140" s="26">
        <v>5.0847457627118647E-2</v>
      </c>
      <c r="R140" s="26">
        <v>0.38983050847457629</v>
      </c>
      <c r="S140" s="26">
        <v>0.23728813559322037</v>
      </c>
      <c r="T140" s="26">
        <v>0.44067796610169496</v>
      </c>
      <c r="U140" s="26">
        <v>1.7288135593220326</v>
      </c>
      <c r="V140" s="26">
        <v>1.3728813559322028</v>
      </c>
      <c r="W140" s="27"/>
      <c r="X140" s="24" t="s">
        <v>220</v>
      </c>
      <c r="Y140" s="30"/>
      <c r="Z140" s="24"/>
      <c r="AA140" s="28"/>
      <c r="AB140" s="24" t="s">
        <v>220</v>
      </c>
      <c r="AC140" s="30"/>
      <c r="AD140" s="30"/>
      <c r="AE140" s="37"/>
    </row>
    <row r="141" spans="1:31" ht="15.75" x14ac:dyDescent="0.25">
      <c r="A141" s="23" t="s">
        <v>644</v>
      </c>
      <c r="B141" s="24" t="s">
        <v>645</v>
      </c>
      <c r="C141" s="24" t="s">
        <v>646</v>
      </c>
      <c r="D141" s="24" t="s">
        <v>647</v>
      </c>
      <c r="E141" s="29">
        <v>25309</v>
      </c>
      <c r="F141" s="24" t="s">
        <v>329</v>
      </c>
      <c r="G141" s="24" t="s">
        <v>274</v>
      </c>
      <c r="H141" s="24" t="s">
        <v>192</v>
      </c>
      <c r="I141" s="25">
        <v>7.5238095238095202</v>
      </c>
      <c r="J141" s="26">
        <v>0.4576271186440678</v>
      </c>
      <c r="K141" s="26">
        <v>1.2881355932203391</v>
      </c>
      <c r="L141" s="26">
        <v>0.8305084745762713</v>
      </c>
      <c r="M141" s="26">
        <v>0.11864406779661016</v>
      </c>
      <c r="N141" s="26">
        <v>1.6271186440677967</v>
      </c>
      <c r="O141" s="26">
        <v>1.0677966101694916</v>
      </c>
      <c r="P141" s="26">
        <v>0</v>
      </c>
      <c r="Q141" s="26">
        <v>0</v>
      </c>
      <c r="R141" s="26">
        <v>1.4067796610169492</v>
      </c>
      <c r="S141" s="26">
        <v>6.7796610169491525E-2</v>
      </c>
      <c r="T141" s="26">
        <v>0.15254237288135594</v>
      </c>
      <c r="U141" s="26">
        <v>1.0677966101694916</v>
      </c>
      <c r="V141" s="26">
        <v>2.1525423728813551</v>
      </c>
      <c r="W141" s="27"/>
      <c r="X141" s="24" t="s">
        <v>585</v>
      </c>
      <c r="Y141" s="30" t="s">
        <v>323</v>
      </c>
      <c r="Z141" s="24" t="s">
        <v>344</v>
      </c>
      <c r="AA141" s="28" t="s">
        <v>648</v>
      </c>
      <c r="AB141" s="24" t="s">
        <v>585</v>
      </c>
      <c r="AC141" s="30" t="s">
        <v>323</v>
      </c>
      <c r="AD141" s="30" t="s">
        <v>344</v>
      </c>
      <c r="AE141" s="37">
        <v>42996</v>
      </c>
    </row>
    <row r="142" spans="1:31" ht="15.75" x14ac:dyDescent="0.25">
      <c r="A142" s="23" t="s">
        <v>681</v>
      </c>
      <c r="B142" s="24" t="s">
        <v>682</v>
      </c>
      <c r="C142" s="24" t="s">
        <v>679</v>
      </c>
      <c r="D142" s="24" t="s">
        <v>597</v>
      </c>
      <c r="E142" s="29">
        <v>29072</v>
      </c>
      <c r="F142" s="24" t="s">
        <v>202</v>
      </c>
      <c r="G142" s="24" t="s">
        <v>274</v>
      </c>
      <c r="H142" s="24" t="s">
        <v>192</v>
      </c>
      <c r="I142" s="25">
        <v>1.7023809523809501</v>
      </c>
      <c r="J142" s="26">
        <v>0.32203389830508483</v>
      </c>
      <c r="K142" s="26">
        <v>1.2372881355932202</v>
      </c>
      <c r="L142" s="26">
        <v>0.55932203389830515</v>
      </c>
      <c r="M142" s="26">
        <v>0.54237288135593231</v>
      </c>
      <c r="N142" s="26">
        <v>1.5762711864406769</v>
      </c>
      <c r="O142" s="26">
        <v>1.0169491525423726</v>
      </c>
      <c r="P142" s="26">
        <v>0</v>
      </c>
      <c r="Q142" s="26">
        <v>6.7796610169491525E-2</v>
      </c>
      <c r="R142" s="26">
        <v>0.76271186440677963</v>
      </c>
      <c r="S142" s="26">
        <v>0.44067796610169502</v>
      </c>
      <c r="T142" s="26">
        <v>0.37288135593220345</v>
      </c>
      <c r="U142" s="26">
        <v>1.084745762711864</v>
      </c>
      <c r="V142" s="26">
        <v>1.1694915254237284</v>
      </c>
      <c r="W142" s="27"/>
      <c r="X142" s="24" t="s">
        <v>585</v>
      </c>
      <c r="Y142" s="30" t="s">
        <v>323</v>
      </c>
      <c r="Z142" s="24" t="s">
        <v>344</v>
      </c>
      <c r="AA142" s="28" t="s">
        <v>683</v>
      </c>
      <c r="AB142" s="24" t="s">
        <v>585</v>
      </c>
      <c r="AC142" s="30" t="s">
        <v>323</v>
      </c>
      <c r="AD142" s="30" t="s">
        <v>344</v>
      </c>
      <c r="AE142" s="37">
        <v>42629</v>
      </c>
    </row>
    <row r="143" spans="1:31" ht="15.75" x14ac:dyDescent="0.25">
      <c r="A143" s="23" t="s">
        <v>674</v>
      </c>
      <c r="B143" s="24" t="s">
        <v>675</v>
      </c>
      <c r="C143" s="24" t="s">
        <v>676</v>
      </c>
      <c r="D143" s="24" t="s">
        <v>205</v>
      </c>
      <c r="E143" s="29">
        <v>78562</v>
      </c>
      <c r="F143" s="24" t="s">
        <v>206</v>
      </c>
      <c r="G143" s="24" t="s">
        <v>274</v>
      </c>
      <c r="H143" s="24" t="s">
        <v>192</v>
      </c>
      <c r="I143" s="25">
        <v>1.37209302325581</v>
      </c>
      <c r="J143" s="26">
        <v>1.4406779661016944</v>
      </c>
      <c r="K143" s="26">
        <v>0.33898305084745761</v>
      </c>
      <c r="L143" s="26">
        <v>0.10169491525423729</v>
      </c>
      <c r="M143" s="26">
        <v>0.15254237288135594</v>
      </c>
      <c r="N143" s="26">
        <v>2.0338983050847443</v>
      </c>
      <c r="O143" s="26">
        <v>0</v>
      </c>
      <c r="P143" s="26">
        <v>0</v>
      </c>
      <c r="Q143" s="26">
        <v>0</v>
      </c>
      <c r="R143" s="26">
        <v>0.83050847457627108</v>
      </c>
      <c r="S143" s="26">
        <v>1.2033898305084747</v>
      </c>
      <c r="T143" s="26">
        <v>0</v>
      </c>
      <c r="U143" s="26">
        <v>0</v>
      </c>
      <c r="V143" s="26">
        <v>1.9830508474576258</v>
      </c>
      <c r="W143" s="27"/>
      <c r="X143" s="24" t="s">
        <v>193</v>
      </c>
      <c r="Y143" s="30" t="s">
        <v>323</v>
      </c>
      <c r="Z143" s="24" t="s">
        <v>344</v>
      </c>
      <c r="AA143" s="28" t="s">
        <v>878</v>
      </c>
      <c r="AB143" s="24" t="s">
        <v>193</v>
      </c>
      <c r="AC143" s="30" t="s">
        <v>323</v>
      </c>
      <c r="AD143" s="30" t="s">
        <v>344</v>
      </c>
      <c r="AE143" s="37">
        <v>43714</v>
      </c>
    </row>
    <row r="144" spans="1:31" ht="15.75" x14ac:dyDescent="0.25">
      <c r="A144" s="23" t="s">
        <v>877</v>
      </c>
      <c r="B144" s="24" t="s">
        <v>876</v>
      </c>
      <c r="C144" s="24" t="s">
        <v>188</v>
      </c>
      <c r="D144" s="24" t="s">
        <v>189</v>
      </c>
      <c r="E144" s="29">
        <v>92301</v>
      </c>
      <c r="F144" s="24" t="s">
        <v>190</v>
      </c>
      <c r="G144" s="24" t="s">
        <v>191</v>
      </c>
      <c r="H144" s="24" t="s">
        <v>192</v>
      </c>
      <c r="I144" s="25">
        <v>6.7777777777777803</v>
      </c>
      <c r="J144" s="26">
        <v>6.7796610169491525E-2</v>
      </c>
      <c r="K144" s="26">
        <v>0.52542372881355925</v>
      </c>
      <c r="L144" s="26">
        <v>0.20338983050847459</v>
      </c>
      <c r="M144" s="26">
        <v>0.74576271186440679</v>
      </c>
      <c r="N144" s="26">
        <v>1.5423728813559319</v>
      </c>
      <c r="O144" s="26">
        <v>0</v>
      </c>
      <c r="P144" s="26">
        <v>0</v>
      </c>
      <c r="Q144" s="26">
        <v>0</v>
      </c>
      <c r="R144" s="26">
        <v>0.77966101694915257</v>
      </c>
      <c r="S144" s="26">
        <v>0</v>
      </c>
      <c r="T144" s="26">
        <v>0.76271186440677974</v>
      </c>
      <c r="U144" s="26">
        <v>0</v>
      </c>
      <c r="V144" s="26">
        <v>1.5423728813559319</v>
      </c>
      <c r="W144" s="27">
        <v>120</v>
      </c>
      <c r="X144" s="24" t="s">
        <v>220</v>
      </c>
      <c r="Y144" s="30"/>
      <c r="Z144" s="24"/>
      <c r="AA144" s="28"/>
      <c r="AB144" s="24" t="s">
        <v>220</v>
      </c>
      <c r="AC144" s="30"/>
      <c r="AD144" s="30"/>
      <c r="AE144" s="37"/>
    </row>
    <row r="145" spans="1:31" ht="15.75" x14ac:dyDescent="0.25">
      <c r="A145" s="23" t="s">
        <v>875</v>
      </c>
      <c r="B145" s="24" t="s">
        <v>874</v>
      </c>
      <c r="C145" s="24" t="s">
        <v>873</v>
      </c>
      <c r="D145" s="24" t="s">
        <v>205</v>
      </c>
      <c r="E145" s="29">
        <v>76701</v>
      </c>
      <c r="F145" s="24" t="s">
        <v>206</v>
      </c>
      <c r="G145" s="24" t="s">
        <v>218</v>
      </c>
      <c r="H145" s="24" t="s">
        <v>192</v>
      </c>
      <c r="I145" s="25">
        <v>1.9459459459459501</v>
      </c>
      <c r="J145" s="26">
        <v>5.0847457627118647E-2</v>
      </c>
      <c r="K145" s="26">
        <v>0.35593220338983061</v>
      </c>
      <c r="L145" s="26">
        <v>0.52542372881355925</v>
      </c>
      <c r="M145" s="26">
        <v>0.49152542372881364</v>
      </c>
      <c r="N145" s="26">
        <v>1.0847457627118642</v>
      </c>
      <c r="O145" s="26">
        <v>0.22033898305084745</v>
      </c>
      <c r="P145" s="26">
        <v>0.11864406779661017</v>
      </c>
      <c r="Q145" s="26">
        <v>0</v>
      </c>
      <c r="R145" s="26">
        <v>0.67796610169491522</v>
      </c>
      <c r="S145" s="26">
        <v>0.32203389830508478</v>
      </c>
      <c r="T145" s="26">
        <v>0.20338983050847456</v>
      </c>
      <c r="U145" s="26">
        <v>0.22033898305084745</v>
      </c>
      <c r="V145" s="26">
        <v>0.86440677966101676</v>
      </c>
      <c r="W145" s="27"/>
      <c r="X145" s="24" t="s">
        <v>193</v>
      </c>
      <c r="Y145" s="30" t="s">
        <v>323</v>
      </c>
      <c r="Z145" s="24" t="s">
        <v>324</v>
      </c>
      <c r="AA145" s="28" t="s">
        <v>872</v>
      </c>
      <c r="AB145" s="24" t="s">
        <v>193</v>
      </c>
      <c r="AC145" s="30" t="s">
        <v>323</v>
      </c>
      <c r="AD145" s="30" t="s">
        <v>324</v>
      </c>
      <c r="AE145" s="37">
        <v>39105</v>
      </c>
    </row>
    <row r="146" spans="1:31" ht="15.75" x14ac:dyDescent="0.25">
      <c r="A146" s="23" t="s">
        <v>48</v>
      </c>
      <c r="B146" s="24" t="s">
        <v>618</v>
      </c>
      <c r="C146" s="24" t="s">
        <v>619</v>
      </c>
      <c r="D146" s="24" t="s">
        <v>311</v>
      </c>
      <c r="E146" s="29">
        <v>33762</v>
      </c>
      <c r="F146" s="24" t="s">
        <v>33</v>
      </c>
      <c r="G146" s="24" t="s">
        <v>274</v>
      </c>
      <c r="H146" s="24" t="s">
        <v>192</v>
      </c>
      <c r="I146" s="25">
        <v>1.42105263157895</v>
      </c>
      <c r="J146" s="26">
        <v>6.7796610169491525E-2</v>
      </c>
      <c r="K146" s="26">
        <v>0.6271186440677966</v>
      </c>
      <c r="L146" s="26">
        <v>0.45762711864406791</v>
      </c>
      <c r="M146" s="26">
        <v>0.2711864406779661</v>
      </c>
      <c r="N146" s="26">
        <v>0.93220338983050821</v>
      </c>
      <c r="O146" s="26">
        <v>0.44067796610169507</v>
      </c>
      <c r="P146" s="26">
        <v>0</v>
      </c>
      <c r="Q146" s="26">
        <v>5.0847457627118647E-2</v>
      </c>
      <c r="R146" s="26">
        <v>0.20338983050847459</v>
      </c>
      <c r="S146" s="26">
        <v>0.42372881355932218</v>
      </c>
      <c r="T146" s="26">
        <v>0.28813559322033899</v>
      </c>
      <c r="U146" s="26">
        <v>0.50847457627118653</v>
      </c>
      <c r="V146" s="26">
        <v>0.64406779661016944</v>
      </c>
      <c r="W146" s="27"/>
      <c r="X146" s="24" t="s">
        <v>585</v>
      </c>
      <c r="Y146" s="30" t="s">
        <v>323</v>
      </c>
      <c r="Z146" s="24" t="s">
        <v>344</v>
      </c>
      <c r="AA146" s="28" t="s">
        <v>620</v>
      </c>
      <c r="AB146" s="24" t="s">
        <v>585</v>
      </c>
      <c r="AC146" s="30" t="s">
        <v>323</v>
      </c>
      <c r="AD146" s="30" t="s">
        <v>344</v>
      </c>
      <c r="AE146" s="37">
        <v>43019</v>
      </c>
    </row>
    <row r="147" spans="1:31" ht="15.75" x14ac:dyDescent="0.25">
      <c r="A147" s="23" t="s">
        <v>871</v>
      </c>
      <c r="B147" s="24" t="s">
        <v>870</v>
      </c>
      <c r="C147" s="24" t="s">
        <v>869</v>
      </c>
      <c r="D147" s="24" t="s">
        <v>201</v>
      </c>
      <c r="E147" s="29">
        <v>30060</v>
      </c>
      <c r="F147" s="24" t="s">
        <v>202</v>
      </c>
      <c r="G147" s="24" t="s">
        <v>218</v>
      </c>
      <c r="H147" s="24" t="s">
        <v>192</v>
      </c>
      <c r="I147" s="25">
        <v>1.8974358974359</v>
      </c>
      <c r="J147" s="26">
        <v>0.11864406779661016</v>
      </c>
      <c r="K147" s="26">
        <v>0.1864406779661017</v>
      </c>
      <c r="L147" s="26">
        <v>0.7966101694915253</v>
      </c>
      <c r="M147" s="26">
        <v>0.22033898305084745</v>
      </c>
      <c r="N147" s="26">
        <v>0.8813559322033897</v>
      </c>
      <c r="O147" s="26">
        <v>0.28813559322033905</v>
      </c>
      <c r="P147" s="26">
        <v>0</v>
      </c>
      <c r="Q147" s="26">
        <v>0.15254237288135594</v>
      </c>
      <c r="R147" s="26">
        <v>0.47457627118644063</v>
      </c>
      <c r="S147" s="26">
        <v>0.16949152542372881</v>
      </c>
      <c r="T147" s="26">
        <v>0.23728813559322035</v>
      </c>
      <c r="U147" s="26">
        <v>0.44067796610169502</v>
      </c>
      <c r="V147" s="26">
        <v>0.50847457627118653</v>
      </c>
      <c r="W147" s="27"/>
      <c r="X147" s="24" t="s">
        <v>585</v>
      </c>
      <c r="Y147" s="30" t="s">
        <v>323</v>
      </c>
      <c r="Z147" s="24" t="s">
        <v>344</v>
      </c>
      <c r="AA147" s="28" t="s">
        <v>685</v>
      </c>
      <c r="AB147" s="24" t="s">
        <v>585</v>
      </c>
      <c r="AC147" s="30" t="s">
        <v>323</v>
      </c>
      <c r="AD147" s="30" t="s">
        <v>344</v>
      </c>
      <c r="AE147" s="37">
        <v>42993</v>
      </c>
    </row>
    <row r="148" spans="1:31" ht="15.75" x14ac:dyDescent="0.25">
      <c r="A148" s="23" t="s">
        <v>686</v>
      </c>
      <c r="B148" s="24" t="s">
        <v>687</v>
      </c>
      <c r="C148" s="24" t="s">
        <v>688</v>
      </c>
      <c r="D148" s="24" t="s">
        <v>339</v>
      </c>
      <c r="E148" s="29">
        <v>14757</v>
      </c>
      <c r="F148" s="24" t="s">
        <v>340</v>
      </c>
      <c r="G148" s="24" t="s">
        <v>218</v>
      </c>
      <c r="H148" s="24" t="s">
        <v>192</v>
      </c>
      <c r="I148" s="25">
        <v>347</v>
      </c>
      <c r="J148" s="26">
        <v>0</v>
      </c>
      <c r="K148" s="26">
        <v>0.5423728813559322</v>
      </c>
      <c r="L148" s="26">
        <v>0</v>
      </c>
      <c r="M148" s="26">
        <v>0.72881355932203384</v>
      </c>
      <c r="N148" s="26">
        <v>0</v>
      </c>
      <c r="O148" s="26">
        <v>0</v>
      </c>
      <c r="P148" s="26">
        <v>1.271186440677966</v>
      </c>
      <c r="Q148" s="26">
        <v>0</v>
      </c>
      <c r="R148" s="26">
        <v>1.271186440677966</v>
      </c>
      <c r="S148" s="26">
        <v>0</v>
      </c>
      <c r="T148" s="26">
        <v>0</v>
      </c>
      <c r="U148" s="26">
        <v>0</v>
      </c>
      <c r="V148" s="26">
        <v>1.271186440677966</v>
      </c>
      <c r="W148" s="27"/>
      <c r="X148" s="24" t="s">
        <v>585</v>
      </c>
      <c r="Y148" s="30" t="s">
        <v>323</v>
      </c>
      <c r="Z148" s="24" t="s">
        <v>344</v>
      </c>
      <c r="AA148" s="28" t="s">
        <v>689</v>
      </c>
      <c r="AB148" s="24" t="s">
        <v>585</v>
      </c>
      <c r="AC148" s="30" t="s">
        <v>323</v>
      </c>
      <c r="AD148" s="30" t="s">
        <v>344</v>
      </c>
      <c r="AE148" s="37">
        <v>42957</v>
      </c>
    </row>
    <row r="149" spans="1:31" ht="15.75" x14ac:dyDescent="0.25">
      <c r="A149" s="23" t="s">
        <v>868</v>
      </c>
      <c r="B149" s="24" t="s">
        <v>867</v>
      </c>
      <c r="C149" s="24" t="s">
        <v>249</v>
      </c>
      <c r="D149" s="24" t="s">
        <v>205</v>
      </c>
      <c r="E149" s="29">
        <v>78566</v>
      </c>
      <c r="F149" s="24" t="s">
        <v>206</v>
      </c>
      <c r="G149" s="24" t="s">
        <v>383</v>
      </c>
      <c r="H149" s="24" t="s">
        <v>192</v>
      </c>
      <c r="I149" s="25">
        <v>1.1818181818181801</v>
      </c>
      <c r="J149" s="26">
        <v>1.1355932203389822</v>
      </c>
      <c r="K149" s="26">
        <v>0</v>
      </c>
      <c r="L149" s="26">
        <v>0</v>
      </c>
      <c r="M149" s="26">
        <v>0</v>
      </c>
      <c r="N149" s="26">
        <v>0</v>
      </c>
      <c r="O149" s="26">
        <v>0.9322033898305081</v>
      </c>
      <c r="P149" s="26">
        <v>0</v>
      </c>
      <c r="Q149" s="26">
        <v>0.20338983050847459</v>
      </c>
      <c r="R149" s="26">
        <v>0</v>
      </c>
      <c r="S149" s="26">
        <v>0</v>
      </c>
      <c r="T149" s="26">
        <v>0</v>
      </c>
      <c r="U149" s="26">
        <v>1.1355932203389822</v>
      </c>
      <c r="V149" s="26">
        <v>0</v>
      </c>
      <c r="W149" s="27"/>
      <c r="X149" s="24" t="s">
        <v>220</v>
      </c>
      <c r="Y149" s="30"/>
      <c r="Z149" s="24"/>
      <c r="AA149" s="28"/>
      <c r="AB149" s="24" t="s">
        <v>220</v>
      </c>
      <c r="AC149" s="30"/>
      <c r="AD149" s="30"/>
      <c r="AE149" s="37"/>
    </row>
    <row r="150" spans="1:31" ht="15.75" x14ac:dyDescent="0.25">
      <c r="A150" s="23" t="s">
        <v>690</v>
      </c>
      <c r="B150" s="24" t="s">
        <v>691</v>
      </c>
      <c r="C150" s="24" t="s">
        <v>692</v>
      </c>
      <c r="D150" s="24" t="s">
        <v>672</v>
      </c>
      <c r="E150" s="29">
        <v>72086</v>
      </c>
      <c r="F150" s="24" t="s">
        <v>217</v>
      </c>
      <c r="G150" s="24" t="s">
        <v>218</v>
      </c>
      <c r="H150" s="24" t="s">
        <v>192</v>
      </c>
      <c r="I150" s="25">
        <v>2.6</v>
      </c>
      <c r="J150" s="26">
        <v>6.7796610169491525E-2</v>
      </c>
      <c r="K150" s="26">
        <v>0.40677966101694923</v>
      </c>
      <c r="L150" s="26">
        <v>0.55932203389830515</v>
      </c>
      <c r="M150" s="26">
        <v>8.4745762711864403E-2</v>
      </c>
      <c r="N150" s="26">
        <v>0.8813559322033897</v>
      </c>
      <c r="O150" s="26">
        <v>0.23728813559322035</v>
      </c>
      <c r="P150" s="26">
        <v>0</v>
      </c>
      <c r="Q150" s="26">
        <v>0</v>
      </c>
      <c r="R150" s="26">
        <v>0.30508474576271188</v>
      </c>
      <c r="S150" s="26">
        <v>0.28813559322033899</v>
      </c>
      <c r="T150" s="26">
        <v>0.28813559322033899</v>
      </c>
      <c r="U150" s="26">
        <v>0.23728813559322035</v>
      </c>
      <c r="V150" s="26">
        <v>0.81355932203389814</v>
      </c>
      <c r="W150" s="27"/>
      <c r="X150" s="24" t="s">
        <v>585</v>
      </c>
      <c r="Y150" s="30" t="s">
        <v>323</v>
      </c>
      <c r="Z150" s="24" t="s">
        <v>344</v>
      </c>
      <c r="AA150" s="28" t="s">
        <v>673</v>
      </c>
      <c r="AB150" s="24" t="s">
        <v>585</v>
      </c>
      <c r="AC150" s="30" t="s">
        <v>323</v>
      </c>
      <c r="AD150" s="30" t="s">
        <v>344</v>
      </c>
      <c r="AE150" s="37">
        <v>42976</v>
      </c>
    </row>
    <row r="151" spans="1:31" ht="15.75" x14ac:dyDescent="0.25">
      <c r="A151" s="23" t="s">
        <v>586</v>
      </c>
      <c r="B151" s="24" t="s">
        <v>587</v>
      </c>
      <c r="C151" s="24" t="s">
        <v>588</v>
      </c>
      <c r="D151" s="24" t="s">
        <v>589</v>
      </c>
      <c r="E151" s="29">
        <v>84321</v>
      </c>
      <c r="F151" s="24" t="s">
        <v>416</v>
      </c>
      <c r="G151" s="24" t="s">
        <v>274</v>
      </c>
      <c r="H151" s="24" t="s">
        <v>192</v>
      </c>
      <c r="I151" s="25">
        <v>3.4117647058823501</v>
      </c>
      <c r="J151" s="26">
        <v>3.3898305084745763E-2</v>
      </c>
      <c r="K151" s="26">
        <v>0.13559322033898305</v>
      </c>
      <c r="L151" s="26">
        <v>0.69491525423728806</v>
      </c>
      <c r="M151" s="26">
        <v>0.22033898305084745</v>
      </c>
      <c r="N151" s="26">
        <v>0.98305084745762716</v>
      </c>
      <c r="O151" s="26">
        <v>6.7796610169491525E-2</v>
      </c>
      <c r="P151" s="26">
        <v>0</v>
      </c>
      <c r="Q151" s="26">
        <v>3.3898305084745763E-2</v>
      </c>
      <c r="R151" s="26">
        <v>0.64406779661016955</v>
      </c>
      <c r="S151" s="26">
        <v>0.22033898305084745</v>
      </c>
      <c r="T151" s="26">
        <v>0.11864406779661016</v>
      </c>
      <c r="U151" s="26">
        <v>0.10169491525423728</v>
      </c>
      <c r="V151" s="26">
        <v>0.93220338983050832</v>
      </c>
      <c r="W151" s="27"/>
      <c r="X151" s="24" t="s">
        <v>193</v>
      </c>
      <c r="Y151" s="30" t="s">
        <v>323</v>
      </c>
      <c r="Z151" s="24" t="s">
        <v>344</v>
      </c>
      <c r="AA151" s="28" t="s">
        <v>590</v>
      </c>
      <c r="AB151" s="24" t="s">
        <v>193</v>
      </c>
      <c r="AC151" s="30" t="s">
        <v>323</v>
      </c>
      <c r="AD151" s="30" t="s">
        <v>525</v>
      </c>
      <c r="AE151" s="37">
        <v>42810</v>
      </c>
    </row>
    <row r="152" spans="1:31" ht="15.75" x14ac:dyDescent="0.25">
      <c r="A152" s="23" t="s">
        <v>654</v>
      </c>
      <c r="B152" s="24" t="s">
        <v>655</v>
      </c>
      <c r="C152" s="24" t="s">
        <v>656</v>
      </c>
      <c r="D152" s="24" t="s">
        <v>516</v>
      </c>
      <c r="E152" s="29">
        <v>51501</v>
      </c>
      <c r="F152" s="24" t="s">
        <v>374</v>
      </c>
      <c r="G152" s="24" t="s">
        <v>274</v>
      </c>
      <c r="H152" s="24" t="s">
        <v>192</v>
      </c>
      <c r="I152" s="25">
        <v>3</v>
      </c>
      <c r="J152" s="26">
        <v>0</v>
      </c>
      <c r="K152" s="26">
        <v>5.0847457627118647E-2</v>
      </c>
      <c r="L152" s="26">
        <v>0.9152542372881356</v>
      </c>
      <c r="M152" s="26">
        <v>8.4745762711864403E-2</v>
      </c>
      <c r="N152" s="26">
        <v>0.9152542372881356</v>
      </c>
      <c r="O152" s="26">
        <v>0.13559322033898305</v>
      </c>
      <c r="P152" s="26">
        <v>0</v>
      </c>
      <c r="Q152" s="26">
        <v>0</v>
      </c>
      <c r="R152" s="26">
        <v>0</v>
      </c>
      <c r="S152" s="26">
        <v>8.4745762711864403E-2</v>
      </c>
      <c r="T152" s="26">
        <v>0.83050847457627119</v>
      </c>
      <c r="U152" s="26">
        <v>0.13559322033898305</v>
      </c>
      <c r="V152" s="26">
        <v>0.22033898305084748</v>
      </c>
      <c r="W152" s="27"/>
      <c r="X152" s="24" t="s">
        <v>193</v>
      </c>
      <c r="Y152" s="30" t="s">
        <v>323</v>
      </c>
      <c r="Z152" s="24" t="s">
        <v>344</v>
      </c>
      <c r="AA152" s="28" t="s">
        <v>657</v>
      </c>
      <c r="AB152" s="24" t="s">
        <v>193</v>
      </c>
      <c r="AC152" s="30" t="s">
        <v>323</v>
      </c>
      <c r="AD152" s="30" t="s">
        <v>344</v>
      </c>
      <c r="AE152" s="37">
        <v>42838</v>
      </c>
    </row>
    <row r="153" spans="1:31" ht="15.75" x14ac:dyDescent="0.25">
      <c r="A153" s="23" t="s">
        <v>866</v>
      </c>
      <c r="B153" s="24" t="s">
        <v>865</v>
      </c>
      <c r="C153" s="24" t="s">
        <v>864</v>
      </c>
      <c r="D153" s="24" t="s">
        <v>205</v>
      </c>
      <c r="E153" s="29">
        <v>79401</v>
      </c>
      <c r="F153" s="24" t="s">
        <v>296</v>
      </c>
      <c r="G153" s="24" t="s">
        <v>274</v>
      </c>
      <c r="H153" s="24" t="s">
        <v>192</v>
      </c>
      <c r="I153" s="25">
        <v>1.51351351351351</v>
      </c>
      <c r="J153" s="26">
        <v>0.22033898305084745</v>
      </c>
      <c r="K153" s="26">
        <v>0.3898305084745764</v>
      </c>
      <c r="L153" s="26">
        <v>0.30508474576271183</v>
      </c>
      <c r="M153" s="26">
        <v>0.10169491525423729</v>
      </c>
      <c r="N153" s="26">
        <v>0.49152542372881369</v>
      </c>
      <c r="O153" s="26">
        <v>0.50847457627118664</v>
      </c>
      <c r="P153" s="26">
        <v>0</v>
      </c>
      <c r="Q153" s="26">
        <v>1.6949152542372881E-2</v>
      </c>
      <c r="R153" s="26">
        <v>0.20338983050847459</v>
      </c>
      <c r="S153" s="26">
        <v>0.15254237288135594</v>
      </c>
      <c r="T153" s="26">
        <v>0.11864406779661016</v>
      </c>
      <c r="U153" s="26">
        <v>0.5423728813559322</v>
      </c>
      <c r="V153" s="26">
        <v>0.40677966101694918</v>
      </c>
      <c r="W153" s="27"/>
      <c r="X153" s="24" t="s">
        <v>585</v>
      </c>
      <c r="Y153" s="30" t="s">
        <v>323</v>
      </c>
      <c r="Z153" s="24" t="s">
        <v>344</v>
      </c>
      <c r="AA153" s="28" t="s">
        <v>617</v>
      </c>
      <c r="AB153" s="24" t="s">
        <v>585</v>
      </c>
      <c r="AC153" s="30" t="s">
        <v>323</v>
      </c>
      <c r="AD153" s="30" t="s">
        <v>344</v>
      </c>
      <c r="AE153" s="37">
        <v>42580</v>
      </c>
    </row>
    <row r="154" spans="1:31" ht="15.75" x14ac:dyDescent="0.25">
      <c r="A154" s="23" t="s">
        <v>701</v>
      </c>
      <c r="B154" s="24" t="s">
        <v>702</v>
      </c>
      <c r="C154" s="24" t="s">
        <v>424</v>
      </c>
      <c r="D154" s="24" t="s">
        <v>205</v>
      </c>
      <c r="E154" s="29">
        <v>78118</v>
      </c>
      <c r="F154" s="24" t="s">
        <v>206</v>
      </c>
      <c r="G154" s="24" t="s">
        <v>274</v>
      </c>
      <c r="H154" s="24" t="s">
        <v>192</v>
      </c>
      <c r="I154" s="25">
        <v>25.96</v>
      </c>
      <c r="J154" s="26">
        <v>0</v>
      </c>
      <c r="K154" s="26">
        <v>0</v>
      </c>
      <c r="L154" s="26">
        <v>1</v>
      </c>
      <c r="M154" s="26">
        <v>0</v>
      </c>
      <c r="N154" s="26">
        <v>1</v>
      </c>
      <c r="O154" s="26">
        <v>0</v>
      </c>
      <c r="P154" s="26">
        <v>0</v>
      </c>
      <c r="Q154" s="26">
        <v>0</v>
      </c>
      <c r="R154" s="26">
        <v>0</v>
      </c>
      <c r="S154" s="26">
        <v>0</v>
      </c>
      <c r="T154" s="26">
        <v>1</v>
      </c>
      <c r="U154" s="26">
        <v>0</v>
      </c>
      <c r="V154" s="26">
        <v>1</v>
      </c>
      <c r="W154" s="27"/>
      <c r="X154" s="24" t="s">
        <v>193</v>
      </c>
      <c r="Y154" s="30" t="s">
        <v>323</v>
      </c>
      <c r="Z154" s="24" t="s">
        <v>344</v>
      </c>
      <c r="AA154" s="28" t="s">
        <v>703</v>
      </c>
      <c r="AB154" s="24" t="s">
        <v>193</v>
      </c>
      <c r="AC154" s="30" t="s">
        <v>323</v>
      </c>
      <c r="AD154" s="30" t="s">
        <v>344</v>
      </c>
      <c r="AE154" s="37">
        <v>42446</v>
      </c>
    </row>
    <row r="155" spans="1:31" ht="15.75" x14ac:dyDescent="0.25">
      <c r="A155" s="23" t="s">
        <v>863</v>
      </c>
      <c r="B155" s="24" t="s">
        <v>862</v>
      </c>
      <c r="C155" s="24" t="s">
        <v>861</v>
      </c>
      <c r="D155" s="24" t="s">
        <v>650</v>
      </c>
      <c r="E155" s="29">
        <v>83647</v>
      </c>
      <c r="F155" s="24" t="s">
        <v>416</v>
      </c>
      <c r="G155" s="24" t="s">
        <v>274</v>
      </c>
      <c r="H155" s="24" t="s">
        <v>192</v>
      </c>
      <c r="I155" s="25">
        <v>111.75</v>
      </c>
      <c r="J155" s="26">
        <v>3.3898305084745763E-2</v>
      </c>
      <c r="K155" s="26">
        <v>0.11864406779661017</v>
      </c>
      <c r="L155" s="26">
        <v>0.2711864406779661</v>
      </c>
      <c r="M155" s="26">
        <v>0.5423728813559322</v>
      </c>
      <c r="N155" s="26">
        <v>0.93220338983050843</v>
      </c>
      <c r="O155" s="26">
        <v>1.6949152542372881E-2</v>
      </c>
      <c r="P155" s="26">
        <v>1.6949152542372881E-2</v>
      </c>
      <c r="Q155" s="26">
        <v>0</v>
      </c>
      <c r="R155" s="26">
        <v>0.44067796610169502</v>
      </c>
      <c r="S155" s="26">
        <v>0.32203389830508478</v>
      </c>
      <c r="T155" s="26">
        <v>0.1864406779661017</v>
      </c>
      <c r="U155" s="26">
        <v>1.6949152542372881E-2</v>
      </c>
      <c r="V155" s="26">
        <v>0.59322033898305082</v>
      </c>
      <c r="W155" s="27"/>
      <c r="X155" s="24" t="s">
        <v>585</v>
      </c>
      <c r="Y155" s="30" t="s">
        <v>323</v>
      </c>
      <c r="Z155" s="24" t="s">
        <v>344</v>
      </c>
      <c r="AA155" s="28" t="s">
        <v>651</v>
      </c>
      <c r="AB155" s="24" t="s">
        <v>585</v>
      </c>
      <c r="AC155" s="30" t="s">
        <v>323</v>
      </c>
      <c r="AD155" s="30" t="s">
        <v>344</v>
      </c>
      <c r="AE155" s="37">
        <v>42983</v>
      </c>
    </row>
    <row r="156" spans="1:31" ht="15.75" x14ac:dyDescent="0.25">
      <c r="A156" s="23" t="s">
        <v>677</v>
      </c>
      <c r="B156" s="24" t="s">
        <v>678</v>
      </c>
      <c r="C156" s="24" t="s">
        <v>679</v>
      </c>
      <c r="D156" s="24" t="s">
        <v>459</v>
      </c>
      <c r="E156" s="29">
        <v>40510</v>
      </c>
      <c r="F156" s="24" t="s">
        <v>40</v>
      </c>
      <c r="G156" s="24" t="s">
        <v>274</v>
      </c>
      <c r="H156" s="24" t="s">
        <v>192</v>
      </c>
      <c r="I156" s="25">
        <v>1.8007518796992501</v>
      </c>
      <c r="J156" s="26">
        <v>0.1864406779661017</v>
      </c>
      <c r="K156" s="26">
        <v>0.1864406779661017</v>
      </c>
      <c r="L156" s="26">
        <v>0.25423728813559321</v>
      </c>
      <c r="M156" s="26">
        <v>0.33898305084745767</v>
      </c>
      <c r="N156" s="26">
        <v>0.76271186440677952</v>
      </c>
      <c r="O156" s="26">
        <v>0.16949152542372881</v>
      </c>
      <c r="P156" s="26">
        <v>3.3898305084745763E-2</v>
      </c>
      <c r="Q156" s="26">
        <v>0</v>
      </c>
      <c r="R156" s="26">
        <v>0.38983050847457634</v>
      </c>
      <c r="S156" s="26">
        <v>0.23728813559322035</v>
      </c>
      <c r="T156" s="26">
        <v>0.16949152542372881</v>
      </c>
      <c r="U156" s="26">
        <v>0.16949152542372881</v>
      </c>
      <c r="V156" s="26">
        <v>0.52542372881355937</v>
      </c>
      <c r="W156" s="27"/>
      <c r="X156" s="24" t="s">
        <v>585</v>
      </c>
      <c r="Y156" s="30" t="s">
        <v>323</v>
      </c>
      <c r="Z156" s="24" t="s">
        <v>344</v>
      </c>
      <c r="AA156" s="28" t="s">
        <v>680</v>
      </c>
      <c r="AB156" s="24" t="s">
        <v>585</v>
      </c>
      <c r="AC156" s="30" t="s">
        <v>323</v>
      </c>
      <c r="AD156" s="30" t="s">
        <v>344</v>
      </c>
      <c r="AE156" s="37">
        <v>42983</v>
      </c>
    </row>
    <row r="157" spans="1:31" ht="15.75" x14ac:dyDescent="0.25">
      <c r="A157" s="23" t="s">
        <v>666</v>
      </c>
      <c r="B157" s="24" t="s">
        <v>667</v>
      </c>
      <c r="C157" s="24" t="s">
        <v>668</v>
      </c>
      <c r="D157" s="24" t="s">
        <v>663</v>
      </c>
      <c r="E157" s="29">
        <v>38049</v>
      </c>
      <c r="F157" s="24" t="s">
        <v>217</v>
      </c>
      <c r="G157" s="24" t="s">
        <v>274</v>
      </c>
      <c r="H157" s="24" t="s">
        <v>192</v>
      </c>
      <c r="I157" s="25">
        <v>1.5230263157894699</v>
      </c>
      <c r="J157" s="26">
        <v>1.6949152542372881E-2</v>
      </c>
      <c r="K157" s="26">
        <v>0.40677966101694929</v>
      </c>
      <c r="L157" s="26">
        <v>0.52542372881355937</v>
      </c>
      <c r="M157" s="26">
        <v>0</v>
      </c>
      <c r="N157" s="26">
        <v>0.67796610169491534</v>
      </c>
      <c r="O157" s="26">
        <v>0.2711864406779661</v>
      </c>
      <c r="P157" s="26">
        <v>0</v>
      </c>
      <c r="Q157" s="26">
        <v>0</v>
      </c>
      <c r="R157" s="26">
        <v>0.37288135593220345</v>
      </c>
      <c r="S157" s="26">
        <v>8.4745762711864403E-2</v>
      </c>
      <c r="T157" s="26">
        <v>0.15254237288135594</v>
      </c>
      <c r="U157" s="26">
        <v>0.33898305084745772</v>
      </c>
      <c r="V157" s="26">
        <v>0.42372881355932213</v>
      </c>
      <c r="W157" s="27"/>
      <c r="X157" s="24" t="s">
        <v>193</v>
      </c>
      <c r="Y157" s="30" t="s">
        <v>275</v>
      </c>
      <c r="Z157" s="24" t="s">
        <v>195</v>
      </c>
      <c r="AA157" s="28" t="s">
        <v>293</v>
      </c>
      <c r="AB157" s="24" t="s">
        <v>193</v>
      </c>
      <c r="AC157" s="30" t="s">
        <v>275</v>
      </c>
      <c r="AD157" s="30" t="s">
        <v>195</v>
      </c>
      <c r="AE157" s="37">
        <v>43482</v>
      </c>
    </row>
    <row r="158" spans="1:31" ht="15.75" x14ac:dyDescent="0.25">
      <c r="A158" s="23" t="s">
        <v>860</v>
      </c>
      <c r="B158" s="24" t="s">
        <v>859</v>
      </c>
      <c r="C158" s="24" t="s">
        <v>858</v>
      </c>
      <c r="D158" s="24" t="s">
        <v>373</v>
      </c>
      <c r="E158" s="29">
        <v>56187</v>
      </c>
      <c r="F158" s="24" t="s">
        <v>374</v>
      </c>
      <c r="G158" s="24" t="s">
        <v>218</v>
      </c>
      <c r="H158" s="24" t="s">
        <v>192</v>
      </c>
      <c r="I158" s="25">
        <v>1.2195845697329399</v>
      </c>
      <c r="J158" s="26">
        <v>0</v>
      </c>
      <c r="K158" s="26">
        <v>0.5423728813559322</v>
      </c>
      <c r="L158" s="26">
        <v>0.3559322033898305</v>
      </c>
      <c r="M158" s="26">
        <v>0</v>
      </c>
      <c r="N158" s="26">
        <v>0.3559322033898305</v>
      </c>
      <c r="O158" s="26">
        <v>0.5423728813559322</v>
      </c>
      <c r="P158" s="26">
        <v>0</v>
      </c>
      <c r="Q158" s="26">
        <v>0</v>
      </c>
      <c r="R158" s="26">
        <v>0</v>
      </c>
      <c r="S158" s="26">
        <v>0.11864406779661017</v>
      </c>
      <c r="T158" s="26">
        <v>0.23728813559322035</v>
      </c>
      <c r="U158" s="26">
        <v>0.5423728813559322</v>
      </c>
      <c r="V158" s="26">
        <v>0.64406779661016955</v>
      </c>
      <c r="W158" s="27"/>
      <c r="X158" s="24" t="s">
        <v>193</v>
      </c>
      <c r="Y158" s="30" t="s">
        <v>323</v>
      </c>
      <c r="Z158" s="24" t="s">
        <v>344</v>
      </c>
      <c r="AA158" s="28" t="s">
        <v>601</v>
      </c>
      <c r="AB158" s="24" t="s">
        <v>585</v>
      </c>
      <c r="AC158" s="30" t="s">
        <v>323</v>
      </c>
      <c r="AD158" s="30" t="s">
        <v>344</v>
      </c>
      <c r="AE158" s="37">
        <v>42999</v>
      </c>
    </row>
    <row r="159" spans="1:31" ht="15.75" x14ac:dyDescent="0.25">
      <c r="A159" s="23" t="s">
        <v>47</v>
      </c>
      <c r="B159" s="24" t="s">
        <v>652</v>
      </c>
      <c r="C159" s="24" t="s">
        <v>653</v>
      </c>
      <c r="D159" s="24" t="s">
        <v>650</v>
      </c>
      <c r="E159" s="29">
        <v>83442</v>
      </c>
      <c r="F159" s="24" t="s">
        <v>416</v>
      </c>
      <c r="G159" s="24" t="s">
        <v>218</v>
      </c>
      <c r="H159" s="24" t="s">
        <v>192</v>
      </c>
      <c r="I159" s="25">
        <v>74.056277056277096</v>
      </c>
      <c r="J159" s="26">
        <v>0.15254237288135591</v>
      </c>
      <c r="K159" s="26">
        <v>0.10169491525423729</v>
      </c>
      <c r="L159" s="26">
        <v>1.6949152542372881E-2</v>
      </c>
      <c r="M159" s="26">
        <v>0.61016949152542377</v>
      </c>
      <c r="N159" s="26">
        <v>0.59322033898305082</v>
      </c>
      <c r="O159" s="26">
        <v>3.3898305084745763E-2</v>
      </c>
      <c r="P159" s="26">
        <v>0.1864406779661017</v>
      </c>
      <c r="Q159" s="26">
        <v>6.7796610169491525E-2</v>
      </c>
      <c r="R159" s="26">
        <v>0.38983050847457629</v>
      </c>
      <c r="S159" s="26">
        <v>0.30508474576271188</v>
      </c>
      <c r="T159" s="26">
        <v>8.4745762711864403E-2</v>
      </c>
      <c r="U159" s="26">
        <v>0.10169491525423729</v>
      </c>
      <c r="V159" s="26">
        <v>0.47457627118644069</v>
      </c>
      <c r="W159" s="27"/>
      <c r="X159" s="24" t="s">
        <v>585</v>
      </c>
      <c r="Y159" s="30" t="s">
        <v>323</v>
      </c>
      <c r="Z159" s="24" t="s">
        <v>344</v>
      </c>
      <c r="AA159" s="28" t="s">
        <v>651</v>
      </c>
      <c r="AB159" s="24" t="s">
        <v>585</v>
      </c>
      <c r="AC159" s="30" t="s">
        <v>323</v>
      </c>
      <c r="AD159" s="30" t="s">
        <v>344</v>
      </c>
      <c r="AE159" s="37">
        <v>42983</v>
      </c>
    </row>
    <row r="160" spans="1:31" ht="15.75" x14ac:dyDescent="0.25">
      <c r="A160" s="23" t="s">
        <v>605</v>
      </c>
      <c r="B160" s="24" t="s">
        <v>606</v>
      </c>
      <c r="C160" s="24" t="s">
        <v>607</v>
      </c>
      <c r="D160" s="24" t="s">
        <v>50</v>
      </c>
      <c r="E160" s="29">
        <v>35968</v>
      </c>
      <c r="F160" s="24" t="s">
        <v>217</v>
      </c>
      <c r="G160" s="24" t="s">
        <v>274</v>
      </c>
      <c r="H160" s="24" t="s">
        <v>192</v>
      </c>
      <c r="I160" s="25">
        <v>2.01630434782609</v>
      </c>
      <c r="J160" s="26">
        <v>0.10169491525423729</v>
      </c>
      <c r="K160" s="26">
        <v>0.42372881355932207</v>
      </c>
      <c r="L160" s="26">
        <v>0.30508474576271183</v>
      </c>
      <c r="M160" s="26">
        <v>0</v>
      </c>
      <c r="N160" s="26">
        <v>0</v>
      </c>
      <c r="O160" s="26">
        <v>0</v>
      </c>
      <c r="P160" s="26">
        <v>0.33898305084745767</v>
      </c>
      <c r="Q160" s="26">
        <v>0.49152542372881364</v>
      </c>
      <c r="R160" s="26">
        <v>0.15254237288135591</v>
      </c>
      <c r="S160" s="26">
        <v>0</v>
      </c>
      <c r="T160" s="26">
        <v>0.1864406779661017</v>
      </c>
      <c r="U160" s="26">
        <v>0.49152542372881364</v>
      </c>
      <c r="V160" s="26">
        <v>0.49152542372881358</v>
      </c>
      <c r="W160" s="27"/>
      <c r="X160" s="24" t="s">
        <v>193</v>
      </c>
      <c r="Y160" s="30" t="s">
        <v>323</v>
      </c>
      <c r="Z160" s="24" t="s">
        <v>197</v>
      </c>
      <c r="AA160" s="28" t="s">
        <v>251</v>
      </c>
      <c r="AB160" s="24" t="s">
        <v>193</v>
      </c>
      <c r="AC160" s="30" t="s">
        <v>323</v>
      </c>
      <c r="AD160" s="30" t="s">
        <v>344</v>
      </c>
      <c r="AE160" s="37">
        <v>42741</v>
      </c>
    </row>
    <row r="161" spans="1:31" ht="15.75" x14ac:dyDescent="0.25">
      <c r="A161" s="23" t="s">
        <v>669</v>
      </c>
      <c r="B161" s="24" t="s">
        <v>670</v>
      </c>
      <c r="C161" s="24" t="s">
        <v>671</v>
      </c>
      <c r="D161" s="24" t="s">
        <v>672</v>
      </c>
      <c r="E161" s="29">
        <v>72701</v>
      </c>
      <c r="F161" s="24" t="s">
        <v>217</v>
      </c>
      <c r="G161" s="24" t="s">
        <v>274</v>
      </c>
      <c r="H161" s="24" t="s">
        <v>192</v>
      </c>
      <c r="I161" s="25">
        <v>4.1086956521739104</v>
      </c>
      <c r="J161" s="26">
        <v>5.0847457627118647E-2</v>
      </c>
      <c r="K161" s="26">
        <v>0.1864406779661017</v>
      </c>
      <c r="L161" s="26">
        <v>0.47457627118644063</v>
      </c>
      <c r="M161" s="26">
        <v>0</v>
      </c>
      <c r="N161" s="26">
        <v>0.47457627118644069</v>
      </c>
      <c r="O161" s="26">
        <v>0.15254237288135594</v>
      </c>
      <c r="P161" s="26">
        <v>8.4745762711864403E-2</v>
      </c>
      <c r="Q161" s="26">
        <v>0</v>
      </c>
      <c r="R161" s="26">
        <v>0.22033898305084748</v>
      </c>
      <c r="S161" s="26">
        <v>0.15254237288135594</v>
      </c>
      <c r="T161" s="26">
        <v>0.1864406779661017</v>
      </c>
      <c r="U161" s="26">
        <v>0.15254237288135594</v>
      </c>
      <c r="V161" s="26">
        <v>0.5423728813559322</v>
      </c>
      <c r="W161" s="27"/>
      <c r="X161" s="24" t="s">
        <v>585</v>
      </c>
      <c r="Y161" s="30" t="s">
        <v>323</v>
      </c>
      <c r="Z161" s="24" t="s">
        <v>344</v>
      </c>
      <c r="AA161" s="28" t="s">
        <v>673</v>
      </c>
      <c r="AB161" s="24" t="s">
        <v>193</v>
      </c>
      <c r="AC161" s="30" t="s">
        <v>323</v>
      </c>
      <c r="AD161" s="30" t="s">
        <v>324</v>
      </c>
      <c r="AE161" s="37">
        <v>40043</v>
      </c>
    </row>
    <row r="162" spans="1:31" ht="15.75" x14ac:dyDescent="0.25">
      <c r="A162" s="23" t="s">
        <v>857</v>
      </c>
      <c r="B162" s="24" t="s">
        <v>856</v>
      </c>
      <c r="C162" s="24" t="s">
        <v>855</v>
      </c>
      <c r="D162" s="24" t="s">
        <v>542</v>
      </c>
      <c r="E162" s="29">
        <v>46802</v>
      </c>
      <c r="F162" s="24" t="s">
        <v>40</v>
      </c>
      <c r="G162" s="24" t="s">
        <v>274</v>
      </c>
      <c r="H162" s="24" t="s">
        <v>192</v>
      </c>
      <c r="I162" s="25">
        <v>1.71980676328502</v>
      </c>
      <c r="J162" s="26">
        <v>0.10169491525423728</v>
      </c>
      <c r="K162" s="26">
        <v>0.25423728813559321</v>
      </c>
      <c r="L162" s="26">
        <v>0.16949152542372881</v>
      </c>
      <c r="M162" s="26">
        <v>0.13559322033898305</v>
      </c>
      <c r="N162" s="26">
        <v>0.25423728813559321</v>
      </c>
      <c r="O162" s="26">
        <v>0.37288135593220334</v>
      </c>
      <c r="P162" s="26">
        <v>3.3898305084745763E-2</v>
      </c>
      <c r="Q162" s="26">
        <v>0</v>
      </c>
      <c r="R162" s="26">
        <v>5.0847457627118647E-2</v>
      </c>
      <c r="S162" s="26">
        <v>0.13559322033898305</v>
      </c>
      <c r="T162" s="26">
        <v>0.10169491525423728</v>
      </c>
      <c r="U162" s="26">
        <v>0.37288135593220334</v>
      </c>
      <c r="V162" s="26">
        <v>0.13559322033898305</v>
      </c>
      <c r="W162" s="27"/>
      <c r="X162" s="24" t="s">
        <v>220</v>
      </c>
      <c r="Y162" s="30"/>
      <c r="Z162" s="24"/>
      <c r="AA162" s="28"/>
      <c r="AB162" s="24" t="s">
        <v>220</v>
      </c>
      <c r="AC162" s="30"/>
      <c r="AD162" s="30"/>
      <c r="AE162" s="37"/>
    </row>
    <row r="163" spans="1:31" ht="15.75" x14ac:dyDescent="0.25">
      <c r="A163" s="23" t="s">
        <v>854</v>
      </c>
      <c r="B163" s="24" t="s">
        <v>853</v>
      </c>
      <c r="C163" s="24" t="s">
        <v>852</v>
      </c>
      <c r="D163" s="24" t="s">
        <v>697</v>
      </c>
      <c r="E163" s="29">
        <v>57078</v>
      </c>
      <c r="F163" s="24" t="s">
        <v>374</v>
      </c>
      <c r="G163" s="24" t="s">
        <v>274</v>
      </c>
      <c r="H163" s="24" t="s">
        <v>192</v>
      </c>
      <c r="I163" s="25">
        <v>2.4583333333333299</v>
      </c>
      <c r="J163" s="26">
        <v>0</v>
      </c>
      <c r="K163" s="26">
        <v>3.3898305084745763E-2</v>
      </c>
      <c r="L163" s="26">
        <v>0.2711864406779661</v>
      </c>
      <c r="M163" s="26">
        <v>0.33898305084745761</v>
      </c>
      <c r="N163" s="26">
        <v>0.49152542372881358</v>
      </c>
      <c r="O163" s="26">
        <v>0.15254237288135591</v>
      </c>
      <c r="P163" s="26">
        <v>0</v>
      </c>
      <c r="Q163" s="26">
        <v>0</v>
      </c>
      <c r="R163" s="26">
        <v>0.10169491525423729</v>
      </c>
      <c r="S163" s="26">
        <v>0.11864406779661017</v>
      </c>
      <c r="T163" s="26">
        <v>0.27118644067796616</v>
      </c>
      <c r="U163" s="26">
        <v>0.15254237288135591</v>
      </c>
      <c r="V163" s="26">
        <v>0.40677966101694918</v>
      </c>
      <c r="W163" s="27"/>
      <c r="X163" s="24" t="s">
        <v>585</v>
      </c>
      <c r="Y163" s="30" t="s">
        <v>323</v>
      </c>
      <c r="Z163" s="24" t="s">
        <v>344</v>
      </c>
      <c r="AA163" s="28" t="s">
        <v>684</v>
      </c>
      <c r="AB163" s="24" t="s">
        <v>585</v>
      </c>
      <c r="AC163" s="30" t="s">
        <v>323</v>
      </c>
      <c r="AD163" s="30" t="s">
        <v>344</v>
      </c>
      <c r="AE163" s="37">
        <v>42999</v>
      </c>
    </row>
    <row r="164" spans="1:31" ht="15.75" x14ac:dyDescent="0.25">
      <c r="A164" s="23" t="s">
        <v>851</v>
      </c>
      <c r="B164" s="24" t="s">
        <v>850</v>
      </c>
      <c r="C164" s="24" t="s">
        <v>849</v>
      </c>
      <c r="D164" s="24" t="s">
        <v>697</v>
      </c>
      <c r="E164" s="29">
        <v>57701</v>
      </c>
      <c r="F164" s="24" t="s">
        <v>374</v>
      </c>
      <c r="G164" s="24" t="s">
        <v>274</v>
      </c>
      <c r="H164" s="24" t="s">
        <v>192</v>
      </c>
      <c r="I164" s="25">
        <v>2.5206611570247901</v>
      </c>
      <c r="J164" s="26">
        <v>0</v>
      </c>
      <c r="K164" s="26">
        <v>0</v>
      </c>
      <c r="L164" s="26">
        <v>0.42372881355932202</v>
      </c>
      <c r="M164" s="26">
        <v>0.1864406779661017</v>
      </c>
      <c r="N164" s="26">
        <v>0.59322033898305082</v>
      </c>
      <c r="O164" s="26">
        <v>1.6949152542372881E-2</v>
      </c>
      <c r="P164" s="26">
        <v>0</v>
      </c>
      <c r="Q164" s="26">
        <v>0</v>
      </c>
      <c r="R164" s="26">
        <v>0.40677966101694912</v>
      </c>
      <c r="S164" s="26">
        <v>0.1864406779661017</v>
      </c>
      <c r="T164" s="26">
        <v>0</v>
      </c>
      <c r="U164" s="26">
        <v>1.6949152542372881E-2</v>
      </c>
      <c r="V164" s="26">
        <v>0.57627118644067798</v>
      </c>
      <c r="W164" s="27"/>
      <c r="X164" s="24" t="s">
        <v>585</v>
      </c>
      <c r="Y164" s="30" t="s">
        <v>323</v>
      </c>
      <c r="Z164" s="24" t="s">
        <v>344</v>
      </c>
      <c r="AA164" s="28" t="s">
        <v>684</v>
      </c>
      <c r="AB164" s="24" t="s">
        <v>585</v>
      </c>
      <c r="AC164" s="30" t="s">
        <v>323</v>
      </c>
      <c r="AD164" s="30" t="s">
        <v>344</v>
      </c>
      <c r="AE164" s="37">
        <v>42999</v>
      </c>
    </row>
    <row r="165" spans="1:31" ht="15.75" x14ac:dyDescent="0.25">
      <c r="A165" s="23" t="s">
        <v>576</v>
      </c>
      <c r="B165" s="24" t="s">
        <v>577</v>
      </c>
      <c r="C165" s="24" t="s">
        <v>578</v>
      </c>
      <c r="D165" s="24" t="s">
        <v>189</v>
      </c>
      <c r="E165" s="29">
        <v>92173</v>
      </c>
      <c r="F165" s="24" t="s">
        <v>238</v>
      </c>
      <c r="G165" s="24" t="s">
        <v>0</v>
      </c>
      <c r="H165" s="24" t="s">
        <v>192</v>
      </c>
      <c r="I165" s="25">
        <v>1.6490384615384599</v>
      </c>
      <c r="J165" s="26">
        <v>0.42372881355932202</v>
      </c>
      <c r="K165" s="26">
        <v>0</v>
      </c>
      <c r="L165" s="26">
        <v>6.7796610169491525E-2</v>
      </c>
      <c r="M165" s="26">
        <v>3.3898305084745763E-2</v>
      </c>
      <c r="N165" s="26">
        <v>6.7796610169491525E-2</v>
      </c>
      <c r="O165" s="26">
        <v>0.30508474576271194</v>
      </c>
      <c r="P165" s="26">
        <v>0</v>
      </c>
      <c r="Q165" s="26">
        <v>0.15254237288135594</v>
      </c>
      <c r="R165" s="26">
        <v>3.3898305084745763E-2</v>
      </c>
      <c r="S165" s="26">
        <v>3.3898305084745763E-2</v>
      </c>
      <c r="T165" s="26">
        <v>0</v>
      </c>
      <c r="U165" s="26">
        <v>0.4576271186440678</v>
      </c>
      <c r="V165" s="26">
        <v>0.52542372881355937</v>
      </c>
      <c r="W165" s="27"/>
      <c r="X165" s="24" t="s">
        <v>220</v>
      </c>
      <c r="Y165" s="30"/>
      <c r="Z165" s="24"/>
      <c r="AA165" s="28"/>
      <c r="AB165" s="24" t="s">
        <v>220</v>
      </c>
      <c r="AC165" s="30"/>
      <c r="AD165" s="30"/>
      <c r="AE165" s="37"/>
    </row>
    <row r="166" spans="1:31" ht="15.75" x14ac:dyDescent="0.25">
      <c r="A166" s="23" t="s">
        <v>848</v>
      </c>
      <c r="B166" s="24" t="s">
        <v>847</v>
      </c>
      <c r="C166" s="24" t="s">
        <v>846</v>
      </c>
      <c r="D166" s="24" t="s">
        <v>205</v>
      </c>
      <c r="E166" s="29">
        <v>79851</v>
      </c>
      <c r="F166" s="24" t="s">
        <v>256</v>
      </c>
      <c r="G166" s="24" t="s">
        <v>274</v>
      </c>
      <c r="H166" s="24" t="s">
        <v>192</v>
      </c>
      <c r="I166" s="25">
        <v>1.2992424242424201</v>
      </c>
      <c r="J166" s="26">
        <v>0.52542372881355937</v>
      </c>
      <c r="K166" s="26">
        <v>0</v>
      </c>
      <c r="L166" s="26">
        <v>0</v>
      </c>
      <c r="M166" s="26">
        <v>0</v>
      </c>
      <c r="N166" s="26">
        <v>0.15254237288135594</v>
      </c>
      <c r="O166" s="26">
        <v>0</v>
      </c>
      <c r="P166" s="26">
        <v>0.3728813559322034</v>
      </c>
      <c r="Q166" s="26">
        <v>0</v>
      </c>
      <c r="R166" s="26">
        <v>0</v>
      </c>
      <c r="S166" s="26">
        <v>0.32203389830508478</v>
      </c>
      <c r="T166" s="26">
        <v>0.20338983050847459</v>
      </c>
      <c r="U166" s="26">
        <v>0</v>
      </c>
      <c r="V166" s="26">
        <v>0.52542372881355937</v>
      </c>
      <c r="W166" s="27"/>
      <c r="X166" s="24" t="s">
        <v>193</v>
      </c>
      <c r="Y166" s="30" t="s">
        <v>323</v>
      </c>
      <c r="Z166" s="24" t="s">
        <v>344</v>
      </c>
      <c r="AA166" s="28" t="s">
        <v>845</v>
      </c>
      <c r="AB166" s="24" t="s">
        <v>193</v>
      </c>
      <c r="AC166" s="30" t="s">
        <v>323</v>
      </c>
      <c r="AD166" s="30" t="s">
        <v>344</v>
      </c>
      <c r="AE166" s="37">
        <v>43685</v>
      </c>
    </row>
    <row r="167" spans="1:31" ht="15.75" x14ac:dyDescent="0.25">
      <c r="A167" s="23" t="s">
        <v>693</v>
      </c>
      <c r="B167" s="24" t="s">
        <v>694</v>
      </c>
      <c r="C167" s="24" t="s">
        <v>695</v>
      </c>
      <c r="D167" s="24" t="s">
        <v>672</v>
      </c>
      <c r="E167" s="29">
        <v>72901</v>
      </c>
      <c r="F167" s="24" t="s">
        <v>217</v>
      </c>
      <c r="G167" s="24" t="s">
        <v>274</v>
      </c>
      <c r="H167" s="24" t="s">
        <v>192</v>
      </c>
      <c r="I167" s="25">
        <v>3.48314606741573</v>
      </c>
      <c r="J167" s="26">
        <v>0</v>
      </c>
      <c r="K167" s="26">
        <v>0.15254237288135591</v>
      </c>
      <c r="L167" s="26">
        <v>0.11864406779661016</v>
      </c>
      <c r="M167" s="26">
        <v>0.16949152542372881</v>
      </c>
      <c r="N167" s="26">
        <v>0.32203389830508478</v>
      </c>
      <c r="O167" s="26">
        <v>8.4745762711864403E-2</v>
      </c>
      <c r="P167" s="26">
        <v>3.3898305084745763E-2</v>
      </c>
      <c r="Q167" s="26">
        <v>0</v>
      </c>
      <c r="R167" s="26">
        <v>0.16949152542372881</v>
      </c>
      <c r="S167" s="26">
        <v>0.11864406779661016</v>
      </c>
      <c r="T167" s="26">
        <v>6.7796610169491525E-2</v>
      </c>
      <c r="U167" s="26">
        <v>8.4745762711864403E-2</v>
      </c>
      <c r="V167" s="26">
        <v>0.25423728813559321</v>
      </c>
      <c r="W167" s="27"/>
      <c r="X167" s="24" t="s">
        <v>585</v>
      </c>
      <c r="Y167" s="30" t="s">
        <v>323</v>
      </c>
      <c r="Z167" s="24" t="s">
        <v>344</v>
      </c>
      <c r="AA167" s="28" t="s">
        <v>696</v>
      </c>
      <c r="AB167" s="24" t="s">
        <v>585</v>
      </c>
      <c r="AC167" s="30" t="s">
        <v>323</v>
      </c>
      <c r="AD167" s="30" t="s">
        <v>344</v>
      </c>
      <c r="AE167" s="37">
        <v>42976</v>
      </c>
    </row>
    <row r="168" spans="1:31" ht="15.75" x14ac:dyDescent="0.25">
      <c r="A168" s="23" t="s">
        <v>844</v>
      </c>
      <c r="B168" s="24" t="s">
        <v>843</v>
      </c>
      <c r="C168" s="24" t="s">
        <v>842</v>
      </c>
      <c r="D168" s="24" t="s">
        <v>395</v>
      </c>
      <c r="E168" s="29">
        <v>61061</v>
      </c>
      <c r="F168" s="24" t="s">
        <v>40</v>
      </c>
      <c r="G168" s="24" t="s">
        <v>274</v>
      </c>
      <c r="H168" s="24" t="s">
        <v>192</v>
      </c>
      <c r="I168" s="25">
        <v>2.4102564102564101</v>
      </c>
      <c r="J168" s="26">
        <v>5.0847457627118647E-2</v>
      </c>
      <c r="K168" s="26">
        <v>6.7796610169491525E-2</v>
      </c>
      <c r="L168" s="26">
        <v>0.1864406779661017</v>
      </c>
      <c r="M168" s="26">
        <v>0.11864406779661016</v>
      </c>
      <c r="N168" s="26">
        <v>0.22033898305084745</v>
      </c>
      <c r="O168" s="26">
        <v>0.10169491525423729</v>
      </c>
      <c r="P168" s="26">
        <v>0.10169491525423728</v>
      </c>
      <c r="Q168" s="26">
        <v>0</v>
      </c>
      <c r="R168" s="26">
        <v>0.32203389830508472</v>
      </c>
      <c r="S168" s="26">
        <v>0</v>
      </c>
      <c r="T168" s="26">
        <v>0</v>
      </c>
      <c r="U168" s="26">
        <v>0.10169491525423729</v>
      </c>
      <c r="V168" s="26">
        <v>0.28813559322033899</v>
      </c>
      <c r="W168" s="27"/>
      <c r="X168" s="24" t="s">
        <v>220</v>
      </c>
      <c r="Y168" s="30"/>
      <c r="Z168" s="24"/>
      <c r="AA168" s="28" t="s">
        <v>334</v>
      </c>
      <c r="AB168" s="24" t="s">
        <v>220</v>
      </c>
      <c r="AC168" s="30"/>
      <c r="AD168" s="30"/>
      <c r="AE168" s="37"/>
    </row>
    <row r="169" spans="1:31" ht="15.75" x14ac:dyDescent="0.25">
      <c r="A169" s="23" t="s">
        <v>841</v>
      </c>
      <c r="B169" s="24" t="s">
        <v>840</v>
      </c>
      <c r="C169" s="24" t="s">
        <v>839</v>
      </c>
      <c r="D169" s="24" t="s">
        <v>502</v>
      </c>
      <c r="E169" s="29">
        <v>67846</v>
      </c>
      <c r="F169" s="24" t="s">
        <v>40</v>
      </c>
      <c r="G169" s="24" t="s">
        <v>218</v>
      </c>
      <c r="H169" s="24" t="s">
        <v>192</v>
      </c>
      <c r="I169" s="25">
        <v>4.75</v>
      </c>
      <c r="J169" s="26">
        <v>5.0847457627118647E-2</v>
      </c>
      <c r="K169" s="26">
        <v>0.13559322033898305</v>
      </c>
      <c r="L169" s="26">
        <v>0.13559322033898305</v>
      </c>
      <c r="M169" s="26">
        <v>6.7796610169491525E-2</v>
      </c>
      <c r="N169" s="26">
        <v>0.23728813559322035</v>
      </c>
      <c r="O169" s="26">
        <v>0.15254237288135594</v>
      </c>
      <c r="P169" s="26">
        <v>0</v>
      </c>
      <c r="Q169" s="26">
        <v>0</v>
      </c>
      <c r="R169" s="26">
        <v>6.7796610169491525E-2</v>
      </c>
      <c r="S169" s="26">
        <v>0.13559322033898305</v>
      </c>
      <c r="T169" s="26">
        <v>3.3898305084745763E-2</v>
      </c>
      <c r="U169" s="26">
        <v>0.15254237288135594</v>
      </c>
      <c r="V169" s="26">
        <v>0.20338983050847459</v>
      </c>
      <c r="W169" s="27"/>
      <c r="X169" s="24" t="s">
        <v>193</v>
      </c>
      <c r="Y169" s="30" t="s">
        <v>323</v>
      </c>
      <c r="Z169" s="24" t="s">
        <v>324</v>
      </c>
      <c r="AA169" s="28" t="s">
        <v>838</v>
      </c>
      <c r="AB169" s="24" t="s">
        <v>220</v>
      </c>
      <c r="AC169" s="30"/>
      <c r="AD169" s="30"/>
      <c r="AE169" s="37"/>
    </row>
    <row r="170" spans="1:31" ht="15.75" x14ac:dyDescent="0.25">
      <c r="A170" s="23" t="s">
        <v>837</v>
      </c>
      <c r="B170" s="24" t="s">
        <v>423</v>
      </c>
      <c r="C170" s="24" t="s">
        <v>424</v>
      </c>
      <c r="D170" s="24" t="s">
        <v>205</v>
      </c>
      <c r="E170" s="29">
        <v>78118</v>
      </c>
      <c r="F170" s="24" t="s">
        <v>206</v>
      </c>
      <c r="G170" s="24" t="s">
        <v>210</v>
      </c>
      <c r="H170" s="24" t="s">
        <v>192</v>
      </c>
      <c r="I170" s="25">
        <v>2.3523809523809498</v>
      </c>
      <c r="J170" s="26">
        <v>0.33898305084745761</v>
      </c>
      <c r="K170" s="26">
        <v>0</v>
      </c>
      <c r="L170" s="26">
        <v>0</v>
      </c>
      <c r="M170" s="26">
        <v>0</v>
      </c>
      <c r="N170" s="26">
        <v>0</v>
      </c>
      <c r="O170" s="26">
        <v>0.25423728813559321</v>
      </c>
      <c r="P170" s="26">
        <v>0</v>
      </c>
      <c r="Q170" s="26">
        <v>8.4745762711864403E-2</v>
      </c>
      <c r="R170" s="26">
        <v>0</v>
      </c>
      <c r="S170" s="26">
        <v>0</v>
      </c>
      <c r="T170" s="26">
        <v>0</v>
      </c>
      <c r="U170" s="26">
        <v>0.33898305084745761</v>
      </c>
      <c r="V170" s="26">
        <v>0.33898305084745761</v>
      </c>
      <c r="W170" s="27">
        <v>830</v>
      </c>
      <c r="X170" s="24" t="s">
        <v>193</v>
      </c>
      <c r="Y170" s="30" t="s">
        <v>194</v>
      </c>
      <c r="Z170" s="24" t="s">
        <v>195</v>
      </c>
      <c r="AA170" s="28" t="s">
        <v>836</v>
      </c>
      <c r="AB170" s="24" t="s">
        <v>193</v>
      </c>
      <c r="AC170" s="30" t="s">
        <v>275</v>
      </c>
      <c r="AD170" s="30" t="s">
        <v>195</v>
      </c>
      <c r="AE170" s="37">
        <v>41452</v>
      </c>
    </row>
    <row r="171" spans="1:31" ht="15.75" x14ac:dyDescent="0.25">
      <c r="A171" s="23" t="s">
        <v>835</v>
      </c>
      <c r="B171" s="24" t="s">
        <v>834</v>
      </c>
      <c r="C171" s="24" t="s">
        <v>833</v>
      </c>
      <c r="D171" s="24" t="s">
        <v>495</v>
      </c>
      <c r="E171" s="29">
        <v>69101</v>
      </c>
      <c r="F171" s="24" t="s">
        <v>374</v>
      </c>
      <c r="G171" s="24" t="s">
        <v>218</v>
      </c>
      <c r="H171" s="24" t="s">
        <v>192</v>
      </c>
      <c r="I171" s="25">
        <v>40</v>
      </c>
      <c r="J171" s="26">
        <v>0.13559322033898305</v>
      </c>
      <c r="K171" s="26">
        <v>0.15254237288135591</v>
      </c>
      <c r="L171" s="26">
        <v>3.3898305084745763E-2</v>
      </c>
      <c r="M171" s="26">
        <v>1.6949152542372881E-2</v>
      </c>
      <c r="N171" s="26">
        <v>0.20338983050847459</v>
      </c>
      <c r="O171" s="26">
        <v>0.13559322033898305</v>
      </c>
      <c r="P171" s="26">
        <v>0</v>
      </c>
      <c r="Q171" s="26">
        <v>0</v>
      </c>
      <c r="R171" s="26">
        <v>1.6949152542372881E-2</v>
      </c>
      <c r="S171" s="26">
        <v>0.10169491525423729</v>
      </c>
      <c r="T171" s="26">
        <v>8.4745762711864403E-2</v>
      </c>
      <c r="U171" s="26">
        <v>0.13559322033898305</v>
      </c>
      <c r="V171" s="26">
        <v>5.0847457627118647E-2</v>
      </c>
      <c r="W171" s="27"/>
      <c r="X171" s="24" t="s">
        <v>220</v>
      </c>
      <c r="Y171" s="30"/>
      <c r="Z171" s="24"/>
      <c r="AA171" s="28"/>
      <c r="AB171" s="24" t="s">
        <v>220</v>
      </c>
      <c r="AC171" s="30"/>
      <c r="AD171" s="30"/>
      <c r="AE171" s="37"/>
    </row>
    <row r="172" spans="1:31" ht="15.75" x14ac:dyDescent="0.25">
      <c r="A172" s="23" t="s">
        <v>832</v>
      </c>
      <c r="B172" s="24" t="s">
        <v>831</v>
      </c>
      <c r="C172" s="24" t="s">
        <v>830</v>
      </c>
      <c r="D172" s="24" t="s">
        <v>255</v>
      </c>
      <c r="E172" s="29">
        <v>88201</v>
      </c>
      <c r="F172" s="24" t="s">
        <v>256</v>
      </c>
      <c r="G172" s="24" t="s">
        <v>218</v>
      </c>
      <c r="H172" s="24" t="s">
        <v>192</v>
      </c>
      <c r="I172" s="25">
        <v>2.0925925925925899</v>
      </c>
      <c r="J172" s="26">
        <v>0.10169491525423729</v>
      </c>
      <c r="K172" s="26">
        <v>0.13559322033898305</v>
      </c>
      <c r="L172" s="26">
        <v>3.3898305084745763E-2</v>
      </c>
      <c r="M172" s="26">
        <v>0</v>
      </c>
      <c r="N172" s="26">
        <v>0.11864406779661017</v>
      </c>
      <c r="O172" s="26">
        <v>0.13559322033898305</v>
      </c>
      <c r="P172" s="26">
        <v>1.6949152542372881E-2</v>
      </c>
      <c r="Q172" s="26">
        <v>0</v>
      </c>
      <c r="R172" s="26">
        <v>6.7796610169491525E-2</v>
      </c>
      <c r="S172" s="26">
        <v>1.6949152542372881E-2</v>
      </c>
      <c r="T172" s="26">
        <v>5.0847457627118647E-2</v>
      </c>
      <c r="U172" s="26">
        <v>0.13559322033898305</v>
      </c>
      <c r="V172" s="26">
        <v>0.22033898305084745</v>
      </c>
      <c r="W172" s="27"/>
      <c r="X172" s="24" t="s">
        <v>193</v>
      </c>
      <c r="Y172" s="30" t="s">
        <v>323</v>
      </c>
      <c r="Z172" s="24" t="s">
        <v>324</v>
      </c>
      <c r="AA172" s="28" t="s">
        <v>829</v>
      </c>
      <c r="AB172" s="24" t="s">
        <v>193</v>
      </c>
      <c r="AC172" s="30" t="s">
        <v>323</v>
      </c>
      <c r="AD172" s="30" t="s">
        <v>324</v>
      </c>
      <c r="AE172" s="37">
        <v>38834</v>
      </c>
    </row>
    <row r="173" spans="1:31" ht="15.75" x14ac:dyDescent="0.25">
      <c r="A173" s="23" t="s">
        <v>698</v>
      </c>
      <c r="B173" s="24" t="s">
        <v>699</v>
      </c>
      <c r="C173" s="24" t="s">
        <v>700</v>
      </c>
      <c r="D173" s="24" t="s">
        <v>672</v>
      </c>
      <c r="E173" s="29">
        <v>71854</v>
      </c>
      <c r="F173" s="24" t="s">
        <v>217</v>
      </c>
      <c r="G173" s="24" t="s">
        <v>274</v>
      </c>
      <c r="H173" s="24" t="s">
        <v>192</v>
      </c>
      <c r="I173" s="25">
        <v>42.724409448818903</v>
      </c>
      <c r="J173" s="26">
        <v>0</v>
      </c>
      <c r="K173" s="26">
        <v>8.4745762711864403E-2</v>
      </c>
      <c r="L173" s="26">
        <v>6.7796610169491525E-2</v>
      </c>
      <c r="M173" s="26">
        <v>0</v>
      </c>
      <c r="N173" s="26">
        <v>0.13559322033898305</v>
      </c>
      <c r="O173" s="26">
        <v>1.6949152542372881E-2</v>
      </c>
      <c r="P173" s="26">
        <v>0</v>
      </c>
      <c r="Q173" s="26">
        <v>0</v>
      </c>
      <c r="R173" s="26">
        <v>6.7796610169491525E-2</v>
      </c>
      <c r="S173" s="26">
        <v>1.6949152542372881E-2</v>
      </c>
      <c r="T173" s="26">
        <v>5.0847457627118647E-2</v>
      </c>
      <c r="U173" s="26">
        <v>1.6949152542372881E-2</v>
      </c>
      <c r="V173" s="26">
        <v>0.10169491525423729</v>
      </c>
      <c r="W173" s="27"/>
      <c r="X173" s="24" t="s">
        <v>585</v>
      </c>
      <c r="Y173" s="30" t="s">
        <v>323</v>
      </c>
      <c r="Z173" s="24" t="s">
        <v>344</v>
      </c>
      <c r="AA173" s="28" t="s">
        <v>649</v>
      </c>
      <c r="AB173" s="24" t="s">
        <v>585</v>
      </c>
      <c r="AC173" s="30" t="s">
        <v>323</v>
      </c>
      <c r="AD173" s="30" t="s">
        <v>344</v>
      </c>
      <c r="AE173" s="37">
        <v>42999</v>
      </c>
    </row>
    <row r="174" spans="1:31" ht="15.75" x14ac:dyDescent="0.25">
      <c r="A174" s="23" t="s">
        <v>506</v>
      </c>
      <c r="B174" s="24" t="s">
        <v>507</v>
      </c>
      <c r="C174" s="24" t="s">
        <v>508</v>
      </c>
      <c r="D174" s="24" t="s">
        <v>408</v>
      </c>
      <c r="E174" s="29">
        <v>74103</v>
      </c>
      <c r="F174" s="24" t="s">
        <v>296</v>
      </c>
      <c r="G174" s="24" t="s">
        <v>218</v>
      </c>
      <c r="H174" s="24" t="s">
        <v>192</v>
      </c>
      <c r="I174" s="25">
        <v>1.5680000000000001</v>
      </c>
      <c r="J174" s="26">
        <v>6.7796610169491525E-2</v>
      </c>
      <c r="K174" s="26">
        <v>0</v>
      </c>
      <c r="L174" s="26">
        <v>0</v>
      </c>
      <c r="M174" s="26">
        <v>0</v>
      </c>
      <c r="N174" s="26">
        <v>6.7796610169491525E-2</v>
      </c>
      <c r="O174" s="26">
        <v>0</v>
      </c>
      <c r="P174" s="26">
        <v>0</v>
      </c>
      <c r="Q174" s="26">
        <v>0</v>
      </c>
      <c r="R174" s="26">
        <v>0</v>
      </c>
      <c r="S174" s="26">
        <v>0</v>
      </c>
      <c r="T174" s="26">
        <v>6.7796610169491525E-2</v>
      </c>
      <c r="U174" s="26">
        <v>0</v>
      </c>
      <c r="V174" s="26">
        <v>6.7796610169491525E-2</v>
      </c>
      <c r="W174" s="27"/>
      <c r="X174" s="24" t="s">
        <v>193</v>
      </c>
      <c r="Y174" s="30" t="s">
        <v>194</v>
      </c>
      <c r="Z174" s="24" t="s">
        <v>512</v>
      </c>
      <c r="AA174" s="28" t="s">
        <v>828</v>
      </c>
      <c r="AB174" s="24" t="s">
        <v>193</v>
      </c>
      <c r="AC174" s="30" t="s">
        <v>194</v>
      </c>
      <c r="AD174" s="30" t="s">
        <v>195</v>
      </c>
      <c r="AE174" s="37">
        <v>43490</v>
      </c>
    </row>
  </sheetData>
  <mergeCells count="15">
    <mergeCell ref="AC3:AE3"/>
    <mergeCell ref="W5:AE5"/>
    <mergeCell ref="A4:V4"/>
    <mergeCell ref="J5:M5"/>
    <mergeCell ref="N5:Q5"/>
    <mergeCell ref="R5:U5"/>
    <mergeCell ref="M3:P3"/>
    <mergeCell ref="Q3:T3"/>
    <mergeCell ref="U3:X3"/>
    <mergeCell ref="A1:D1"/>
    <mergeCell ref="A2:D2"/>
    <mergeCell ref="A3:D3"/>
    <mergeCell ref="E3:H3"/>
    <mergeCell ref="I3:L3"/>
    <mergeCell ref="Y3:AB3"/>
  </mergeCells>
  <conditionalFormatting sqref="AE7">
    <cfRule type="cellIs" dxfId="0" priority="1" stopIfTrue="1" operator="equal">
      <formula>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97"/>
  <sheetViews>
    <sheetView showGridLines="0" zoomScale="80" zoomScaleNormal="80" workbookViewId="0">
      <selection activeCell="B13" sqref="B13"/>
    </sheetView>
  </sheetViews>
  <sheetFormatPr defaultRowHeight="15" x14ac:dyDescent="0.25"/>
  <cols>
    <col min="1" max="1" width="26.5703125" style="7" customWidth="1"/>
    <col min="2" max="2" width="151.42578125" style="7" customWidth="1"/>
    <col min="3" max="5" width="8.5703125" customWidth="1"/>
    <col min="6" max="6" width="8.5703125" bestFit="1" customWidth="1"/>
    <col min="7" max="7" width="10.42578125" customWidth="1"/>
    <col min="8" max="8" width="9" bestFit="1" customWidth="1"/>
    <col min="9" max="9" width="7.5703125" bestFit="1" customWidth="1"/>
    <col min="11" max="11" width="7.5703125" bestFit="1" customWidth="1"/>
    <col min="12" max="12" width="9" bestFit="1" customWidth="1"/>
    <col min="13" max="13" width="7.5703125" customWidth="1"/>
    <col min="26" max="26" width="10.5703125" bestFit="1" customWidth="1"/>
  </cols>
  <sheetData>
    <row r="1" spans="1:31" s="11" customFormat="1" ht="26.25" x14ac:dyDescent="0.25">
      <c r="A1" s="199" t="s">
        <v>55</v>
      </c>
      <c r="B1" s="199"/>
      <c r="C1" s="199"/>
      <c r="D1" s="199"/>
      <c r="E1" s="34"/>
      <c r="F1" s="34"/>
      <c r="G1" s="34"/>
      <c r="H1" s="34"/>
      <c r="I1" s="34"/>
      <c r="J1" s="34"/>
      <c r="K1" s="34"/>
      <c r="L1" s="34"/>
      <c r="M1" s="34"/>
      <c r="N1" s="34"/>
      <c r="O1" s="34"/>
      <c r="P1" s="34"/>
      <c r="Q1" s="34"/>
      <c r="R1" s="34"/>
      <c r="S1" s="34"/>
      <c r="T1" s="34"/>
      <c r="U1" s="34"/>
      <c r="V1" s="34"/>
      <c r="W1" s="34"/>
      <c r="X1" s="34"/>
      <c r="Y1" s="34"/>
      <c r="Z1" s="34"/>
      <c r="AA1" s="34"/>
      <c r="AB1" s="34"/>
      <c r="AC1" s="34"/>
      <c r="AD1" s="34"/>
      <c r="AE1" s="34"/>
    </row>
    <row r="2" spans="1:31" s="11" customFormat="1" ht="74.25" customHeight="1" x14ac:dyDescent="0.25">
      <c r="A2" s="200" t="s">
        <v>56</v>
      </c>
      <c r="B2" s="200"/>
      <c r="C2" s="200"/>
      <c r="D2" s="200"/>
      <c r="E2" s="34"/>
      <c r="F2" s="34"/>
      <c r="G2" s="34"/>
      <c r="H2" s="34"/>
      <c r="I2" s="34"/>
      <c r="J2" s="34"/>
      <c r="K2" s="34"/>
      <c r="L2" s="34"/>
      <c r="M2" s="34"/>
      <c r="N2" s="34"/>
      <c r="O2" s="34"/>
      <c r="P2" s="34"/>
      <c r="Q2" s="34"/>
      <c r="R2" s="34"/>
      <c r="S2" s="34"/>
      <c r="T2" s="34"/>
      <c r="U2" s="34"/>
      <c r="V2" s="34"/>
      <c r="W2" s="34"/>
      <c r="X2" s="34"/>
      <c r="Y2" s="34"/>
      <c r="Z2" s="34"/>
      <c r="AA2" s="34"/>
      <c r="AB2" s="34"/>
      <c r="AC2" s="34"/>
      <c r="AD2" s="34"/>
      <c r="AE2" s="34"/>
    </row>
    <row r="3" spans="1:31" s="11" customFormat="1" ht="48.6" customHeight="1" thickBot="1" x14ac:dyDescent="0.3">
      <c r="A3" s="65" t="s">
        <v>738</v>
      </c>
      <c r="B3" s="65"/>
      <c r="C3" s="70"/>
      <c r="D3" s="70"/>
      <c r="E3" s="270"/>
      <c r="F3" s="270"/>
      <c r="G3" s="270"/>
      <c r="H3" s="270"/>
      <c r="I3" s="270"/>
      <c r="J3" s="270"/>
      <c r="K3" s="270"/>
      <c r="L3" s="270"/>
      <c r="M3" s="270"/>
      <c r="N3" s="270"/>
      <c r="O3" s="270"/>
      <c r="P3" s="270"/>
      <c r="Q3" s="270"/>
      <c r="R3" s="270"/>
      <c r="S3" s="270"/>
      <c r="T3" s="270"/>
      <c r="U3" s="270"/>
      <c r="V3" s="270"/>
      <c r="W3" s="270"/>
      <c r="X3" s="270"/>
      <c r="Y3" s="270"/>
      <c r="Z3" s="270"/>
      <c r="AA3" s="270"/>
      <c r="AB3" s="270"/>
      <c r="AC3" s="270"/>
      <c r="AD3" s="270"/>
      <c r="AE3" s="270"/>
    </row>
    <row r="4" spans="1:31" ht="18.75" x14ac:dyDescent="0.25">
      <c r="A4" s="178" t="s">
        <v>126</v>
      </c>
      <c r="B4" s="179" t="s">
        <v>127</v>
      </c>
    </row>
    <row r="5" spans="1:31" ht="15.75" x14ac:dyDescent="0.25">
      <c r="A5" s="180" t="s">
        <v>57</v>
      </c>
      <c r="B5" s="181" t="s">
        <v>58</v>
      </c>
    </row>
    <row r="6" spans="1:31" ht="15.75" x14ac:dyDescent="0.25">
      <c r="A6" s="180" t="s">
        <v>59</v>
      </c>
      <c r="B6" s="181" t="s">
        <v>60</v>
      </c>
    </row>
    <row r="7" spans="1:31" ht="15.75" x14ac:dyDescent="0.25">
      <c r="A7" s="180" t="s">
        <v>61</v>
      </c>
      <c r="B7" s="181" t="s">
        <v>62</v>
      </c>
    </row>
    <row r="8" spans="1:31" ht="15.75" x14ac:dyDescent="0.25">
      <c r="A8" s="180" t="s">
        <v>63</v>
      </c>
      <c r="B8" s="181" t="s">
        <v>64</v>
      </c>
    </row>
    <row r="9" spans="1:31" ht="15.75" x14ac:dyDescent="0.25">
      <c r="A9" s="180" t="s">
        <v>4</v>
      </c>
      <c r="B9" s="181" t="s">
        <v>65</v>
      </c>
    </row>
    <row r="10" spans="1:31" ht="15.75" x14ac:dyDescent="0.25">
      <c r="A10" s="180" t="s">
        <v>66</v>
      </c>
      <c r="B10" s="181" t="s">
        <v>67</v>
      </c>
    </row>
    <row r="11" spans="1:31" ht="15.75" x14ac:dyDescent="0.25">
      <c r="A11" s="180" t="s">
        <v>68</v>
      </c>
      <c r="B11" s="181" t="s">
        <v>69</v>
      </c>
    </row>
    <row r="12" spans="1:31" ht="15.75" x14ac:dyDescent="0.25">
      <c r="A12" s="180" t="s">
        <v>70</v>
      </c>
      <c r="B12" s="181" t="s">
        <v>71</v>
      </c>
      <c r="Z12" s="69"/>
    </row>
    <row r="13" spans="1:31" ht="47.25" x14ac:dyDescent="0.25">
      <c r="A13" s="180" t="s">
        <v>72</v>
      </c>
      <c r="B13" s="181" t="s">
        <v>73</v>
      </c>
    </row>
    <row r="14" spans="1:31" ht="47.25" x14ac:dyDescent="0.25">
      <c r="A14" s="180" t="s">
        <v>75</v>
      </c>
      <c r="B14" s="181" t="s">
        <v>76</v>
      </c>
    </row>
    <row r="15" spans="1:31" ht="15.75" x14ac:dyDescent="0.25">
      <c r="A15" s="180" t="s">
        <v>77</v>
      </c>
      <c r="B15" s="181" t="s">
        <v>78</v>
      </c>
    </row>
    <row r="16" spans="1:31" ht="47.25" customHeight="1" x14ac:dyDescent="0.25">
      <c r="A16" s="269" t="s">
        <v>79</v>
      </c>
      <c r="B16" s="181" t="s">
        <v>80</v>
      </c>
    </row>
    <row r="17" spans="1:2" ht="47.25" x14ac:dyDescent="0.25">
      <c r="A17" s="269"/>
      <c r="B17" s="181" t="s">
        <v>81</v>
      </c>
    </row>
    <row r="18" spans="1:2" ht="47.1" customHeight="1" x14ac:dyDescent="0.25">
      <c r="A18" s="263" t="s">
        <v>746</v>
      </c>
      <c r="B18" s="181" t="s">
        <v>747</v>
      </c>
    </row>
    <row r="19" spans="1:2" ht="47.25" x14ac:dyDescent="0.25">
      <c r="A19" s="265"/>
      <c r="B19" s="181" t="s">
        <v>748</v>
      </c>
    </row>
    <row r="20" spans="1:2" ht="15.75" x14ac:dyDescent="0.25">
      <c r="A20" s="180" t="s">
        <v>82</v>
      </c>
      <c r="B20" s="181" t="s">
        <v>83</v>
      </c>
    </row>
    <row r="21" spans="1:2" ht="15.75" x14ac:dyDescent="0.25">
      <c r="A21" s="180" t="s">
        <v>84</v>
      </c>
      <c r="B21" s="181" t="s">
        <v>85</v>
      </c>
    </row>
    <row r="22" spans="1:2" ht="15.75" x14ac:dyDescent="0.25">
      <c r="A22" s="180" t="s">
        <v>86</v>
      </c>
      <c r="B22" s="181" t="s">
        <v>87</v>
      </c>
    </row>
    <row r="23" spans="1:2" ht="15.75" x14ac:dyDescent="0.25">
      <c r="A23" s="180" t="s">
        <v>88</v>
      </c>
      <c r="B23" s="181" t="s">
        <v>89</v>
      </c>
    </row>
    <row r="24" spans="1:2" ht="47.25" x14ac:dyDescent="0.25">
      <c r="A24" s="180" t="s">
        <v>90</v>
      </c>
      <c r="B24" s="181" t="s">
        <v>91</v>
      </c>
    </row>
    <row r="25" spans="1:2" ht="31.5" x14ac:dyDescent="0.25">
      <c r="A25" s="180" t="s">
        <v>92</v>
      </c>
      <c r="B25" s="181" t="s">
        <v>93</v>
      </c>
    </row>
    <row r="26" spans="1:2" ht="15.75" x14ac:dyDescent="0.25">
      <c r="A26" s="180" t="s">
        <v>94</v>
      </c>
      <c r="B26" s="181" t="s">
        <v>95</v>
      </c>
    </row>
    <row r="27" spans="1:2" ht="15.75" x14ac:dyDescent="0.25">
      <c r="A27" s="180" t="s">
        <v>96</v>
      </c>
      <c r="B27" s="181" t="s">
        <v>97</v>
      </c>
    </row>
    <row r="28" spans="1:2" ht="15.75" x14ac:dyDescent="0.25">
      <c r="A28" s="180" t="s">
        <v>98</v>
      </c>
      <c r="B28" s="181" t="s">
        <v>99</v>
      </c>
    </row>
    <row r="29" spans="1:2" ht="31.5" x14ac:dyDescent="0.25">
      <c r="A29" s="180" t="s">
        <v>100</v>
      </c>
      <c r="B29" s="181" t="s">
        <v>101</v>
      </c>
    </row>
    <row r="30" spans="1:2" ht="15.75" x14ac:dyDescent="0.25">
      <c r="A30" s="180" t="s">
        <v>102</v>
      </c>
      <c r="B30" s="181" t="s">
        <v>103</v>
      </c>
    </row>
    <row r="31" spans="1:2" ht="15.75" x14ac:dyDescent="0.25">
      <c r="A31" s="180" t="s">
        <v>2</v>
      </c>
      <c r="B31" s="181" t="s">
        <v>104</v>
      </c>
    </row>
    <row r="32" spans="1:2" ht="31.5" x14ac:dyDescent="0.25">
      <c r="A32" s="182" t="s">
        <v>780</v>
      </c>
      <c r="B32" s="183" t="s">
        <v>105</v>
      </c>
    </row>
    <row r="33" spans="1:2" ht="15.75" x14ac:dyDescent="0.25">
      <c r="A33" s="180" t="s">
        <v>3</v>
      </c>
      <c r="B33" s="181" t="s">
        <v>106</v>
      </c>
    </row>
    <row r="34" spans="1:2" ht="31.5" x14ac:dyDescent="0.25">
      <c r="A34" s="180" t="s">
        <v>108</v>
      </c>
      <c r="B34" s="181" t="s">
        <v>109</v>
      </c>
    </row>
    <row r="35" spans="1:2" ht="15.75" x14ac:dyDescent="0.25">
      <c r="A35" s="180" t="s">
        <v>110</v>
      </c>
      <c r="B35" s="181" t="s">
        <v>111</v>
      </c>
    </row>
    <row r="36" spans="1:2" ht="31.5" x14ac:dyDescent="0.25">
      <c r="A36" s="180" t="s">
        <v>112</v>
      </c>
      <c r="B36" s="181" t="s">
        <v>113</v>
      </c>
    </row>
    <row r="37" spans="1:2" ht="15.75" x14ac:dyDescent="0.25">
      <c r="A37" s="180" t="s">
        <v>114</v>
      </c>
      <c r="B37" s="181" t="s">
        <v>749</v>
      </c>
    </row>
    <row r="38" spans="1:2" ht="15.75" x14ac:dyDescent="0.25">
      <c r="A38" s="180" t="s">
        <v>26</v>
      </c>
      <c r="B38" s="181" t="s">
        <v>750</v>
      </c>
    </row>
    <row r="39" spans="1:2" ht="15.75" x14ac:dyDescent="0.25">
      <c r="A39" s="269" t="s">
        <v>115</v>
      </c>
      <c r="B39" s="181" t="s">
        <v>116</v>
      </c>
    </row>
    <row r="40" spans="1:2" ht="15.75" x14ac:dyDescent="0.25">
      <c r="A40" s="269"/>
      <c r="B40" s="181" t="s">
        <v>117</v>
      </c>
    </row>
    <row r="41" spans="1:2" ht="47.25" x14ac:dyDescent="0.25">
      <c r="A41" s="269"/>
      <c r="B41" s="181" t="s">
        <v>118</v>
      </c>
    </row>
    <row r="42" spans="1:2" ht="15.75" x14ac:dyDescent="0.25">
      <c r="A42" s="269"/>
      <c r="B42" s="181" t="s">
        <v>119</v>
      </c>
    </row>
    <row r="43" spans="1:2" ht="47.25" x14ac:dyDescent="0.25">
      <c r="A43" s="269"/>
      <c r="B43" s="181" t="s">
        <v>120</v>
      </c>
    </row>
    <row r="44" spans="1:2" ht="15.75" x14ac:dyDescent="0.25">
      <c r="A44" s="269"/>
      <c r="B44" s="181" t="s">
        <v>121</v>
      </c>
    </row>
    <row r="45" spans="1:2" ht="31.5" x14ac:dyDescent="0.25">
      <c r="A45" s="269"/>
      <c r="B45" s="181" t="s">
        <v>122</v>
      </c>
    </row>
    <row r="46" spans="1:2" ht="31.5" x14ac:dyDescent="0.25">
      <c r="A46" s="269"/>
      <c r="B46" s="181" t="s">
        <v>123</v>
      </c>
    </row>
    <row r="47" spans="1:2" ht="15.75" x14ac:dyDescent="0.25">
      <c r="A47" s="180" t="s">
        <v>124</v>
      </c>
      <c r="B47" s="181" t="s">
        <v>125</v>
      </c>
    </row>
    <row r="48" spans="1:2" ht="31.5" x14ac:dyDescent="0.25">
      <c r="A48" s="263" t="s">
        <v>808</v>
      </c>
      <c r="B48" s="181" t="s">
        <v>751</v>
      </c>
    </row>
    <row r="49" spans="1:2" ht="15.75" x14ac:dyDescent="0.25">
      <c r="A49" s="264"/>
      <c r="B49" s="181" t="s">
        <v>752</v>
      </c>
    </row>
    <row r="50" spans="1:2" ht="15.75" x14ac:dyDescent="0.25">
      <c r="A50" s="265"/>
      <c r="B50" s="181" t="s">
        <v>753</v>
      </c>
    </row>
    <row r="51" spans="1:2" ht="15.75" customHeight="1" x14ac:dyDescent="0.25">
      <c r="A51" s="257" t="s">
        <v>807</v>
      </c>
      <c r="B51" s="184" t="s">
        <v>814</v>
      </c>
    </row>
    <row r="52" spans="1:2" ht="15.75" x14ac:dyDescent="0.25">
      <c r="A52" s="258"/>
      <c r="B52" s="183" t="s">
        <v>754</v>
      </c>
    </row>
    <row r="53" spans="1:2" ht="35.450000000000003" customHeight="1" x14ac:dyDescent="0.25">
      <c r="A53" s="258"/>
      <c r="B53" s="183" t="s">
        <v>755</v>
      </c>
    </row>
    <row r="54" spans="1:2" ht="86.25" customHeight="1" x14ac:dyDescent="0.25">
      <c r="A54" s="258"/>
      <c r="B54" s="183" t="s">
        <v>804</v>
      </c>
    </row>
    <row r="55" spans="1:2" ht="87.6" customHeight="1" x14ac:dyDescent="0.25">
      <c r="A55" s="258"/>
      <c r="B55" s="183" t="s">
        <v>813</v>
      </c>
    </row>
    <row r="56" spans="1:2" ht="31.5" x14ac:dyDescent="0.25">
      <c r="A56" s="258"/>
      <c r="B56" s="183" t="s">
        <v>756</v>
      </c>
    </row>
    <row r="57" spans="1:2" ht="78.75" x14ac:dyDescent="0.25">
      <c r="A57" s="258"/>
      <c r="B57" s="183" t="s">
        <v>772</v>
      </c>
    </row>
    <row r="58" spans="1:2" ht="15.75" x14ac:dyDescent="0.25">
      <c r="A58" s="258"/>
      <c r="B58" s="183" t="s">
        <v>757</v>
      </c>
    </row>
    <row r="59" spans="1:2" ht="31.5" x14ac:dyDescent="0.25">
      <c r="A59" s="259"/>
      <c r="B59" s="183" t="s">
        <v>758</v>
      </c>
    </row>
    <row r="60" spans="1:2" ht="15.75" x14ac:dyDescent="0.25">
      <c r="A60" s="260" t="s">
        <v>805</v>
      </c>
      <c r="B60" s="184" t="s">
        <v>815</v>
      </c>
    </row>
    <row r="61" spans="1:2" ht="31.5" x14ac:dyDescent="0.25">
      <c r="A61" s="261"/>
      <c r="B61" s="181" t="s">
        <v>759</v>
      </c>
    </row>
    <row r="62" spans="1:2" ht="15.75" x14ac:dyDescent="0.25">
      <c r="A62" s="261"/>
      <c r="B62" s="181" t="s">
        <v>760</v>
      </c>
    </row>
    <row r="63" spans="1:2" ht="15.75" x14ac:dyDescent="0.25">
      <c r="A63" s="261"/>
      <c r="B63" s="181" t="s">
        <v>761</v>
      </c>
    </row>
    <row r="64" spans="1:2" ht="78.75" x14ac:dyDescent="0.25">
      <c r="A64" s="261"/>
      <c r="B64" s="183" t="s">
        <v>811</v>
      </c>
    </row>
    <row r="65" spans="1:2" ht="50.1" customHeight="1" x14ac:dyDescent="0.25">
      <c r="A65" s="262"/>
      <c r="B65" s="181" t="s">
        <v>758</v>
      </c>
    </row>
    <row r="66" spans="1:2" ht="15.75" x14ac:dyDescent="0.25">
      <c r="A66" s="263" t="s">
        <v>809</v>
      </c>
      <c r="B66" s="184" t="s">
        <v>816</v>
      </c>
    </row>
    <row r="67" spans="1:2" ht="15.75" x14ac:dyDescent="0.25">
      <c r="A67" s="264"/>
      <c r="B67" s="181" t="s">
        <v>762</v>
      </c>
    </row>
    <row r="68" spans="1:2" ht="39.950000000000003" customHeight="1" x14ac:dyDescent="0.25">
      <c r="A68" s="264"/>
      <c r="B68" s="181" t="s">
        <v>763</v>
      </c>
    </row>
    <row r="69" spans="1:2" ht="63" x14ac:dyDescent="0.25">
      <c r="A69" s="264"/>
      <c r="B69" s="181" t="s">
        <v>812</v>
      </c>
    </row>
    <row r="70" spans="1:2" ht="31.5" x14ac:dyDescent="0.25">
      <c r="A70" s="265"/>
      <c r="B70" s="181" t="s">
        <v>758</v>
      </c>
    </row>
    <row r="71" spans="1:2" ht="20.45" customHeight="1" x14ac:dyDescent="0.25">
      <c r="A71" s="185" t="s">
        <v>775</v>
      </c>
      <c r="B71" s="184" t="s">
        <v>817</v>
      </c>
    </row>
    <row r="72" spans="1:2" ht="15.75" x14ac:dyDescent="0.25">
      <c r="A72" s="185"/>
      <c r="B72" s="181" t="s">
        <v>764</v>
      </c>
    </row>
    <row r="73" spans="1:2" ht="83.45" customHeight="1" x14ac:dyDescent="0.25">
      <c r="A73" s="186"/>
      <c r="B73" s="183" t="s">
        <v>811</v>
      </c>
    </row>
    <row r="74" spans="1:2" ht="78.75" x14ac:dyDescent="0.25">
      <c r="A74" s="187"/>
      <c r="B74" s="184" t="s">
        <v>772</v>
      </c>
    </row>
    <row r="75" spans="1:2" ht="15.75" x14ac:dyDescent="0.25">
      <c r="A75" s="187"/>
      <c r="B75" s="181" t="s">
        <v>757</v>
      </c>
    </row>
    <row r="76" spans="1:2" ht="31.5" x14ac:dyDescent="0.25">
      <c r="A76" s="187"/>
      <c r="B76" s="181" t="s">
        <v>765</v>
      </c>
    </row>
    <row r="77" spans="1:2" ht="31.5" x14ac:dyDescent="0.25">
      <c r="A77" s="188"/>
      <c r="B77" s="183" t="s">
        <v>773</v>
      </c>
    </row>
    <row r="78" spans="1:2" ht="15.75" x14ac:dyDescent="0.25">
      <c r="A78" s="187" t="s">
        <v>810</v>
      </c>
      <c r="B78" s="184" t="s">
        <v>814</v>
      </c>
    </row>
    <row r="79" spans="1:2" ht="15.75" x14ac:dyDescent="0.25">
      <c r="A79" s="187"/>
      <c r="B79" s="181" t="s">
        <v>764</v>
      </c>
    </row>
    <row r="80" spans="1:2" ht="31.5" x14ac:dyDescent="0.25">
      <c r="A80" s="187"/>
      <c r="B80" s="181" t="s">
        <v>756</v>
      </c>
    </row>
    <row r="81" spans="1:2" ht="15.75" x14ac:dyDescent="0.25">
      <c r="A81" s="187"/>
      <c r="B81" s="181" t="s">
        <v>766</v>
      </c>
    </row>
    <row r="82" spans="1:2" ht="47.25" x14ac:dyDescent="0.25">
      <c r="A82" s="186"/>
      <c r="B82" s="181" t="s">
        <v>767</v>
      </c>
    </row>
    <row r="83" spans="1:2" ht="31.5" x14ac:dyDescent="0.25">
      <c r="A83" s="186"/>
      <c r="B83" s="181" t="s">
        <v>768</v>
      </c>
    </row>
    <row r="84" spans="1:2" ht="15.75" x14ac:dyDescent="0.25">
      <c r="A84" s="186"/>
      <c r="B84" s="181" t="s">
        <v>769</v>
      </c>
    </row>
    <row r="85" spans="1:2" ht="15.75" x14ac:dyDescent="0.25">
      <c r="A85" s="186"/>
      <c r="B85" s="181" t="s">
        <v>757</v>
      </c>
    </row>
    <row r="86" spans="1:2" ht="78.75" x14ac:dyDescent="0.25">
      <c r="A86" s="186"/>
      <c r="B86" s="183" t="s">
        <v>811</v>
      </c>
    </row>
    <row r="87" spans="1:2" ht="31.5" x14ac:dyDescent="0.25">
      <c r="A87" s="189"/>
      <c r="B87" s="181" t="s">
        <v>758</v>
      </c>
    </row>
    <row r="88" spans="1:2" ht="15.6" customHeight="1" x14ac:dyDescent="0.25">
      <c r="A88" s="266" t="s">
        <v>783</v>
      </c>
      <c r="B88" s="190" t="s">
        <v>818</v>
      </c>
    </row>
    <row r="89" spans="1:2" ht="15.75" x14ac:dyDescent="0.25">
      <c r="A89" s="267"/>
      <c r="B89" s="190" t="s">
        <v>819</v>
      </c>
    </row>
    <row r="90" spans="1:2" ht="15.75" x14ac:dyDescent="0.25">
      <c r="A90" s="267"/>
      <c r="B90" s="191" t="s">
        <v>764</v>
      </c>
    </row>
    <row r="91" spans="1:2" ht="15.75" x14ac:dyDescent="0.25">
      <c r="A91" s="267"/>
      <c r="B91" s="190" t="s">
        <v>820</v>
      </c>
    </row>
    <row r="92" spans="1:2" ht="63" x14ac:dyDescent="0.25">
      <c r="A92" s="267"/>
      <c r="B92" s="191" t="s">
        <v>776</v>
      </c>
    </row>
    <row r="93" spans="1:2" ht="31.5" x14ac:dyDescent="0.25">
      <c r="A93" s="267"/>
      <c r="B93" s="191" t="s">
        <v>777</v>
      </c>
    </row>
    <row r="94" spans="1:2" ht="47.25" x14ac:dyDescent="0.25">
      <c r="A94" s="267"/>
      <c r="B94" s="190" t="s">
        <v>821</v>
      </c>
    </row>
    <row r="95" spans="1:2" ht="31.5" x14ac:dyDescent="0.25">
      <c r="A95" s="267"/>
      <c r="B95" s="191" t="s">
        <v>778</v>
      </c>
    </row>
    <row r="96" spans="1:2" ht="141.75" x14ac:dyDescent="0.25">
      <c r="A96" s="267"/>
      <c r="B96" s="190" t="s">
        <v>822</v>
      </c>
    </row>
    <row r="97" spans="1:2" ht="63.75" thickBot="1" x14ac:dyDescent="0.3">
      <c r="A97" s="268"/>
      <c r="B97" s="192" t="s">
        <v>779</v>
      </c>
    </row>
  </sheetData>
  <sheetProtection sheet="1" objects="1" scenarios="1"/>
  <mergeCells count="17">
    <mergeCell ref="AC3:AE3"/>
    <mergeCell ref="E3:H3"/>
    <mergeCell ref="I3:L3"/>
    <mergeCell ref="M3:P3"/>
    <mergeCell ref="Q3:T3"/>
    <mergeCell ref="U3:X3"/>
    <mergeCell ref="A1:D1"/>
    <mergeCell ref="A2:D2"/>
    <mergeCell ref="Y3:AB3"/>
    <mergeCell ref="A18:A19"/>
    <mergeCell ref="A39:A46"/>
    <mergeCell ref="A51:A59"/>
    <mergeCell ref="A60:A65"/>
    <mergeCell ref="A66:A70"/>
    <mergeCell ref="A88:A97"/>
    <mergeCell ref="A16:A17"/>
    <mergeCell ref="A48:A50"/>
  </mergeCells>
  <pageMargins left="0.25" right="0.25" top="0.75" bottom="0.75" header="0.3" footer="0.3"/>
  <pageSetup scale="16"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F57B024AAA2849AD5D4D6F3B5DAC10" ma:contentTypeVersion="10" ma:contentTypeDescription="Create a new document." ma:contentTypeScope="" ma:versionID="b65fd6d479e37d79e97739a597846120">
  <xsd:schema xmlns:xsd="http://www.w3.org/2001/XMLSchema" xmlns:xs="http://www.w3.org/2001/XMLSchema" xmlns:p="http://schemas.microsoft.com/office/2006/metadata/properties" xmlns:ns2="4fb1db5d-19c2-4c8a-82e5-c8fdf1b06038" targetNamespace="http://schemas.microsoft.com/office/2006/metadata/properties" ma:root="true" ma:fieldsID="3a10e8632b40af3d46de2d3f205b3b8e" ns2:_="">
    <xsd:import namespace="4fb1db5d-19c2-4c8a-82e5-c8fdf1b0603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1db5d-19c2-4c8a-82e5-c8fdf1b06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BE5A8A2-5573-4F6F-85A1-3E6C968CD4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b1db5d-19c2-4c8a-82e5-c8fdf1b060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3.xml><?xml version="1.0" encoding="utf-8"?>
<ds:datastoreItem xmlns:ds="http://schemas.openxmlformats.org/officeDocument/2006/customXml" ds:itemID="{25A08AC0-783C-4C1B-927A-AB27E36B29B1}">
  <ds:schemaRefs>
    <ds:schemaRef ds:uri="http://schemas.microsoft.com/office/infopath/2007/PartnerControls"/>
    <ds:schemaRef ds:uri="http://purl.org/dc/elements/1.1/"/>
    <ds:schemaRef ds:uri="http://schemas.microsoft.com/office/2006/metadata/properties"/>
    <ds:schemaRef ds:uri="http://purl.org/dc/terms/"/>
    <ds:schemaRef ds:uri="http://schemas.microsoft.com/office/2006/documentManagement/types"/>
    <ds:schemaRef ds:uri="http://purl.org/dc/dcmitype/"/>
    <ds:schemaRef ds:uri="http://schemas.openxmlformats.org/package/2006/metadata/core-properties"/>
    <ds:schemaRef ds:uri="4fb1db5d-19c2-4c8a-82e5-c8fdf1b06038"/>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Header</vt:lpstr>
      <vt:lpstr>ATD FY21 YTD</vt:lpstr>
      <vt:lpstr>Detention FY21 YTD</vt:lpstr>
      <vt:lpstr>Facilities FY21 YTD</vt:lpstr>
      <vt:lpstr>Footnotes</vt:lpstr>
      <vt:lpstr>'Detention FY21 YTD'!Print_Area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Tyler M (CTR)</dc:creator>
  <cp:lastModifiedBy>Jussara Solorzano</cp:lastModifiedBy>
  <cp:lastPrinted>2020-02-10T19:14:43Z</cp:lastPrinted>
  <dcterms:created xsi:type="dcterms:W3CDTF">2020-01-31T18:40:16Z</dcterms:created>
  <dcterms:modified xsi:type="dcterms:W3CDTF">2020-12-09T21:58:12Z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0x01010027F57B024AAA2849AD5D4D6F3B5DAC10</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ies>
</file>