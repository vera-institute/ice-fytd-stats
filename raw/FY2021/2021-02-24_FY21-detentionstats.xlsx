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defaultThemeVersion="166925"/>
  <mc:AlternateContent xmlns:mc="http://schemas.openxmlformats.org/markup-compatibility/2006">
    <mc:Choice Requires="x15">
      <x15ac:absPath xmlns:x15ac="http://schemas.microsoft.com/office/spreadsheetml/2010/11/ac" url="https://icegov-my.sharepoint.com/personal/0409776322_ice_dhs_gov/Documents/Documents/"/>
    </mc:Choice>
  </mc:AlternateContent>
  <xr:revisionPtr revIDLastSave="0" documentId="8_{83C5682D-607D-4B45-9F10-CF881D493943}" xr6:coauthVersionLast="45" xr6:coauthVersionMax="45" xr10:uidLastSave="{00000000-0000-0000-0000-000000000000}"/>
  <bookViews>
    <workbookView xWindow="4635" yWindow="150" windowWidth="28800" windowHeight="11385" tabRatio="668" xr2:uid="{00000000-000D-0000-FFFF-FFFF00000000}"/>
  </bookViews>
  <sheets>
    <sheet name="Header" sheetId="9" r:id="rId1"/>
    <sheet name="ATD FY21 YTD" sheetId="13" r:id="rId2"/>
    <sheet name="Detention FY21 YTD" sheetId="3" r:id="rId3"/>
    <sheet name="Facilities FY21 YTD" sheetId="5" r:id="rId4"/>
    <sheet name="Footnotes" sheetId="4" r:id="rId5"/>
  </sheets>
  <definedNames>
    <definedName name="_xlnm._FilterDatabase" localSheetId="3" hidden="1">'Facilities FY21 YTD'!$A$1:$AE$6</definedName>
    <definedName name="_xlnm.Print_Area" localSheetId="2">'Detention FY21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3" i="3" l="1"/>
  <c r="E22" i="3"/>
  <c r="E21" i="3"/>
  <c r="E20" i="3"/>
  <c r="C23" i="3" l="1"/>
  <c r="C22" i="3"/>
  <c r="C21" i="3"/>
  <c r="C20" i="3"/>
</calcChain>
</file>

<file path=xl/sharedStrings.xml><?xml version="1.0" encoding="utf-8"?>
<sst xmlns="http://schemas.openxmlformats.org/spreadsheetml/2006/main" count="2958" uniqueCount="979">
  <si>
    <t>Other</t>
  </si>
  <si>
    <t>Total</t>
  </si>
  <si>
    <t>Order of Recognizance</t>
  </si>
  <si>
    <t>Order of Supervision</t>
  </si>
  <si>
    <t>ATD</t>
  </si>
  <si>
    <t>Male</t>
  </si>
  <si>
    <t>ADELANTO ICE PROCESSING CENTER</t>
  </si>
  <si>
    <t>ALLEN PARISH PUBLIC SAFETY COMPLEX</t>
  </si>
  <si>
    <t>LASALLE CORR CTR OLLA</t>
  </si>
  <si>
    <t>BROWARD TRANSITIONAL CENTER</t>
  </si>
  <si>
    <t>ALEXANDRIA STAGING FACILITY</t>
  </si>
  <si>
    <t>Female</t>
  </si>
  <si>
    <t>CATAHOULA CORRECTIONAL CENTER</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</si>
  <si>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</si>
  <si>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</si>
  <si>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</si>
  <si>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</si>
  <si>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</si>
  <si>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</si>
  <si>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</si>
  <si>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</si>
  <si>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</si>
  <si>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</si>
  <si>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</si>
  <si>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</si>
  <si>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</si>
  <si>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</si>
  <si>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</si>
  <si>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</si>
  <si>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</si>
  <si>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CIBOLA COUNTY CORRECTIONAL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</si>
  <si>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</si>
  <si>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</si>
  <si>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</si>
  <si>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</si>
  <si>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</si>
  <si>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</si>
  <si>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</si>
  <si>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</si>
  <si>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</si>
  <si>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</si>
  <si>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</si>
  <si>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</si>
  <si>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</si>
  <si>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MILAN</t>
  </si>
  <si>
    <t>EDEN</t>
  </si>
  <si>
    <t>FREDERICK</t>
  </si>
  <si>
    <t>MD</t>
  </si>
  <si>
    <t>PINE PRAIRIE ICE PROCESSING CENTER</t>
  </si>
  <si>
    <t>IRWIN COUNTY DETENTION CENTER</t>
  </si>
  <si>
    <t>ALVARADO</t>
  </si>
  <si>
    <t>AURORA</t>
  </si>
  <si>
    <t>JEFFERSON COUNTY JAIL</t>
  </si>
  <si>
    <t>PINELLAS COUNTY JAIL</t>
  </si>
  <si>
    <t>GEAUGA COUNTY JAIL</t>
  </si>
  <si>
    <t>AL</t>
  </si>
  <si>
    <t>HENDERSON</t>
  </si>
  <si>
    <t>GUAYNABO MDC (SAN JUAN)</t>
  </si>
  <si>
    <t>BERGEN COUNTY JAIL</t>
  </si>
  <si>
    <t>SALEM COUNTY CORRECTIONAL FACILITY</t>
  </si>
  <si>
    <t>DALTON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</si>
  <si>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</si>
  <si>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</si>
  <si>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</si>
  <si>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</si>
  <si>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</si>
  <si>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</si>
  <si>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</si>
  <si>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</si>
  <si>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</si>
  <si>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</si>
  <si>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</si>
  <si>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</si>
  <si>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</si>
  <si>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</si>
  <si>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</si>
  <si>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</si>
  <si>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</si>
  <si>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</si>
  <si>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</si>
  <si>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</si>
  <si>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</si>
  <si>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</si>
  <si>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</si>
  <si>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</si>
  <si>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</si>
  <si>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</si>
  <si>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</si>
  <si>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</si>
  <si>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</si>
  <si>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</si>
  <si>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</si>
  <si>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</si>
  <si>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</si>
  <si>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</si>
  <si>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</si>
  <si>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</si>
  <si>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</si>
  <si>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</si>
  <si>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</si>
  <si>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</si>
  <si>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</si>
  <si>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</si>
  <si>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</si>
  <si>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</si>
  <si>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</si>
  <si>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</si>
  <si>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</si>
  <si>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</si>
  <si>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</si>
  <si>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</si>
  <si>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</si>
  <si>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</si>
  <si>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</si>
  <si>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</si>
  <si>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</si>
  <si>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</si>
  <si>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</si>
  <si>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</si>
  <si>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</si>
  <si>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</si>
  <si>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</si>
  <si>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</si>
  <si>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</si>
  <si>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</si>
  <si>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</si>
  <si>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</si>
  <si>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</si>
  <si>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</si>
  <si>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</si>
  <si>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</si>
  <si>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</si>
  <si>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</si>
  <si>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</si>
  <si>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</si>
  <si>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</si>
  <si>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</si>
  <si>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</si>
  <si>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</si>
  <si>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</si>
  <si>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</si>
  <si>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</si>
  <si>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</si>
  <si>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</si>
  <si>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</si>
  <si>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</si>
  <si>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</si>
  <si>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</si>
  <si>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</si>
  <si>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</si>
  <si>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</si>
  <si>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</si>
  <si>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</si>
  <si>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</si>
  <si>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</si>
  <si>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</si>
  <si>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</si>
  <si>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</si>
  <si>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</si>
  <si>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</si>
  <si>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</si>
  <si>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</si>
  <si>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</si>
  <si>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</si>
  <si>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</si>
  <si>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</si>
  <si>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</si>
  <si>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</si>
  <si>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Source: ICE Integrated Decision Support (IIDS), 02/24/2020</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</si>
  <si>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</si>
  <si>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</si>
  <si>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</si>
  <si>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</si>
  <si>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</si>
  <si>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</si>
  <si>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</si>
  <si>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</si>
  <si>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</si>
  <si>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</si>
  <si>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</si>
  <si>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</si>
  <si>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</si>
  <si>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</si>
  <si>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</si>
  <si>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</si>
  <si>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</si>
  <si>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</si>
  <si>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</si>
  <si>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</si>
  <si>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</si>
  <si>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</si>
  <si>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</si>
  <si>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</si>
  <si>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</si>
  <si>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</si>
  <si>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</si>
  <si>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</si>
  <si>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</si>
  <si>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</si>
  <si>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</si>
  <si>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</si>
  <si>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</si>
  <si>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</si>
  <si>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</si>
  <si>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</si>
  <si>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</si>
  <si>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</si>
  <si>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</si>
  <si>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</si>
  <si>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</si>
  <si>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</si>
  <si>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</si>
  <si>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5/9/2019</t>
  </si>
  <si>
    <t>566 VETERANS DRIVE</t>
  </si>
  <si>
    <t>PEARSALL</t>
  </si>
  <si>
    <t>TX</t>
  </si>
  <si>
    <t>SNA</t>
  </si>
  <si>
    <t>CDF</t>
  </si>
  <si>
    <t>2/28/2019</t>
  </si>
  <si>
    <t>SOUTH TEXAS FAMILY RESIDENTIAL CENTER</t>
  </si>
  <si>
    <t>1925 WEST HIGHWAY 85</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</si>
  <si>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</si>
  <si>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</si>
  <si>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</si>
  <si>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</si>
  <si>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</si>
  <si>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</si>
  <si>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</si>
  <si>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</si>
  <si>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</si>
  <si>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</si>
  <si>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</si>
  <si>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</si>
  <si>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</si>
  <si>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</si>
  <si>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</si>
  <si>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</si>
  <si>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</si>
  <si>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</si>
  <si>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</si>
  <si>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</si>
  <si>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</si>
  <si>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</si>
  <si>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</si>
  <si>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</si>
  <si>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</si>
  <si>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</si>
  <si>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</si>
  <si>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</si>
  <si>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</si>
  <si>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</si>
  <si>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</si>
  <si>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</si>
  <si>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</si>
  <si>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</si>
  <si>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</si>
  <si>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</si>
  <si>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</si>
  <si>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</si>
  <si>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</si>
  <si>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</si>
  <si>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</si>
  <si>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</si>
  <si>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</si>
  <si>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</si>
  <si>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</si>
  <si>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</si>
  <si>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</si>
  <si>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</si>
  <si>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</si>
  <si>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</si>
  <si>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</si>
  <si>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</si>
  <si>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</si>
  <si>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</si>
  <si>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</si>
  <si>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</si>
  <si>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10/3/2019</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</si>
  <si>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</si>
  <si>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</si>
  <si>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</si>
  <si>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</si>
  <si>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</si>
  <si>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</si>
  <si>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</si>
  <si>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</si>
  <si>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</si>
  <si>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</si>
  <si>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</si>
  <si>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</si>
  <si>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</si>
  <si>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</si>
  <si>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</si>
  <si>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</si>
  <si>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</si>
  <si>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</si>
  <si>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</si>
  <si>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</si>
  <si>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</si>
  <si>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</si>
  <si>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</si>
  <si>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</si>
  <si>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</si>
  <si>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</si>
  <si>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</si>
  <si>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</si>
  <si>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</si>
  <si>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</si>
  <si>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</si>
  <si>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</si>
  <si>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</si>
  <si>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</si>
  <si>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</si>
  <si>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</si>
  <si>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</si>
  <si>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</si>
  <si>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</si>
  <si>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</si>
  <si>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</si>
  <si>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</si>
  <si>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</si>
  <si>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</si>
  <si>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</si>
  <si>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</si>
  <si>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</si>
  <si>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</si>
  <si>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</si>
  <si>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</si>
  <si>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</si>
  <si>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</si>
  <si>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</si>
  <si>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</si>
  <si>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6/6/2019</t>
  </si>
  <si>
    <t>3900 NORTH POWERLINE ROAD</t>
  </si>
  <si>
    <t>POMPANO BEACH</t>
  </si>
  <si>
    <t>10/31/2019</t>
  </si>
  <si>
    <t>499 OLD COLUMBIA ROAD</t>
  </si>
  <si>
    <t>HARRISONBURG</t>
  </si>
  <si>
    <t>8/22/2019</t>
  </si>
  <si>
    <t>NDS</t>
  </si>
  <si>
    <t>Superior</t>
  </si>
  <si>
    <t>YORK COUNTY PRISON</t>
  </si>
  <si>
    <t>3400 CONCORD ROAD</t>
  </si>
  <si>
    <t>YORK</t>
  </si>
  <si>
    <t>PA</t>
  </si>
  <si>
    <t>PHI</t>
  </si>
  <si>
    <t>10/18/2019</t>
  </si>
  <si>
    <t>1001 WELCH STREET</t>
  </si>
  <si>
    <t>8/29/2019</t>
  </si>
  <si>
    <t>LA PALMA CORRECTION CENTER - APSO</t>
  </si>
  <si>
    <t>New Facility</t>
  </si>
  <si>
    <t>JOE CORLEY ICE PROCESSING CENTER</t>
  </si>
  <si>
    <t>500 HILBIG RD.</t>
  </si>
  <si>
    <t>11/15/2019</t>
  </si>
  <si>
    <t>15976 HWY 165</t>
  </si>
  <si>
    <t>OLLA</t>
  </si>
  <si>
    <t>BUFFALO (BATAVIA) SERVICE PROCESSING CENTER</t>
  </si>
  <si>
    <t>4250 FEDERAL DRIVE</t>
  </si>
  <si>
    <t>BATAVIA</t>
  </si>
  <si>
    <t>NY</t>
  </si>
  <si>
    <t>BUF</t>
  </si>
  <si>
    <t>4/4/2019</t>
  </si>
  <si>
    <t>1297 EAST SR 78</t>
  </si>
  <si>
    <t>MOORE HAVEN</t>
  </si>
  <si>
    <t>Acceptable</t>
  </si>
  <si>
    <t>3/14/2019</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</si>
  <si>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</si>
  <si>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</si>
  <si>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</si>
  <si>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</si>
  <si>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</si>
  <si>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</si>
  <si>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</si>
  <si>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</si>
  <si>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</si>
  <si>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</si>
  <si>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</si>
  <si>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</si>
  <si>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</si>
  <si>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</si>
  <si>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</si>
  <si>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</si>
  <si>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</si>
  <si>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</si>
  <si>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</si>
  <si>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</si>
  <si>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</si>
  <si>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</si>
  <si>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</si>
  <si>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</si>
  <si>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</si>
  <si>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</si>
  <si>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</si>
  <si>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</si>
  <si>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</si>
  <si>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</si>
  <si>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</si>
  <si>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</si>
  <si>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</si>
  <si>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</si>
  <si>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</si>
  <si>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</si>
  <si>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</si>
  <si>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</si>
  <si>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</si>
  <si>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</si>
  <si>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</si>
  <si>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</si>
  <si>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</si>
  <si>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</si>
  <si>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</si>
  <si>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</si>
  <si>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</si>
  <si>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</si>
  <si>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</si>
  <si>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</si>
  <si>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</si>
  <si>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</si>
  <si>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</si>
  <si>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</si>
  <si>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6/4/2019</t>
  </si>
  <si>
    <t>ETOWAH COUNTY JAIL (ALABAMA)</t>
  </si>
  <si>
    <t>827 FORREST AVENUE</t>
  </si>
  <si>
    <t>GADSDEN</t>
  </si>
  <si>
    <t>7/18/2019</t>
  </si>
  <si>
    <t>ELIZABETH CONTRACT DETENTION FACILITY</t>
  </si>
  <si>
    <t>625 EVANS STREET</t>
  </si>
  <si>
    <t>314 W. 7TH STREET</t>
  </si>
  <si>
    <t>OKMULGEE</t>
  </si>
  <si>
    <t>OK</t>
  </si>
  <si>
    <t>9/19/2019</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</si>
  <si>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</si>
  <si>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</si>
  <si>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</si>
  <si>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</si>
  <si>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</si>
  <si>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</si>
  <si>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</si>
  <si>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</si>
  <si>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</si>
  <si>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</si>
  <si>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</si>
  <si>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</si>
  <si>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</si>
  <si>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</si>
  <si>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FM 1144 AT US HIGHWAY 181</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</si>
  <si>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</si>
  <si>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</si>
  <si>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</si>
  <si>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</si>
  <si>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</si>
  <si>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</si>
  <si>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</si>
  <si>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</si>
  <si>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</si>
  <si>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</si>
  <si>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</si>
  <si>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NORTHEAST OHIO CORRECTIONAL CTR (YOUNGSTOWN CDF)</t>
  </si>
  <si>
    <t>2240 HUBBARD ROAD</t>
  </si>
  <si>
    <t>YOUNGSTOWN</t>
  </si>
  <si>
    <t>OH</t>
  </si>
  <si>
    <t>DET</t>
  </si>
  <si>
    <t>3/21/2019</t>
  </si>
  <si>
    <t>PULASKI COUNTY JAIL</t>
  </si>
  <si>
    <t>1026 SHAWNEE COLLEGE ROAD</t>
  </si>
  <si>
    <t>ULLIN</t>
  </si>
  <si>
    <t>KENOSHA COUNTY DETENTION CENTER</t>
  </si>
  <si>
    <t>4777 88TH AVENUE</t>
  </si>
  <si>
    <t>KENOSHA</t>
  </si>
  <si>
    <t>WI</t>
  </si>
  <si>
    <t>CALHOUN COUNTY CORRECTIONAL CENTER</t>
  </si>
  <si>
    <t>185 EAST MICHIGAN AVENUE</t>
  </si>
  <si>
    <t>BATTLE CREEK</t>
  </si>
  <si>
    <t>MI</t>
  </si>
  <si>
    <t>3/7/2019</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</si>
  <si>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</si>
  <si>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</si>
  <si>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</si>
  <si>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</si>
  <si>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</si>
  <si>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</si>
  <si>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</si>
  <si>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</si>
  <si>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</si>
  <si>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</si>
  <si>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</si>
  <si>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</si>
  <si>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</si>
  <si>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</si>
  <si>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</si>
  <si>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</si>
  <si>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</si>
  <si>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</si>
  <si>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</si>
  <si>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</si>
  <si>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</si>
  <si>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</si>
  <si>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</si>
  <si>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7340 HIGHWAY 26 WEST</t>
  </si>
  <si>
    <t>OBERLIN</t>
  </si>
  <si>
    <t>12/5/2019</t>
  </si>
  <si>
    <t>2000 CIBOLA LOOP</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</si>
  <si>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</si>
  <si>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</si>
  <si>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</si>
  <si>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</si>
  <si>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</si>
  <si>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</si>
  <si>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</si>
  <si>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</si>
  <si>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</si>
  <si>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</si>
  <si>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</si>
  <si>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</si>
  <si>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</si>
  <si>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</si>
  <si>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8/8/2019</t>
  </si>
  <si>
    <t>STRAFFORD COUNTY CORRECTIONS</t>
  </si>
  <si>
    <t>266 COUNTY FARM ROAD</t>
  </si>
  <si>
    <t>DOVER</t>
  </si>
  <si>
    <t>NH</t>
  </si>
  <si>
    <t>MONROE COUNTY DETENTION CENTER</t>
  </si>
  <si>
    <t>5501 COLLEGE ROAD</t>
  </si>
  <si>
    <t>KEY WEST</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</si>
  <si>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</si>
  <si>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</si>
  <si>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</si>
  <si>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</si>
  <si>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</si>
  <si>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</si>
  <si>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</si>
  <si>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</si>
  <si>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</si>
  <si>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</si>
  <si>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</si>
  <si>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</si>
  <si>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</si>
  <si>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</si>
  <si>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</si>
  <si>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</si>
  <si>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</si>
  <si>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</si>
  <si>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</si>
  <si>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</si>
  <si>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1/25/2019</t>
  </si>
  <si>
    <t>HOWARD COUNTY DETENTION CENTER</t>
  </si>
  <si>
    <t>7301 WATERLOO ROAD</t>
  </si>
  <si>
    <t>JESSUP</t>
  </si>
  <si>
    <t>Does Not Meet Standards</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</si>
  <si>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</si>
  <si>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</si>
  <si>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</si>
  <si>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</si>
  <si>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</si>
  <si>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</si>
  <si>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</si>
  <si>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</si>
  <si>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</si>
  <si>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</si>
  <si>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</si>
  <si>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</si>
  <si>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</si>
  <si>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</si>
  <si>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</si>
  <si>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</si>
  <si>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</si>
  <si>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</si>
  <si>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</si>
  <si>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</si>
  <si>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</si>
  <si>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</si>
  <si>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</si>
  <si>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2/22/2019</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</si>
  <si>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</si>
  <si>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</si>
  <si>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</si>
  <si>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</si>
  <si>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</si>
  <si>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</si>
  <si>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</si>
  <si>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</si>
  <si>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</si>
  <si>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</si>
  <si>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</si>
  <si>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</si>
  <si>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</si>
  <si>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</si>
  <si>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</si>
  <si>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</si>
  <si>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</si>
  <si>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</si>
  <si>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</si>
  <si>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</si>
  <si>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</si>
  <si>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</si>
  <si>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</si>
  <si>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</si>
  <si>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</si>
  <si>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</si>
  <si>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</si>
  <si>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</si>
  <si>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</si>
  <si>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</si>
  <si>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</si>
  <si>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</si>
  <si>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</si>
  <si>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</si>
  <si>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</si>
  <si>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</si>
  <si>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</si>
  <si>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</si>
  <si>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</si>
  <si>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CBP SAN YSIDRO POE</t>
  </si>
  <si>
    <t>720 E SAN YSIDRO BLVD</t>
  </si>
  <si>
    <t>SAN YSIDRO</t>
  </si>
  <si>
    <t>FRANKLIN COUNTY HOUSE OF CORRECTION</t>
  </si>
  <si>
    <t>160 ELM STREET</t>
  </si>
  <si>
    <t>GREENFIELD</t>
  </si>
  <si>
    <t>TELLER COUNTY JAIL</t>
  </si>
  <si>
    <t>288 WEAVERVILLE ROAD</t>
  </si>
  <si>
    <t>DIVIDE</t>
  </si>
  <si>
    <t>ORSA</t>
  </si>
  <si>
    <t>CACHE COUNTY JAIL</t>
  </si>
  <si>
    <t>50 WEST 200 NORTH</t>
  </si>
  <si>
    <t>LOGAN</t>
  </si>
  <si>
    <t>UT</t>
  </si>
  <si>
    <t>11/8/2018</t>
  </si>
  <si>
    <t>FREDERICK COUNTY DETENTION CENTER</t>
  </si>
  <si>
    <t>7300 MARCIE'S CHOICE LANE</t>
  </si>
  <si>
    <t>CASS COUNTY JAIL</t>
  </si>
  <si>
    <t>336 MAIN STREET</t>
  </si>
  <si>
    <t>PLATTSMOUTH</t>
  </si>
  <si>
    <t>CARVER COUNTY JAIL</t>
  </si>
  <si>
    <t>600 EAST FOURTH ST.</t>
  </si>
  <si>
    <t>CHASKA</t>
  </si>
  <si>
    <t>WASHOE COUNTY JAIL</t>
  </si>
  <si>
    <t>911 PARR BOULEVARD</t>
  </si>
  <si>
    <t>RENO</t>
  </si>
  <si>
    <t>8/30/2018</t>
  </si>
  <si>
    <t>CHARLESTON COUNTY DETENTION CENTER</t>
  </si>
  <si>
    <t>3841 LEEDS AVENUE</t>
  </si>
  <si>
    <t>NORTH CHARLESTON</t>
  </si>
  <si>
    <t>SC</t>
  </si>
  <si>
    <t>CHRISTIAN COUNTY JAIL</t>
  </si>
  <si>
    <t>110 WEST ELM</t>
  </si>
  <si>
    <t>OZARK</t>
  </si>
  <si>
    <t>5/24/2018</t>
  </si>
  <si>
    <t>NORTHERN OREGON CORRECTIONAL FACILITY</t>
  </si>
  <si>
    <t>211 WEBBER ROAD</t>
  </si>
  <si>
    <t>THE DALLES</t>
  </si>
  <si>
    <t>OR</t>
  </si>
  <si>
    <t>DOUGLAS COUNTY DEPARTMENT OF CORRECTIONS</t>
  </si>
  <si>
    <t>710 SOUTH 17TH ST</t>
  </si>
  <si>
    <t>OMAHA</t>
  </si>
  <si>
    <t>DEKALB COUNTY DETENTION CENTER</t>
  </si>
  <si>
    <t>2801 JORDAN ROAD</t>
  </si>
  <si>
    <t>FORT PAYNE</t>
  </si>
  <si>
    <t>CBP CHULA VISTA BPS</t>
  </si>
  <si>
    <t>311 ATHEY AVE</t>
  </si>
  <si>
    <t>PLATTE COUNTY DETENTION CENTER</t>
  </si>
  <si>
    <t>415 THIRD STREET</t>
  </si>
  <si>
    <t>PLATTE CITY</t>
  </si>
  <si>
    <t>SAINT TAMMANY PARISH JAIL</t>
  </si>
  <si>
    <t>701 NORTH COLUMBIA STREET</t>
  </si>
  <si>
    <t>COVINGTON</t>
  </si>
  <si>
    <t>10/5/2018</t>
  </si>
  <si>
    <t>COLLIER COUNTY NAPLES JAIL CENTER</t>
  </si>
  <si>
    <t>3301 TAMIAMI TRAIL EAST</t>
  </si>
  <si>
    <t>NAPLES</t>
  </si>
  <si>
    <t>2/7/2019</t>
  </si>
  <si>
    <t>DALLAS COUNTY JAIL - LEW STERRETT JUSTICE CENTER</t>
  </si>
  <si>
    <t>111 WEST COMMERCE STREET</t>
  </si>
  <si>
    <t>DALLAS</t>
  </si>
  <si>
    <t>10/20/2017</t>
  </si>
  <si>
    <t>14400 49TH STREET NORTH</t>
  </si>
  <si>
    <t>CLEARWATER</t>
  </si>
  <si>
    <t>9/21/2018</t>
  </si>
  <si>
    <t>WASHINGTON COUNTY JAIL (PURGATORY CORRECTIONAL FAC</t>
  </si>
  <si>
    <t>750 SOUTH 5400 WEST</t>
  </si>
  <si>
    <t>HURRICANE</t>
  </si>
  <si>
    <t>9/15/2018</t>
  </si>
  <si>
    <t>HWY 28 INTSECT OF ROAD 165</t>
  </si>
  <si>
    <t>SAN JUAN</t>
  </si>
  <si>
    <t>PR</t>
  </si>
  <si>
    <t>5/8/2008</t>
  </si>
  <si>
    <t>SAIPAN DEPARTMENT OF CORRECTIONS (SUSUPE)</t>
  </si>
  <si>
    <t>TEKKEN ST., SUSUPE VILLAGE</t>
  </si>
  <si>
    <t>SAIPAN</t>
  </si>
  <si>
    <t>MP</t>
  </si>
  <si>
    <t>GRAND FORKS COUNTY CORRECTIONAL FACILITY</t>
  </si>
  <si>
    <t>1701 NORTH WASHINGTON ST</t>
  </si>
  <si>
    <t>GRAND FORKS</t>
  </si>
  <si>
    <t>ND</t>
  </si>
  <si>
    <t>5/17/2018</t>
  </si>
  <si>
    <t>LINCOLN COUNTY DETENTION CENTER</t>
  </si>
  <si>
    <t>65 BUSINESS PARK DRIVE</t>
  </si>
  <si>
    <t>TROY</t>
  </si>
  <si>
    <t>9/19/2018</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</si>
  <si>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</si>
  <si>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</si>
  <si>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</si>
  <si>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</si>
  <si>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</si>
  <si>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</si>
  <si>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</si>
  <si>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</si>
  <si>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</si>
  <si>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</si>
  <si>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</si>
  <si>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</si>
  <si>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</si>
  <si>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</si>
  <si>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</si>
  <si>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</si>
  <si>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BALDWIN COUNTY CORRECTIONAL CENTER</t>
  </si>
  <si>
    <t>200 HAND AVE.</t>
  </si>
  <si>
    <t>BAY MINETTE</t>
  </si>
  <si>
    <t>9/11/2018</t>
  </si>
  <si>
    <t>MINICASSIA DETENTION CENTER</t>
  </si>
  <si>
    <t>1415 ALBION AVENUE</t>
  </si>
  <si>
    <t>BURLEY</t>
  </si>
  <si>
    <t>ID</t>
  </si>
  <si>
    <t>9/17/2018</t>
  </si>
  <si>
    <t>200 COURTHOUSE WAY</t>
  </si>
  <si>
    <t>RIGBY</t>
  </si>
  <si>
    <t>MADISON COUNTY JAIL</t>
  </si>
  <si>
    <t>2935 HIGHWAY 51</t>
  </si>
  <si>
    <t>CANTON</t>
  </si>
  <si>
    <t>9/27/2018</t>
  </si>
  <si>
    <t>Good</t>
  </si>
  <si>
    <t>POTTAWATTAMIE COUNTY JAIL</t>
  </si>
  <si>
    <t>1400 BIG LAKE ROAD</t>
  </si>
  <si>
    <t>COUNCIL BLUFFS</t>
  </si>
  <si>
    <t>4/12/2018</t>
  </si>
  <si>
    <t>COWLITZ COUNTY JUVENILE</t>
  </si>
  <si>
    <t>1725 1ST AVE.</t>
  </si>
  <si>
    <t>LONGVIEW</t>
  </si>
  <si>
    <t>JUVENILE</t>
  </si>
  <si>
    <t>JFRMU Juvenile</t>
  </si>
  <si>
    <t>5001 Maloneyville Rd</t>
  </si>
  <si>
    <t>Knoxville</t>
  </si>
  <si>
    <t>TN</t>
  </si>
  <si>
    <t>OLDHAM COUNTY JAIL</t>
  </si>
  <si>
    <t>100 W MAIN STREET</t>
  </si>
  <si>
    <t>LA GRANGE</t>
  </si>
  <si>
    <t>8/16/2018</t>
  </si>
  <si>
    <t>DELAWARE CO JAIL (GEORGE W. HILL)</t>
  </si>
  <si>
    <t>500 CHAYNEY ROAD</t>
  </si>
  <si>
    <t>THORNTON</t>
  </si>
  <si>
    <t>8/10/2018</t>
  </si>
  <si>
    <t>LA PAZ COUNTY ADULT DETENTION FACILITY</t>
  </si>
  <si>
    <t>1109 ARIZONA AVE.</t>
  </si>
  <si>
    <t>PARKER</t>
  </si>
  <si>
    <t>RENSSELAER COUNTY CORRECTIONAL FACILITY</t>
  </si>
  <si>
    <t>4000 MAIN STREET</t>
  </si>
  <si>
    <t>WESTERN TENNESSEE DETENTION FACILITY</t>
  </si>
  <si>
    <t>6299 FINDE NAIFEH DRIVE</t>
  </si>
  <si>
    <t>MASON</t>
  </si>
  <si>
    <t>WASHINGTON COUNTY DETENTION CENTER</t>
  </si>
  <si>
    <t>1155 WEST CLYDESDALE DRIVE</t>
  </si>
  <si>
    <t>FAYETTEVILLE</t>
  </si>
  <si>
    <t>AR</t>
  </si>
  <si>
    <t>9/18/2018</t>
  </si>
  <si>
    <t>EAST HIDALGO DETENTION CENTER</t>
  </si>
  <si>
    <t>1330 HIGHWAY 107</t>
  </si>
  <si>
    <t>LA VILLA</t>
  </si>
  <si>
    <t>9/6/2019</t>
  </si>
  <si>
    <t>FAYETTE COUNTY DETENTION CENTER</t>
  </si>
  <si>
    <t>600 OLD FRANKFORD CR</t>
  </si>
  <si>
    <t>LEXINGTON</t>
  </si>
  <si>
    <t>8/14/2018</t>
  </si>
  <si>
    <t>LEXINGTON COUNTY JAIL</t>
  </si>
  <si>
    <t>521 GIBSON ROAD</t>
  </si>
  <si>
    <t>9/15/2017</t>
  </si>
  <si>
    <t>DAKOTA COUNTY JAIL</t>
  </si>
  <si>
    <t>1601 BROADWAY</t>
  </si>
  <si>
    <t>DAKOTA CITY</t>
  </si>
  <si>
    <t>9/24/2018</t>
  </si>
  <si>
    <t>WHITFIELD COUNTY JAIL</t>
  </si>
  <si>
    <t>805 PROFESSIONAL BLVD</t>
  </si>
  <si>
    <t>10/16/2018</t>
  </si>
  <si>
    <t>BEAVER COUNTY JAIL</t>
  </si>
  <si>
    <t>6000 WOODLAWN BOULEVARD</t>
  </si>
  <si>
    <t>ALIQUIPPA</t>
  </si>
  <si>
    <t>9/18/2017</t>
  </si>
  <si>
    <t>NEW HANOVER COUNTY JAIL</t>
  </si>
  <si>
    <t>3950 JUVENILE RD</t>
  </si>
  <si>
    <t>CASTLE HAYNE</t>
  </si>
  <si>
    <t>CHAUTAUQUA COUNTY JAIL</t>
  </si>
  <si>
    <t>15 E. CHAUTAUQUA STREET</t>
  </si>
  <si>
    <t>MAYVILLE</t>
  </si>
  <si>
    <t>9/25/2018</t>
  </si>
  <si>
    <t>LONOKE POLICE DEPARTMENT</t>
  </si>
  <si>
    <t>203 W. FRONT STREET</t>
  </si>
  <si>
    <t>LONOKE</t>
  </si>
  <si>
    <t>SALT LAKE COUNTY METRO JAIL</t>
  </si>
  <si>
    <t>3415 SOUTH 900 WEST</t>
  </si>
  <si>
    <t>SALT LAKE CITY</t>
  </si>
  <si>
    <t>MONROE COUNTY DETENTION MAIN</t>
  </si>
  <si>
    <t>100 EAST 2ND STREET</t>
  </si>
  <si>
    <t>2/23/2011</t>
  </si>
  <si>
    <t>YAKIMA COUNTY DEPARTMENT OF CORRECTIONS</t>
  </si>
  <si>
    <t>111 NORTH FRONT STREET</t>
  </si>
  <si>
    <t>YAKIMA</t>
  </si>
  <si>
    <t>10/2/2017</t>
  </si>
  <si>
    <t>PLATTE COUNTY JAIL</t>
  </si>
  <si>
    <t>850 MAPLE STREET</t>
  </si>
  <si>
    <t>WHEATLAND</t>
  </si>
  <si>
    <t>WY</t>
  </si>
  <si>
    <t>SEBASTIAN COUNTY DETENTION CENTER</t>
  </si>
  <si>
    <t>801 SOUTH A STREET</t>
  </si>
  <si>
    <t>FORT SMITH</t>
  </si>
  <si>
    <t>10/1/2018</t>
  </si>
  <si>
    <t>NORTHERN OREGON JUVENILE DETENTION</t>
  </si>
  <si>
    <t>211 WEBBER STREET</t>
  </si>
  <si>
    <t>125 CEMETERY ROAD</t>
  </si>
  <si>
    <t>WOODSTOWN</t>
  </si>
  <si>
    <t>2/24/2016</t>
  </si>
  <si>
    <t>STORY COUNTY JAIL</t>
  </si>
  <si>
    <t>1315 SOUTH B AVENUE</t>
  </si>
  <si>
    <t>NEVADA</t>
  </si>
  <si>
    <t>FLOYD COUNTY JAIL</t>
  </si>
  <si>
    <t>2526 NEW CALHOUN HWY</t>
  </si>
  <si>
    <t>ROME</t>
  </si>
  <si>
    <t>VAL VERDE CORRECTIONAL FACILITY</t>
  </si>
  <si>
    <t>253 FARM TO MARKET 2523</t>
  </si>
  <si>
    <t>DEL RIO</t>
  </si>
  <si>
    <t>UNION COUNTY JAIL</t>
  </si>
  <si>
    <t>BOX 117</t>
  </si>
  <si>
    <t>ELK POINT</t>
  </si>
  <si>
    <t>SD</t>
  </si>
  <si>
    <t>MIDLAND COUNTY DETENTION CENTER</t>
  </si>
  <si>
    <t>400 S MAIN STREET</t>
  </si>
  <si>
    <t>MIDLAND</t>
  </si>
  <si>
    <t>9/4/2013</t>
  </si>
  <si>
    <t>MILLER COUNTY JAIL</t>
  </si>
  <si>
    <t>2300 EAST STREET</t>
  </si>
  <si>
    <t>TEXARKANA</t>
  </si>
  <si>
    <t>ERIE COUNTY JAIL</t>
  </si>
  <si>
    <t>1618 ASH STREET</t>
  </si>
  <si>
    <t>ERIE</t>
  </si>
  <si>
    <t>9/20/2018</t>
  </si>
  <si>
    <t>HENDERSON COUNTY JAIL</t>
  </si>
  <si>
    <t>206-A N MURCHISON STREET</t>
  </si>
  <si>
    <t>ATHENS</t>
  </si>
  <si>
    <t>YORK COUNTY DETENTION CENTER</t>
  </si>
  <si>
    <t>1675-3A YORK HWY</t>
  </si>
  <si>
    <t>8/11/2016</t>
  </si>
  <si>
    <t>KARNES COUNTY CORRECTIONAL CENTER</t>
  </si>
  <si>
    <t>810 COMMERCE STREET</t>
  </si>
  <si>
    <t>3/16/2017</t>
  </si>
  <si>
    <t>TITUS COUNTY JAIL</t>
  </si>
  <si>
    <t>304 SOUTH VAN BUREN AVENUE</t>
  </si>
  <si>
    <t>MT. PLEASANT</t>
  </si>
  <si>
    <t>8/8/2016</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</si>
  <si>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</si>
  <si>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</si>
  <si>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</si>
  <si>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</si>
  <si>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</si>
  <si>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</si>
  <si>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</si>
  <si>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</si>
  <si>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</si>
  <si>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</si>
  <si>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</si>
  <si>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</si>
  <si>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</si>
  <si>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</si>
  <si>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</si>
  <si>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</si>
  <si>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</si>
  <si>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</si>
  <si>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</si>
  <si>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</si>
  <si>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</si>
  <si>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</si>
  <si>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</si>
  <si>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</si>
  <si>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</si>
  <si>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</si>
  <si>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</si>
  <si>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</si>
  <si>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</si>
  <si>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</si>
  <si>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</si>
  <si>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</si>
  <si>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</si>
  <si>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</si>
  <si>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</si>
  <si>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</si>
  <si>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</si>
  <si>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</si>
  <si>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Paroled</t>
  </si>
  <si>
    <t>Prosecutorial Discretion</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</si>
  <si>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</si>
  <si>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</si>
  <si>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</si>
  <si>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</si>
  <si>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</si>
  <si>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</si>
  <si>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</si>
  <si>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</si>
  <si>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</si>
  <si>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</si>
  <si>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</si>
  <si>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</si>
  <si>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</si>
  <si>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</si>
  <si>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</si>
  <si>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</si>
  <si>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</si>
  <si>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</si>
  <si>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</si>
  <si>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</si>
  <si>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</si>
  <si>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</si>
  <si>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</si>
  <si>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</si>
  <si>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</si>
  <si>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</si>
  <si>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</si>
  <si>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</si>
  <si>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</si>
  <si>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</si>
  <si>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</si>
  <si>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</si>
  <si>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</si>
  <si>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</si>
  <si>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</si>
  <si>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</si>
  <si>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</si>
  <si>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</si>
  <si>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</si>
  <si>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</si>
  <si>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</si>
  <si>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</si>
  <si>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</si>
  <si>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</si>
  <si>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</si>
  <si>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</si>
  <si>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</si>
  <si>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</si>
  <si>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</si>
  <si>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</si>
  <si>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</si>
  <si>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</si>
  <si>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</si>
  <si>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</si>
  <si>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</si>
  <si>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</si>
  <si>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</si>
  <si>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</si>
  <si>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Average Length of Stay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</si>
  <si>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</si>
  <si>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</si>
  <si>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</si>
  <si>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ICE Final Releases by Release Reason and Criminality: FY2021 YTD</t>
  </si>
  <si>
    <t>FY2021 YTD ICE Average Daily Population and ICE Average Length of Stay</t>
  </si>
  <si>
    <t>FY2019 ICE Alternatives to Detention</t>
  </si>
  <si>
    <t>FY2021 YTD ICE Removals</t>
  </si>
  <si>
    <t>FY2021 YTD ICE Initial Book-Ins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</si>
  <si>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</si>
  <si>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</si>
  <si>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</si>
  <si>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The data provided by USCIS contains multiple records for some Alien File Numbers. There are 164,626 unique fear determinations and 1,309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</si>
  <si>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Of the 164,626 records in the USCIS provided data the breakdown of the fear screening determinations is as follows; 93,696 positive fear screening determinations, 42,078 negative fear screening determinations and 28,852 without an identified determination. Of the 93,696 with positive fear screening determinations; 61,036 have Persecution Claim Established and 32,660 have Torture Claim Established.</t>
  </si>
  <si>
    <t>USCIS provided data containing APSO (Asylum Pre Screening Officer) cases clocked during FY2019 - FY2021 YTD.  Data were received on 02/16/2021.</t>
  </si>
  <si>
    <t>Aliens Currently in ICE Detention Facilities data are a snapshot as of 02/13/2021 (IIDS v.1.34 run date 02/15/2021; EID as of 02/13/2021).</t>
  </si>
  <si>
    <t>FY2021 YTD ICE Releases data are updated through 02/13/2021 (IIDS v.1.34 run date 02/15/2021; EID as of 02/13/2021).</t>
  </si>
  <si>
    <t>FY2021 YTD ICE Detention data are updated through 02/13/2021 (IIDS v.1.34 run date 02/15/2021; EID as of 02/13/2021).</t>
  </si>
  <si>
    <t>ICE National Docket data are a snapshot as of 02/13/2021 (IIDS v.1.34 run date 02/15/2021; EID as of 02/13/2021).</t>
  </si>
  <si>
    <t>FY2021 YTD ICE Removals data are updated through 02/13/2021 (IIDS v.1.34 run date 02/15/2021; EID as of 02/13/2021).</t>
  </si>
  <si>
    <t>FY2021 YTD ICE Final Releases data are updated through 02/13/2021 (IIDS v.1.34 run date 02/15/2021; EID as of 02/13/2021).</t>
  </si>
  <si>
    <t>Active ATD Participants and Average Length in Program, FY21,  as of 2/13/2021, by AOR and Technology</t>
  </si>
  <si>
    <t>Data from OBP Report, 1.31.2021</t>
  </si>
  <si>
    <t>Data from BI Inc. Participants Report, 02.13.2021</t>
  </si>
  <si>
    <t>ATD Active Population by Status, Extended Case Management Service, Count and ALIP, FY21</t>
  </si>
  <si>
    <t>ICE ALTERNATIVES TO DETENTION DATA, FY21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</si>
</sst>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90">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0" fillId="0" borderId="0" xfId="0"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0" fontId="9" fillId="3" borderId="0" xfId="4" applyFont="1" applyFill="1" applyBorder="1" applyAlignment="1">
      <alignment horizontal="left" vertical="top" wrapText="1"/>
    </xf>
    <xf numFmtId="0" fontId="9" fillId="3" borderId="0" xfId="4" applyFont="1" applyFill="1" applyBorder="1" applyAlignment="1">
      <alignment vertical="top" wrapText="1"/>
    </xf>
    <xf numFmtId="3" fontId="9" fillId="3" borderId="0" xfId="1" applyNumberFormat="1" applyFont="1" applyFill="1" applyBorder="1" applyAlignment="1">
      <alignment horizontal="left" vertical="top"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13" fillId="0" borderId="0" xfId="4" applyFont="1" applyBorder="1" applyAlignment="1">
      <alignment horizontal="left"/>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4" fontId="2" fillId="2" borderId="0" xfId="0" applyNumberFormat="1" applyFont="1" applyFill="1" applyBorder="1"/>
    <xf numFmtId="0" fontId="11" fillId="2" borderId="0" xfId="0" applyFont="1" applyFill="1" applyBorder="1" applyAlignment="1">
      <alignment vertical="center" wrapText="1"/>
    </xf>
    <xf numFmtId="3" fontId="11" fillId="2" borderId="0" xfId="0" applyNumberFormat="1" applyFont="1" applyFill="1" applyAlignment="1">
      <alignment horizontal="center"/>
    </xf>
    <xf numFmtId="3" fontId="11" fillId="0" borderId="0" xfId="0" applyNumberFormat="1" applyFont="1" applyAlignment="1">
      <alignment horizontal="center"/>
    </xf>
    <xf numFmtId="0" fontId="11" fillId="2" borderId="0"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19" fillId="3" borderId="1" xfId="0" applyFont="1" applyFill="1" applyBorder="1" applyAlignment="1">
      <alignment horizontal="center" vertical="center" wrapText="1"/>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1" fillId="2" borderId="7"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2" fillId="2" borderId="1" xfId="0" applyFont="1" applyFill="1" applyBorder="1" applyAlignment="1"/>
    <xf numFmtId="0" fontId="2" fillId="2" borderId="0" xfId="0" applyFont="1" applyFill="1" applyBorder="1" applyAlignment="1"/>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14" xfId="0" applyNumberFormat="1" applyFont="1" applyFill="1" applyBorder="1" applyAlignment="1">
      <alignment horizontal="right"/>
    </xf>
    <xf numFmtId="41" fontId="2" fillId="5" borderId="26" xfId="0" applyNumberFormat="1" applyFont="1" applyFill="1" applyBorder="1" applyAlignment="1">
      <alignment horizontal="right"/>
    </xf>
    <xf numFmtId="41" fontId="2" fillId="5" borderId="15" xfId="0" applyNumberFormat="1" applyFont="1" applyFill="1" applyBorder="1" applyAlignment="1">
      <alignment horizontal="right"/>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38"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7"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164" fontId="2" fillId="2" borderId="12" xfId="1" applyNumberFormat="1" applyFont="1" applyFill="1" applyBorder="1" applyAlignment="1">
      <alignment horizontal="right"/>
    </xf>
    <xf numFmtId="164" fontId="2" fillId="2" borderId="13" xfId="1" applyNumberFormat="1" applyFont="1" applyFill="1" applyBorder="1" applyAlignment="1">
      <alignment horizontal="right"/>
    </xf>
    <xf numFmtId="164" fontId="2" fillId="2" borderId="38" xfId="1" applyNumberFormat="1" applyFont="1" applyFill="1" applyBorder="1" applyAlignment="1">
      <alignment horizontal="right"/>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5" xfId="1" applyNumberFormat="1" applyFont="1" applyFill="1" applyBorder="1" applyAlignment="1">
      <alignment horizontal="right"/>
    </xf>
    <xf numFmtId="164" fontId="2" fillId="2" borderId="36" xfId="1" applyNumberFormat="1" applyFont="1" applyFill="1" applyBorder="1" applyAlignment="1">
      <alignment horizontal="right"/>
    </xf>
    <xf numFmtId="164" fontId="2" fillId="2" borderId="37" xfId="1" applyNumberFormat="1" applyFont="1" applyFill="1" applyBorder="1" applyAlignment="1">
      <alignment horizontal="right"/>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Border="1" applyAlignment="1">
      <alignment horizontal="left" vertical="top" wrapText="1"/>
    </xf>
    <xf numFmtId="0" fontId="9" fillId="3" borderId="9" xfId="4" applyFont="1" applyFill="1" applyBorder="1" applyAlignment="1">
      <alignment horizontal="left" vertical="top" wrapText="1"/>
    </xf>
    <xf numFmtId="0" fontId="28" fillId="2" borderId="0" xfId="2" applyFont="1" applyFill="1" applyAlignment="1">
      <alignment horizontal="left" vertical="top"/>
    </xf>
    <xf numFmtId="0" fontId="8" fillId="0" borderId="40" xfId="0" applyFont="1" applyBorder="1" applyAlignment="1">
      <alignment horizontal="left" vertical="top" wrapText="1"/>
    </xf>
    <xf numFmtId="0" fontId="8" fillId="0" borderId="2" xfId="0" applyFont="1" applyBorder="1" applyAlignment="1">
      <alignment horizontal="left" vertical="top" wrapText="1"/>
    </xf>
    <xf numFmtId="0" fontId="8" fillId="0" borderId="5" xfId="0" applyFont="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10"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xf numFmtId="0" fontId="26" fillId="2" borderId="0" xfId="0" applyFont="1" applyFill="1" applyAlignment="1">
      <alignment horizontal="left" vertical="center" wrapText="1"/>
    </xf>
    <xf numFmtId="0" fontId="27" fillId="2" borderId="0" xfId="0" applyFont="1" applyFill="1" applyAlignment="1">
      <alignment horizontal="left" vertical="center" wrapText="1"/>
    </xf>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26" fillId="2" borderId="0" xfId="0" applyFont="1" applyFill="1" applyAlignment="1">
      <alignment horizontal="left" wrapText="1"/>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Facility_List_Staging_8_26_2013.accdb_114" displayName="Table_Facility_List_Staging_8_26_2013.accdb_114" ref="A7:AE191" headerRowDxfId="64" dataDxfId="62" headerRowBorderDxfId="63" tableBorderDxfId="61">
  <autoFilter ref="A7:AE191" xr:uid="{A61EA6D5-A4B3-48FA-BF06-9F20975F3907}"/>
  <tableColumns count="31">
    <tableColumn id="2" xr3:uid="{00000000-0010-0000-0000-000002000000}" name="Name" dataDxfId="60" totalsRowDxfId="59"/>
    <tableColumn id="3" xr3:uid="{00000000-0010-0000-0000-000003000000}" name="Address" dataDxfId="58" totalsRowDxfId="57"/>
    <tableColumn id="4" xr3:uid="{00000000-0010-0000-0000-000004000000}" name="City" dataDxfId="56" totalsRowDxfId="55"/>
    <tableColumn id="6" xr3:uid="{00000000-0010-0000-0000-000006000000}" name="State" dataDxfId="54"/>
    <tableColumn id="7" xr3:uid="{00000000-0010-0000-0000-000007000000}" name="Zip" dataDxfId="53" totalsRowDxfId="52"/>
    <tableColumn id="9" xr3:uid="{00000000-0010-0000-0000-000009000000}" name="AOR" dataDxfId="51" totalsRowDxfId="50"/>
    <tableColumn id="12" xr3:uid="{00000000-0010-0000-0000-00000C000000}" name="Type Detailed" dataDxfId="49" totalsRowDxfId="48"/>
    <tableColumn id="81" xr3:uid="{00000000-0010-0000-0000-000051000000}" name="Male/Female" dataDxfId="47" totalsRowDxfId="46"/>
    <tableColumn id="43" xr3:uid="{00000000-0010-0000-0000-00002B000000}" name="FY21 ALOS" dataDxfId="45" totalsRowDxfId="44" dataCellStyle="Comma"/>
    <tableColumn id="67" xr3:uid="{00000000-0010-0000-0000-000043000000}" name="Level A" dataDxfId="43" totalsRowDxfId="42"/>
    <tableColumn id="68" xr3:uid="{00000000-0010-0000-0000-000044000000}" name="Level B" dataDxfId="41" totalsRowDxfId="40"/>
    <tableColumn id="69" xr3:uid="{00000000-0010-0000-0000-000045000000}" name="Level C" dataDxfId="39" totalsRowDxfId="38"/>
    <tableColumn id="70" xr3:uid="{00000000-0010-0000-0000-000046000000}" name="Level D" dataDxfId="37" totalsRowDxfId="36"/>
    <tableColumn id="71" xr3:uid="{00000000-0010-0000-0000-000047000000}" name="Male Crim" dataDxfId="35" totalsRowDxfId="34"/>
    <tableColumn id="72" xr3:uid="{00000000-0010-0000-0000-000048000000}" name="Male Non-Crim" dataDxfId="33" totalsRowDxfId="32"/>
    <tableColumn id="73" xr3:uid="{00000000-0010-0000-0000-000049000000}" name="Female Crim" dataDxfId="31" totalsRowDxfId="30"/>
    <tableColumn id="74" xr3:uid="{00000000-0010-0000-0000-00004A000000}" name="Female Non-Crim" dataDxfId="29" totalsRowDxfId="28"/>
    <tableColumn id="75" xr3:uid="{00000000-0010-0000-0000-00004B000000}" name="ICE Threat Level 1" dataDxfId="27" totalsRowDxfId="26"/>
    <tableColumn id="76" xr3:uid="{00000000-0010-0000-0000-00004C000000}" name="ICE Threat Level 2" dataDxfId="25" totalsRowDxfId="24"/>
    <tableColumn id="77" xr3:uid="{00000000-0010-0000-0000-00004D000000}" name="ICE Threat Level 3" dataDxfId="23" totalsRowDxfId="22"/>
    <tableColumn id="78" xr3:uid="{00000000-0010-0000-0000-00004E000000}" name="No ICE Threat Level" dataDxfId="21" totalsRowDxfId="20"/>
    <tableColumn id="79" xr3:uid="{00000000-0010-0000-0000-00004F000000}" name="Mandatory" dataDxfId="19" totalsRowDxfId="18"/>
    <tableColumn id="86" xr3:uid="{00000000-0010-0000-0000-000056000000}" name="Guaranteed Minimum" dataDxfId="17" totalsRowDxfId="16"/>
    <tableColumn id="124" xr3:uid="{00000000-0010-0000-0000-00007C000000}" name="Last Inspection Type" dataDxfId="15" totalsRowDxfId="14"/>
    <tableColumn id="129" xr3:uid="{00000000-0010-0000-0000-000081000000}" name="Last Inspection Standard" dataDxfId="13" totalsRowDxfId="12"/>
    <tableColumn id="93" xr3:uid="{00000000-0010-0000-0000-00005D000000}" name="Last Inspection Rating - Final" dataDxfId="11"/>
    <tableColumn id="95" xr3:uid="{00000000-0010-0000-0000-00005F000000}" name="Last Inspection Date" dataDxfId="10" totalsRowDxfId="9"/>
    <tableColumn id="125" xr3:uid="{00000000-0010-0000-0000-00007D000000}" name="Second to Last Inspection Type" dataDxfId="8" totalsRowDxfId="7"/>
    <tableColumn id="131" xr3:uid="{00000000-0010-0000-0000-000083000000}" name="Second to Last Inspection Standard" dataDxfId="6" totalsRowDxfId="5"/>
    <tableColumn id="5" xr3:uid="{00000000-0010-0000-0000-000005000000}" name="Second to Last Inspection Rating" dataDxfId="4" totalsRowDxfId="3"/>
    <tableColumn id="97" xr3:uid="{00000000-0010-0000-0000-000061000000}" name="Second to Last Inspection Date" dataDxfId="2" totalsRow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election activeCell="A5" sqref="A5"/>
    </sheetView>
  </sheetViews>
  <sheetFormatPr defaultColWidth="0" defaultRowHeight="15" zeroHeight="1" x14ac:dyDescent="0.25"/>
  <cols>
    <col min="1" max="1" width="110.42578125" customWidth="1"/>
    <col min="2" max="16384" width="8.85546875" hidden="1"/>
  </cols>
  <sheetData>
    <row r="1" spans="1:1" ht="119.1" customHeight="1" x14ac:dyDescent="0.25">
      <c r="A1" s="68" t="s">
        <v>884</v>
      </c>
    </row>
    <row r="2" spans="1:1" ht="51.75" customHeight="1" x14ac:dyDescent="0.25">
      <c r="A2" s="67" t="s">
        <v>64</v>
      </c>
    </row>
    <row r="3" spans="1:1" ht="76.349999999999994" customHeight="1" x14ac:dyDescent="0.25">
      <c r="A3" s="67" t="s">
        <v>888</v>
      </c>
    </row>
    <row r="4" spans="1:1" ht="22.5" customHeight="1" x14ac:dyDescent="0.25">
      <c r="A4" s="67" t="s">
        <v>883</v>
      </c>
    </row>
    <row r="5" spans="1:1" ht="36.75" customHeight="1" x14ac:dyDescent="0.25">
      <c r="A5" s="67" t="s">
        <v>855</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AC16-78CC-4C4E-88CA-EBF7E92C0A44}">
  <sheetPr>
    <tabColor theme="0"/>
  </sheetPr>
  <dimension ref="A1:BD116"/>
  <sheetViews>
    <sheetView zoomScale="80" zoomScaleNormal="80" workbookViewId="0">
      <selection activeCell="E10" sqref="E10"/>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32"/>
  </cols>
  <sheetData>
    <row r="1" spans="1:56" ht="55.35" customHeight="1" x14ac:dyDescent="0.25">
      <c r="A1" s="206" t="s">
        <v>63</v>
      </c>
      <c r="B1" s="206"/>
      <c r="C1" s="206"/>
      <c r="D1" s="206"/>
      <c r="E1" s="32"/>
      <c r="F1" s="32"/>
      <c r="G1" s="32"/>
      <c r="H1" s="32"/>
      <c r="I1" s="32"/>
      <c r="J1" s="32"/>
      <c r="K1" s="32"/>
      <c r="L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row>
    <row r="2" spans="1:56" ht="55.35" customHeight="1" x14ac:dyDescent="0.25">
      <c r="A2" s="207" t="s">
        <v>64</v>
      </c>
      <c r="B2" s="207"/>
      <c r="C2" s="207"/>
      <c r="D2" s="207"/>
      <c r="E2" s="32"/>
      <c r="F2" s="32"/>
      <c r="G2" s="32"/>
      <c r="H2" s="32"/>
      <c r="I2" s="32"/>
      <c r="J2" s="32"/>
      <c r="K2" s="32"/>
      <c r="L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row>
    <row r="3" spans="1:56" ht="13.35" customHeight="1" x14ac:dyDescent="0.25">
      <c r="A3" s="32"/>
      <c r="B3" s="32"/>
      <c r="C3" s="32"/>
      <c r="D3" s="32"/>
      <c r="E3" s="32"/>
      <c r="F3" s="32"/>
      <c r="G3" s="43"/>
      <c r="H3" s="32"/>
      <c r="I3" s="32"/>
      <c r="J3" s="32"/>
      <c r="K3" s="32"/>
      <c r="L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row>
    <row r="4" spans="1:56" ht="55.35" customHeight="1" x14ac:dyDescent="0.25">
      <c r="A4" s="205" t="s">
        <v>978</v>
      </c>
      <c r="B4" s="205"/>
      <c r="C4" s="205"/>
      <c r="D4" s="205"/>
      <c r="E4" s="87"/>
      <c r="F4" s="87"/>
      <c r="G4" s="87"/>
      <c r="H4" s="87"/>
      <c r="I4" s="87"/>
      <c r="J4" s="32"/>
      <c r="K4" s="32"/>
      <c r="L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row>
    <row r="5" spans="1:56" ht="50.1" customHeight="1" x14ac:dyDescent="0.25">
      <c r="A5" s="289" t="s">
        <v>977</v>
      </c>
      <c r="B5" s="289"/>
      <c r="C5" s="289"/>
      <c r="D5" s="61"/>
      <c r="E5" s="32"/>
      <c r="F5" s="32"/>
      <c r="G5" s="32"/>
      <c r="H5" s="32"/>
      <c r="I5" s="32"/>
      <c r="J5" s="32"/>
      <c r="K5" s="32"/>
      <c r="L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row>
    <row r="6" spans="1:56" x14ac:dyDescent="0.25">
      <c r="A6" s="66" t="s">
        <v>856</v>
      </c>
      <c r="B6" s="66" t="s">
        <v>857</v>
      </c>
      <c r="C6" s="66" t="s">
        <v>67</v>
      </c>
      <c r="D6" s="32"/>
      <c r="E6" s="32"/>
      <c r="F6" s="32"/>
      <c r="G6" s="32"/>
      <c r="H6" s="32"/>
      <c r="I6" s="32"/>
      <c r="J6" s="32"/>
      <c r="K6" s="32"/>
      <c r="L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row>
    <row r="7" spans="1:56" x14ac:dyDescent="0.25">
      <c r="A7" s="62" t="s">
        <v>858</v>
      </c>
      <c r="B7" s="64">
        <v>44714</v>
      </c>
      <c r="C7" s="288">
        <v>880.697700943776</v>
      </c>
      <c r="D7" s="32"/>
      <c r="E7" s="32"/>
      <c r="F7" s="32"/>
      <c r="G7" s="32"/>
      <c r="H7" s="32"/>
      <c r="I7" s="32"/>
      <c r="J7" s="32"/>
      <c r="K7" s="32"/>
      <c r="L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row>
    <row r="8" spans="1:56" x14ac:dyDescent="0.25">
      <c r="A8" s="62" t="s">
        <v>886</v>
      </c>
      <c r="B8" s="64">
        <v>995</v>
      </c>
      <c r="C8" s="288">
        <v>750.78391959798989</v>
      </c>
      <c r="D8" s="32"/>
      <c r="E8" s="32"/>
      <c r="F8" s="32"/>
      <c r="G8" s="32"/>
      <c r="H8" s="32"/>
      <c r="I8" s="32"/>
      <c r="J8" s="32"/>
      <c r="K8" s="32"/>
      <c r="L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row>
    <row r="9" spans="1:56" x14ac:dyDescent="0.25">
      <c r="A9" s="62" t="s">
        <v>885</v>
      </c>
      <c r="B9" s="64">
        <v>41974</v>
      </c>
      <c r="C9" s="288">
        <v>885.41828274646207</v>
      </c>
      <c r="D9" s="32"/>
      <c r="E9" s="32"/>
      <c r="F9" s="32"/>
      <c r="G9" s="32"/>
      <c r="H9" s="32"/>
      <c r="I9" s="32"/>
      <c r="J9" s="32"/>
      <c r="K9" s="32"/>
      <c r="L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row>
    <row r="10" spans="1:56" x14ac:dyDescent="0.25">
      <c r="A10" s="62" t="s">
        <v>887</v>
      </c>
      <c r="B10" s="64">
        <v>625</v>
      </c>
      <c r="C10" s="288">
        <v>727.73599999999999</v>
      </c>
      <c r="D10" s="61"/>
      <c r="E10" s="32"/>
      <c r="F10" s="32"/>
      <c r="G10" s="32"/>
      <c r="H10" s="32"/>
      <c r="I10" s="32"/>
      <c r="J10" s="32"/>
      <c r="K10" s="32"/>
      <c r="L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row>
    <row r="11" spans="1:56" x14ac:dyDescent="0.25">
      <c r="A11" s="63" t="s">
        <v>1</v>
      </c>
      <c r="B11" s="65">
        <v>88308</v>
      </c>
      <c r="C11" s="287">
        <v>880.39508311817724</v>
      </c>
      <c r="D11" s="32"/>
      <c r="E11" s="32"/>
      <c r="F11" s="32"/>
      <c r="G11" s="32"/>
      <c r="H11" s="32"/>
      <c r="I11" s="32"/>
      <c r="J11" s="32"/>
      <c r="K11" s="32"/>
      <c r="L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row>
    <row r="12" spans="1:56" ht="15.75" customHeight="1" x14ac:dyDescent="0.25">
      <c r="A12" s="286" t="s">
        <v>976</v>
      </c>
      <c r="B12" s="286"/>
      <c r="C12" s="286"/>
      <c r="D12" s="32"/>
      <c r="E12" s="32"/>
      <c r="F12" s="32"/>
      <c r="G12" s="32"/>
      <c r="H12" s="32"/>
      <c r="I12" s="32"/>
      <c r="J12" s="32"/>
      <c r="K12" s="32"/>
      <c r="L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row>
    <row r="13" spans="1:56" ht="15.95" customHeight="1" x14ac:dyDescent="0.25">
      <c r="A13" s="286" t="s">
        <v>975</v>
      </c>
      <c r="B13" s="286"/>
      <c r="C13" s="286"/>
      <c r="D13" s="32"/>
      <c r="E13" s="32"/>
      <c r="F13" s="32"/>
      <c r="G13" s="32"/>
      <c r="H13" s="32"/>
      <c r="I13" s="32"/>
      <c r="J13" s="32"/>
      <c r="K13" s="32"/>
      <c r="L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row>
    <row r="14" spans="1:56" ht="14.45" customHeight="1" x14ac:dyDescent="0.25">
      <c r="A14" s="285"/>
      <c r="B14" s="285"/>
      <c r="C14" s="285"/>
      <c r="D14" s="32"/>
      <c r="E14" s="32"/>
      <c r="F14" s="32"/>
      <c r="G14" s="32"/>
      <c r="H14" s="32"/>
      <c r="I14" s="32"/>
      <c r="J14" s="32"/>
      <c r="K14" s="32"/>
      <c r="L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row>
    <row r="15" spans="1:56" ht="15.95" customHeight="1" x14ac:dyDescent="0.25">
      <c r="A15" s="285"/>
      <c r="B15" s="285"/>
      <c r="C15" s="285"/>
      <c r="D15" s="32"/>
      <c r="E15" s="32"/>
      <c r="F15" s="32"/>
      <c r="G15" s="32"/>
      <c r="H15" s="32"/>
      <c r="I15" s="32"/>
      <c r="J15" s="32"/>
      <c r="K15" s="32"/>
      <c r="L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row>
    <row r="16" spans="1:56" ht="34.35" customHeight="1" thickBot="1" x14ac:dyDescent="0.3">
      <c r="A16" s="285" t="s">
        <v>974</v>
      </c>
      <c r="B16" s="285"/>
      <c r="C16" s="285"/>
      <c r="D16" s="32"/>
      <c r="E16" s="32"/>
      <c r="F16" s="32"/>
      <c r="G16" s="32"/>
      <c r="H16" s="32"/>
      <c r="I16" s="32"/>
      <c r="J16" s="32"/>
      <c r="K16" s="32"/>
      <c r="L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row>
    <row r="17" spans="1:56" ht="31.5" x14ac:dyDescent="0.25">
      <c r="A17" s="76" t="s">
        <v>895</v>
      </c>
      <c r="B17" s="77" t="s">
        <v>857</v>
      </c>
      <c r="C17" s="77" t="s">
        <v>896</v>
      </c>
      <c r="D17" s="32"/>
      <c r="E17" s="32"/>
      <c r="F17" s="32"/>
      <c r="G17" s="32"/>
      <c r="H17" s="32"/>
      <c r="I17" s="32"/>
      <c r="J17" s="32"/>
      <c r="K17" s="32"/>
      <c r="L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row>
    <row r="18" spans="1:56" ht="16.5" thickBot="1" x14ac:dyDescent="0.3">
      <c r="A18" s="78" t="s">
        <v>1</v>
      </c>
      <c r="B18" s="79">
        <v>88308</v>
      </c>
      <c r="C18" s="80">
        <v>880.39508311817724</v>
      </c>
      <c r="D18" s="32"/>
      <c r="E18" s="32"/>
      <c r="F18" s="32"/>
      <c r="G18" s="32"/>
      <c r="H18" s="32"/>
      <c r="I18" s="32"/>
      <c r="J18" s="32"/>
      <c r="K18" s="32"/>
      <c r="L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row>
    <row r="19" spans="1:56" ht="16.5" thickTop="1" x14ac:dyDescent="0.25">
      <c r="A19" s="81" t="s">
        <v>860</v>
      </c>
      <c r="B19" s="82">
        <v>2809</v>
      </c>
      <c r="C19" s="83">
        <v>971.33784264862936</v>
      </c>
      <c r="D19" s="32"/>
      <c r="E19" s="32"/>
      <c r="F19" s="32"/>
      <c r="G19" s="32"/>
      <c r="H19" s="32"/>
      <c r="I19" s="32"/>
      <c r="J19" s="32"/>
      <c r="K19" s="32"/>
      <c r="L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row>
    <row r="20" spans="1:56" x14ac:dyDescent="0.25">
      <c r="A20" s="84" t="s">
        <v>92</v>
      </c>
      <c r="B20" s="85">
        <v>776</v>
      </c>
      <c r="C20" s="86">
        <v>593.76546391752572</v>
      </c>
      <c r="D20" s="32"/>
      <c r="E20" s="32"/>
      <c r="F20" s="32"/>
      <c r="G20" s="32"/>
      <c r="H20" s="32"/>
      <c r="I20" s="32"/>
      <c r="J20" s="32"/>
      <c r="K20" s="32"/>
      <c r="L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row>
    <row r="21" spans="1:56" x14ac:dyDescent="0.25">
      <c r="A21" s="84" t="s">
        <v>859</v>
      </c>
      <c r="B21" s="85">
        <v>587</v>
      </c>
      <c r="C21" s="86">
        <v>709.79386712095402</v>
      </c>
      <c r="D21" s="32"/>
      <c r="E21" s="32"/>
      <c r="F21" s="32"/>
      <c r="G21" s="32"/>
      <c r="H21" s="32"/>
      <c r="I21" s="32"/>
      <c r="J21" s="32"/>
      <c r="K21" s="32"/>
      <c r="L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row>
    <row r="22" spans="1:56" x14ac:dyDescent="0.25">
      <c r="A22" s="84" t="s">
        <v>28</v>
      </c>
      <c r="B22" s="85">
        <v>1446</v>
      </c>
      <c r="C22" s="86">
        <v>1280.1362378976487</v>
      </c>
      <c r="D22" s="32"/>
      <c r="E22" s="32"/>
      <c r="F22" s="32"/>
      <c r="G22" s="32"/>
      <c r="H22" s="32"/>
      <c r="I22" s="32"/>
      <c r="J22" s="32"/>
      <c r="K22" s="32"/>
      <c r="L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row>
    <row r="23" spans="1:56" x14ac:dyDescent="0.25">
      <c r="A23" s="81" t="s">
        <v>861</v>
      </c>
      <c r="B23" s="82">
        <v>2653</v>
      </c>
      <c r="C23" s="83">
        <v>753.88013569543909</v>
      </c>
      <c r="D23" s="32"/>
      <c r="E23" s="32"/>
      <c r="F23" s="32"/>
      <c r="G23" s="32"/>
      <c r="H23" s="32"/>
      <c r="I23" s="32"/>
      <c r="J23" s="32"/>
      <c r="K23" s="32"/>
      <c r="L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row>
    <row r="24" spans="1:56" x14ac:dyDescent="0.25">
      <c r="A24" s="84" t="s">
        <v>92</v>
      </c>
      <c r="B24" s="85">
        <v>1599</v>
      </c>
      <c r="C24" s="86">
        <v>613.74859287054414</v>
      </c>
      <c r="D24" s="32"/>
      <c r="E24" s="32"/>
      <c r="F24" s="32"/>
      <c r="G24" s="32"/>
      <c r="H24" s="32"/>
      <c r="I24" s="32"/>
      <c r="J24" s="32"/>
      <c r="K24" s="32"/>
      <c r="L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row>
    <row r="25" spans="1:56" x14ac:dyDescent="0.25">
      <c r="A25" s="84" t="s">
        <v>859</v>
      </c>
      <c r="B25" s="85">
        <v>132</v>
      </c>
      <c r="C25" s="86">
        <v>748.59848484848487</v>
      </c>
      <c r="D25" s="32"/>
      <c r="E25" s="32"/>
      <c r="F25" s="32"/>
      <c r="G25" s="32"/>
      <c r="H25" s="32"/>
      <c r="I25" s="32"/>
      <c r="J25" s="32"/>
      <c r="K25" s="32"/>
      <c r="L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row>
    <row r="26" spans="1:56" x14ac:dyDescent="0.25">
      <c r="A26" s="84" t="s">
        <v>28</v>
      </c>
      <c r="B26" s="85">
        <v>922</v>
      </c>
      <c r="C26" s="86">
        <v>997.66268980477219</v>
      </c>
      <c r="D26" s="32"/>
      <c r="E26" s="32"/>
      <c r="F26" s="32"/>
      <c r="G26" s="32"/>
      <c r="H26" s="32"/>
      <c r="I26" s="32"/>
      <c r="J26" s="32"/>
      <c r="K26" s="32"/>
      <c r="L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row>
    <row r="27" spans="1:56" x14ac:dyDescent="0.25">
      <c r="A27" s="81" t="s">
        <v>862</v>
      </c>
      <c r="B27" s="82">
        <v>1552</v>
      </c>
      <c r="C27" s="83">
        <v>509.42590206185565</v>
      </c>
      <c r="D27" s="32"/>
      <c r="E27" s="32"/>
      <c r="F27" s="32"/>
      <c r="G27" s="32"/>
      <c r="H27" s="32"/>
      <c r="I27" s="32"/>
      <c r="J27" s="32"/>
      <c r="K27" s="32"/>
      <c r="L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row>
    <row r="28" spans="1:56" x14ac:dyDescent="0.25">
      <c r="A28" s="84" t="s">
        <v>92</v>
      </c>
      <c r="B28" s="85">
        <v>725</v>
      </c>
      <c r="C28" s="86">
        <v>384.79310344827587</v>
      </c>
      <c r="D28" s="32"/>
      <c r="E28" s="32"/>
      <c r="F28" s="32"/>
      <c r="G28" s="32"/>
      <c r="H28" s="32"/>
      <c r="I28" s="32"/>
      <c r="J28" s="32"/>
      <c r="K28" s="32"/>
      <c r="L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row>
    <row r="29" spans="1:56" x14ac:dyDescent="0.25">
      <c r="A29" s="84" t="s">
        <v>859</v>
      </c>
      <c r="B29" s="85">
        <v>685</v>
      </c>
      <c r="C29" s="86">
        <v>565.21897810218979</v>
      </c>
      <c r="D29" s="32"/>
      <c r="E29" s="32"/>
      <c r="F29" s="32"/>
      <c r="G29" s="32"/>
      <c r="H29" s="32"/>
      <c r="I29" s="32"/>
      <c r="J29" s="32"/>
      <c r="K29" s="32"/>
      <c r="L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row>
    <row r="30" spans="1:56" x14ac:dyDescent="0.25">
      <c r="A30" s="84" t="s">
        <v>28</v>
      </c>
      <c r="B30" s="85">
        <v>142</v>
      </c>
      <c r="C30" s="86">
        <v>876.61267605633805</v>
      </c>
      <c r="D30" s="32"/>
      <c r="E30" s="32"/>
      <c r="F30" s="32"/>
      <c r="G30" s="32"/>
      <c r="H30" s="32"/>
      <c r="I30" s="32"/>
      <c r="J30" s="32"/>
      <c r="K30" s="32"/>
      <c r="L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row>
    <row r="31" spans="1:56" x14ac:dyDescent="0.25">
      <c r="A31" s="81" t="s">
        <v>863</v>
      </c>
      <c r="B31" s="82">
        <v>423</v>
      </c>
      <c r="C31" s="83">
        <v>1323.1867612293145</v>
      </c>
      <c r="D31" s="32"/>
      <c r="E31" s="32"/>
      <c r="F31" s="32"/>
      <c r="G31" s="32"/>
      <c r="H31" s="32"/>
      <c r="I31" s="32"/>
      <c r="J31" s="32"/>
      <c r="K31" s="32"/>
      <c r="L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row>
    <row r="32" spans="1:56" x14ac:dyDescent="0.25">
      <c r="A32" s="84" t="s">
        <v>92</v>
      </c>
      <c r="B32" s="85">
        <v>64</v>
      </c>
      <c r="C32" s="86">
        <v>392.609375</v>
      </c>
      <c r="D32" s="32"/>
      <c r="E32" s="32"/>
      <c r="F32" s="32"/>
      <c r="G32" s="32"/>
      <c r="H32" s="32"/>
      <c r="I32" s="32"/>
      <c r="J32" s="32"/>
      <c r="K32" s="32"/>
      <c r="L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row>
    <row r="33" spans="1:56" x14ac:dyDescent="0.25">
      <c r="A33" s="84" t="s">
        <v>859</v>
      </c>
      <c r="B33" s="85">
        <v>10</v>
      </c>
      <c r="C33" s="86">
        <v>689.6</v>
      </c>
      <c r="D33" s="32"/>
      <c r="E33" s="32"/>
      <c r="F33" s="32"/>
      <c r="G33" s="32"/>
      <c r="H33" s="32"/>
      <c r="I33" s="32"/>
      <c r="J33" s="32"/>
      <c r="K33" s="32"/>
      <c r="L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row>
    <row r="34" spans="1:56" x14ac:dyDescent="0.25">
      <c r="A34" s="84" t="s">
        <v>28</v>
      </c>
      <c r="B34" s="85">
        <v>349</v>
      </c>
      <c r="C34" s="86">
        <v>1511.9914040114613</v>
      </c>
      <c r="D34" s="32"/>
      <c r="E34" s="32"/>
      <c r="F34" s="32"/>
      <c r="G34" s="32"/>
      <c r="H34" s="32"/>
      <c r="I34" s="32"/>
      <c r="J34" s="32"/>
      <c r="K34" s="32"/>
      <c r="L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row>
    <row r="35" spans="1:56" x14ac:dyDescent="0.25">
      <c r="A35" s="81" t="s">
        <v>864</v>
      </c>
      <c r="B35" s="82">
        <v>6510</v>
      </c>
      <c r="C35" s="83">
        <v>1040.6095238095238</v>
      </c>
      <c r="D35" s="32"/>
      <c r="E35" s="32"/>
      <c r="F35" s="32"/>
      <c r="G35" s="32"/>
      <c r="H35" s="32"/>
      <c r="I35" s="32"/>
      <c r="J35" s="32"/>
      <c r="K35" s="32"/>
      <c r="L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row>
    <row r="36" spans="1:56" x14ac:dyDescent="0.25">
      <c r="A36" s="84" t="s">
        <v>92</v>
      </c>
      <c r="B36" s="85">
        <v>2107</v>
      </c>
      <c r="C36" s="86">
        <v>632.52301850972947</v>
      </c>
      <c r="D36" s="32"/>
      <c r="E36" s="32"/>
      <c r="F36" s="32"/>
      <c r="G36" s="32"/>
      <c r="H36" s="32"/>
      <c r="I36" s="32"/>
      <c r="J36" s="32"/>
      <c r="K36" s="32"/>
      <c r="L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row>
    <row r="37" spans="1:56" x14ac:dyDescent="0.25">
      <c r="A37" s="84" t="s">
        <v>859</v>
      </c>
      <c r="B37" s="85">
        <v>1930</v>
      </c>
      <c r="C37" s="86">
        <v>991.899481865285</v>
      </c>
      <c r="D37" s="32"/>
      <c r="E37" s="32"/>
      <c r="F37" s="32"/>
      <c r="G37" s="32"/>
      <c r="H37" s="32"/>
      <c r="I37" s="32"/>
      <c r="J37" s="32"/>
      <c r="K37" s="32"/>
      <c r="L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row>
    <row r="38" spans="1:56" x14ac:dyDescent="0.25">
      <c r="A38" s="84" t="s">
        <v>28</v>
      </c>
      <c r="B38" s="85">
        <v>2473</v>
      </c>
      <c r="C38" s="86">
        <v>1426.3145976546705</v>
      </c>
      <c r="D38" s="32"/>
      <c r="E38" s="32"/>
      <c r="F38" s="32"/>
      <c r="G38" s="32"/>
      <c r="H38" s="32"/>
      <c r="I38" s="32"/>
      <c r="J38" s="32"/>
      <c r="K38" s="32"/>
      <c r="L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row>
    <row r="39" spans="1:56" x14ac:dyDescent="0.25">
      <c r="A39" s="81" t="s">
        <v>865</v>
      </c>
      <c r="B39" s="82">
        <v>1015</v>
      </c>
      <c r="C39" s="83">
        <v>710.37536945812803</v>
      </c>
      <c r="D39" s="32"/>
      <c r="E39" s="32"/>
      <c r="F39" s="32"/>
      <c r="G39" s="32"/>
      <c r="H39" s="32"/>
      <c r="I39" s="32"/>
      <c r="J39" s="32"/>
      <c r="K39" s="32"/>
      <c r="L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row>
    <row r="40" spans="1:56" x14ac:dyDescent="0.25">
      <c r="A40" s="84" t="s">
        <v>92</v>
      </c>
      <c r="B40" s="85">
        <v>644</v>
      </c>
      <c r="C40" s="86">
        <v>544.13198757763973</v>
      </c>
      <c r="D40" s="32"/>
      <c r="E40" s="32"/>
      <c r="F40" s="32"/>
      <c r="G40" s="32"/>
      <c r="H40" s="32"/>
      <c r="I40" s="32"/>
      <c r="J40" s="32"/>
      <c r="K40" s="32"/>
      <c r="L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row>
    <row r="41" spans="1:56" x14ac:dyDescent="0.25">
      <c r="A41" s="84" t="s">
        <v>859</v>
      </c>
      <c r="B41" s="85">
        <v>180</v>
      </c>
      <c r="C41" s="86">
        <v>852.07777777777778</v>
      </c>
      <c r="D41" s="32"/>
      <c r="E41" s="32"/>
      <c r="F41" s="32"/>
      <c r="G41" s="32"/>
      <c r="H41" s="32"/>
      <c r="I41" s="32"/>
      <c r="J41" s="32"/>
      <c r="K41" s="32"/>
      <c r="L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row>
    <row r="42" spans="1:56" x14ac:dyDescent="0.25">
      <c r="A42" s="84" t="s">
        <v>28</v>
      </c>
      <c r="B42" s="85">
        <v>191</v>
      </c>
      <c r="C42" s="86">
        <v>1137.3612565445026</v>
      </c>
      <c r="D42" s="32"/>
      <c r="E42" s="32"/>
      <c r="F42" s="32"/>
      <c r="G42" s="32"/>
      <c r="H42" s="32"/>
      <c r="I42" s="32"/>
      <c r="J42" s="32"/>
      <c r="K42" s="32"/>
      <c r="L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row>
    <row r="43" spans="1:56" x14ac:dyDescent="0.25">
      <c r="A43" s="81" t="s">
        <v>866</v>
      </c>
      <c r="B43" s="82">
        <v>1414</v>
      </c>
      <c r="C43" s="83">
        <v>1399.4144271570015</v>
      </c>
      <c r="D43" s="32"/>
      <c r="E43" s="32"/>
      <c r="F43" s="32"/>
      <c r="G43" s="32"/>
      <c r="H43" s="32"/>
      <c r="I43" s="32"/>
      <c r="J43" s="32"/>
      <c r="K43" s="32"/>
      <c r="L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row>
    <row r="44" spans="1:56" x14ac:dyDescent="0.25">
      <c r="A44" s="84" t="s">
        <v>92</v>
      </c>
      <c r="B44" s="85">
        <v>162</v>
      </c>
      <c r="C44" s="86">
        <v>542.04938271604942</v>
      </c>
      <c r="D44" s="32"/>
      <c r="E44" s="32"/>
      <c r="F44" s="32"/>
      <c r="G44" s="32"/>
      <c r="H44" s="32"/>
      <c r="I44" s="32"/>
      <c r="J44" s="32"/>
      <c r="K44" s="32"/>
      <c r="L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row>
    <row r="45" spans="1:56" x14ac:dyDescent="0.25">
      <c r="A45" s="84" t="s">
        <v>859</v>
      </c>
      <c r="B45" s="85">
        <v>461</v>
      </c>
      <c r="C45" s="86">
        <v>1054.0368763557483</v>
      </c>
      <c r="D45" s="32"/>
      <c r="E45" s="32"/>
      <c r="F45" s="32"/>
      <c r="G45" s="32"/>
      <c r="H45" s="32"/>
      <c r="I45" s="32"/>
      <c r="J45" s="32"/>
      <c r="K45" s="32"/>
      <c r="L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row>
    <row r="46" spans="1:56" x14ac:dyDescent="0.25">
      <c r="A46" s="84" t="s">
        <v>28</v>
      </c>
      <c r="B46" s="85">
        <v>791</v>
      </c>
      <c r="C46" s="86">
        <v>1776.2945638432363</v>
      </c>
      <c r="D46" s="32"/>
      <c r="E46" s="32"/>
      <c r="F46" s="32"/>
      <c r="G46" s="32"/>
      <c r="H46" s="32"/>
      <c r="I46" s="32"/>
      <c r="J46" s="32"/>
      <c r="K46" s="32"/>
      <c r="L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row>
    <row r="47" spans="1:56" x14ac:dyDescent="0.25">
      <c r="A47" s="81" t="s">
        <v>867</v>
      </c>
      <c r="B47" s="82">
        <v>7774</v>
      </c>
      <c r="C47" s="83">
        <v>981.56225881142268</v>
      </c>
      <c r="D47" s="32"/>
      <c r="E47" s="32"/>
      <c r="F47" s="32"/>
      <c r="G47" s="32"/>
      <c r="H47" s="32"/>
      <c r="I47" s="32"/>
      <c r="J47" s="32"/>
      <c r="K47" s="32"/>
      <c r="L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row>
    <row r="48" spans="1:56" x14ac:dyDescent="0.25">
      <c r="A48" s="84" t="s">
        <v>92</v>
      </c>
      <c r="B48" s="85">
        <v>455</v>
      </c>
      <c r="C48" s="86">
        <v>675.74945054945056</v>
      </c>
      <c r="D48" s="32"/>
      <c r="E48" s="32"/>
      <c r="F48" s="32"/>
      <c r="G48" s="32"/>
      <c r="H48" s="32"/>
      <c r="I48" s="32"/>
      <c r="J48" s="32"/>
      <c r="K48" s="32"/>
      <c r="L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row>
    <row r="49" spans="1:56" x14ac:dyDescent="0.25">
      <c r="A49" s="84" t="s">
        <v>859</v>
      </c>
      <c r="B49" s="85">
        <v>4652</v>
      </c>
      <c r="C49" s="86">
        <v>760.2762252794497</v>
      </c>
      <c r="D49" s="32"/>
      <c r="E49" s="32"/>
      <c r="F49" s="32"/>
      <c r="G49" s="32"/>
      <c r="H49" s="32"/>
      <c r="I49" s="32"/>
      <c r="J49" s="32"/>
      <c r="K49" s="32"/>
      <c r="L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row>
    <row r="50" spans="1:56" x14ac:dyDescent="0.25">
      <c r="A50" s="84" t="s">
        <v>28</v>
      </c>
      <c r="B50" s="85">
        <v>2667</v>
      </c>
      <c r="C50" s="86">
        <v>1419.7202849643795</v>
      </c>
      <c r="D50" s="32"/>
      <c r="E50" s="32"/>
      <c r="F50" s="32"/>
      <c r="G50" s="32"/>
      <c r="H50" s="32"/>
      <c r="I50" s="32"/>
      <c r="J50" s="32"/>
      <c r="K50" s="32"/>
      <c r="L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row>
    <row r="51" spans="1:56" x14ac:dyDescent="0.25">
      <c r="A51" s="81" t="s">
        <v>868</v>
      </c>
      <c r="B51" s="82">
        <v>1119</v>
      </c>
      <c r="C51" s="83">
        <v>816.57283288650581</v>
      </c>
      <c r="D51" s="32"/>
      <c r="E51" s="32"/>
      <c r="F51" s="32"/>
      <c r="G51" s="32"/>
      <c r="H51" s="32"/>
      <c r="I51" s="32"/>
      <c r="J51" s="32"/>
      <c r="K51" s="32"/>
      <c r="L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row>
    <row r="52" spans="1:56" x14ac:dyDescent="0.25">
      <c r="A52" s="84" t="s">
        <v>92</v>
      </c>
      <c r="B52" s="85">
        <v>388</v>
      </c>
      <c r="C52" s="86">
        <v>117.79123711340206</v>
      </c>
      <c r="D52" s="32"/>
      <c r="E52" s="32"/>
      <c r="F52" s="32"/>
      <c r="G52" s="32"/>
      <c r="H52" s="32"/>
      <c r="I52" s="32"/>
      <c r="J52" s="32"/>
      <c r="K52" s="32"/>
      <c r="L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row>
    <row r="53" spans="1:56" x14ac:dyDescent="0.25">
      <c r="A53" s="84" t="s">
        <v>859</v>
      </c>
      <c r="B53" s="85">
        <v>112</v>
      </c>
      <c r="C53" s="86">
        <v>879.58928571428567</v>
      </c>
      <c r="D53" s="32"/>
      <c r="E53" s="32"/>
      <c r="F53" s="32"/>
      <c r="G53" s="32"/>
      <c r="H53" s="32"/>
      <c r="I53" s="32"/>
      <c r="J53" s="32"/>
      <c r="K53" s="32"/>
      <c r="L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row>
    <row r="54" spans="1:56" x14ac:dyDescent="0.25">
      <c r="A54" s="84" t="s">
        <v>28</v>
      </c>
      <c r="B54" s="85">
        <v>619</v>
      </c>
      <c r="C54" s="86">
        <v>1243.1793214862682</v>
      </c>
      <c r="D54" s="32"/>
      <c r="E54" s="32"/>
      <c r="F54" s="32"/>
      <c r="G54" s="32"/>
      <c r="H54" s="32"/>
      <c r="I54" s="32"/>
      <c r="J54" s="32"/>
      <c r="K54" s="32"/>
      <c r="L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row>
    <row r="55" spans="1:56" x14ac:dyDescent="0.25">
      <c r="A55" s="81" t="s">
        <v>869</v>
      </c>
      <c r="B55" s="82">
        <v>2770</v>
      </c>
      <c r="C55" s="83">
        <v>645.87653429602892</v>
      </c>
      <c r="D55" s="32"/>
      <c r="E55" s="32"/>
      <c r="F55" s="32"/>
      <c r="G55" s="32"/>
      <c r="H55" s="32"/>
      <c r="I55" s="32"/>
      <c r="J55" s="32"/>
      <c r="K55" s="32"/>
      <c r="L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row>
    <row r="56" spans="1:56" x14ac:dyDescent="0.25">
      <c r="A56" s="84" t="s">
        <v>92</v>
      </c>
      <c r="B56" s="85">
        <v>2132</v>
      </c>
      <c r="C56" s="86">
        <v>495.91463414634148</v>
      </c>
      <c r="D56" s="32"/>
      <c r="E56" s="32"/>
      <c r="F56" s="32"/>
      <c r="G56" s="32"/>
      <c r="H56" s="32"/>
      <c r="I56" s="32"/>
      <c r="J56" s="32"/>
      <c r="K56" s="32"/>
      <c r="L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row>
    <row r="57" spans="1:56" x14ac:dyDescent="0.25">
      <c r="A57" s="84" t="s">
        <v>859</v>
      </c>
      <c r="B57" s="85">
        <v>590</v>
      </c>
      <c r="C57" s="86">
        <v>1094.8508474576272</v>
      </c>
      <c r="D57" s="32"/>
      <c r="E57" s="32"/>
      <c r="F57" s="32"/>
      <c r="G57" s="32"/>
      <c r="H57" s="32"/>
      <c r="I57" s="32"/>
      <c r="J57" s="32"/>
      <c r="K57" s="32"/>
      <c r="L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row>
    <row r="58" spans="1:56" x14ac:dyDescent="0.25">
      <c r="A58" s="84" t="s">
        <v>28</v>
      </c>
      <c r="B58" s="85">
        <v>48</v>
      </c>
      <c r="C58" s="86">
        <v>1788.0416666666667</v>
      </c>
      <c r="D58" s="32"/>
      <c r="E58" s="32"/>
      <c r="F58" s="32"/>
      <c r="G58" s="32"/>
      <c r="H58" s="32"/>
      <c r="I58" s="32"/>
      <c r="J58" s="32"/>
      <c r="K58" s="32"/>
      <c r="L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row>
    <row r="59" spans="1:56" x14ac:dyDescent="0.25">
      <c r="A59" s="81" t="s">
        <v>870</v>
      </c>
      <c r="B59" s="82">
        <v>10224</v>
      </c>
      <c r="C59" s="83">
        <v>962.79391627543032</v>
      </c>
      <c r="D59" s="32"/>
      <c r="E59" s="32"/>
      <c r="F59" s="32"/>
      <c r="G59" s="32"/>
      <c r="H59" s="32"/>
      <c r="I59" s="32"/>
      <c r="J59" s="32"/>
      <c r="K59" s="32"/>
      <c r="L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row>
    <row r="60" spans="1:56" x14ac:dyDescent="0.25">
      <c r="A60" s="84" t="s">
        <v>92</v>
      </c>
      <c r="B60" s="85">
        <v>3566</v>
      </c>
      <c r="C60" s="86">
        <v>639.74369040942236</v>
      </c>
      <c r="D60" s="32"/>
      <c r="E60" s="32"/>
      <c r="F60" s="32"/>
      <c r="G60" s="32"/>
      <c r="H60" s="32"/>
      <c r="I60" s="32"/>
      <c r="J60" s="32"/>
      <c r="K60" s="32"/>
      <c r="L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row>
    <row r="61" spans="1:56" x14ac:dyDescent="0.25">
      <c r="A61" s="84" t="s">
        <v>859</v>
      </c>
      <c r="B61" s="85">
        <v>842</v>
      </c>
      <c r="C61" s="86">
        <v>947.20783847980999</v>
      </c>
      <c r="D61" s="32"/>
      <c r="E61" s="32"/>
      <c r="F61" s="32"/>
      <c r="G61" s="32"/>
      <c r="H61" s="32"/>
      <c r="I61" s="32"/>
      <c r="J61" s="32"/>
      <c r="K61" s="32"/>
      <c r="L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row>
    <row r="62" spans="1:56" x14ac:dyDescent="0.25">
      <c r="A62" s="84" t="s">
        <v>28</v>
      </c>
      <c r="B62" s="85">
        <v>5816</v>
      </c>
      <c r="C62" s="86">
        <v>1163.1241403026136</v>
      </c>
      <c r="D62" s="32"/>
      <c r="E62" s="32"/>
      <c r="F62" s="32"/>
      <c r="G62" s="32"/>
      <c r="H62" s="32"/>
      <c r="I62" s="32"/>
      <c r="J62" s="32"/>
      <c r="K62" s="32"/>
      <c r="L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row>
    <row r="63" spans="1:56" x14ac:dyDescent="0.25">
      <c r="A63" s="81" t="s">
        <v>871</v>
      </c>
      <c r="B63" s="82">
        <v>6054</v>
      </c>
      <c r="C63" s="83">
        <v>438.85976214073338</v>
      </c>
      <c r="D63" s="32"/>
      <c r="E63" s="32"/>
      <c r="F63" s="32"/>
      <c r="G63" s="32"/>
      <c r="H63" s="32"/>
      <c r="I63" s="32"/>
      <c r="J63" s="32"/>
      <c r="K63" s="32"/>
      <c r="L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row>
    <row r="64" spans="1:56" x14ac:dyDescent="0.25">
      <c r="A64" s="84" t="s">
        <v>92</v>
      </c>
      <c r="B64" s="85">
        <v>4412</v>
      </c>
      <c r="C64" s="86">
        <v>385.16885766092474</v>
      </c>
      <c r="D64" s="32"/>
      <c r="E64" s="32"/>
      <c r="F64" s="32"/>
      <c r="G64" s="32"/>
      <c r="H64" s="32"/>
      <c r="I64" s="32"/>
      <c r="J64" s="32"/>
      <c r="K64" s="32"/>
      <c r="L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row>
    <row r="65" spans="1:56" x14ac:dyDescent="0.25">
      <c r="A65" s="84" t="s">
        <v>859</v>
      </c>
      <c r="B65" s="85">
        <v>1514</v>
      </c>
      <c r="C65" s="86">
        <v>572.14927344782029</v>
      </c>
      <c r="D65" s="32"/>
      <c r="E65" s="32"/>
      <c r="F65" s="32"/>
      <c r="G65" s="32"/>
      <c r="H65" s="32"/>
      <c r="I65" s="32"/>
      <c r="J65" s="32"/>
      <c r="K65" s="32"/>
      <c r="L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row>
    <row r="66" spans="1:56" x14ac:dyDescent="0.25">
      <c r="A66" s="84" t="s">
        <v>28</v>
      </c>
      <c r="B66" s="85">
        <v>128</v>
      </c>
      <c r="C66" s="86">
        <v>712.953125</v>
      </c>
      <c r="D66" s="32"/>
      <c r="E66" s="32"/>
      <c r="F66" s="32"/>
      <c r="G66" s="32"/>
      <c r="H66" s="32"/>
      <c r="I66" s="32"/>
      <c r="J66" s="32"/>
      <c r="K66" s="32"/>
      <c r="L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row>
    <row r="67" spans="1:56" x14ac:dyDescent="0.25">
      <c r="A67" s="81" t="s">
        <v>872</v>
      </c>
      <c r="B67" s="82">
        <v>2866</v>
      </c>
      <c r="C67" s="83">
        <v>717.43998604326589</v>
      </c>
      <c r="D67" s="32"/>
      <c r="E67" s="32"/>
      <c r="F67" s="32"/>
      <c r="G67" s="32"/>
      <c r="H67" s="32"/>
      <c r="I67" s="32"/>
      <c r="J67" s="32"/>
      <c r="K67" s="32"/>
      <c r="L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row>
    <row r="68" spans="1:56" x14ac:dyDescent="0.25">
      <c r="A68" s="84" t="s">
        <v>92</v>
      </c>
      <c r="B68" s="85">
        <v>1572</v>
      </c>
      <c r="C68" s="86">
        <v>551.93320610687022</v>
      </c>
      <c r="D68" s="32"/>
      <c r="E68" s="32"/>
      <c r="F68" s="32"/>
      <c r="G68" s="32"/>
      <c r="H68" s="32"/>
      <c r="I68" s="32"/>
      <c r="J68" s="32"/>
      <c r="K68" s="32"/>
      <c r="L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row>
    <row r="69" spans="1:56" x14ac:dyDescent="0.25">
      <c r="A69" s="84" t="s">
        <v>859</v>
      </c>
      <c r="B69" s="85">
        <v>973</v>
      </c>
      <c r="C69" s="86">
        <v>849.15005138746142</v>
      </c>
      <c r="D69" s="32"/>
      <c r="E69" s="32"/>
      <c r="F69" s="32"/>
      <c r="G69" s="32"/>
      <c r="H69" s="32"/>
      <c r="I69" s="32"/>
      <c r="J69" s="32"/>
      <c r="K69" s="32"/>
      <c r="L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row>
    <row r="70" spans="1:56" x14ac:dyDescent="0.25">
      <c r="A70" s="84" t="s">
        <v>28</v>
      </c>
      <c r="B70" s="85">
        <v>321</v>
      </c>
      <c r="C70" s="86">
        <v>1128.7258566978194</v>
      </c>
      <c r="D70" s="32"/>
      <c r="E70" s="32"/>
      <c r="F70" s="32"/>
      <c r="G70" s="32"/>
      <c r="H70" s="32"/>
      <c r="I70" s="32"/>
      <c r="J70" s="32"/>
      <c r="K70" s="32"/>
      <c r="L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row>
    <row r="71" spans="1:56" x14ac:dyDescent="0.25">
      <c r="A71" s="81" t="s">
        <v>873</v>
      </c>
      <c r="B71" s="82">
        <v>3655</v>
      </c>
      <c r="C71" s="83">
        <v>738.34829001367984</v>
      </c>
      <c r="D71" s="32"/>
      <c r="E71" s="32"/>
      <c r="F71" s="32"/>
      <c r="G71" s="32"/>
      <c r="H71" s="32"/>
      <c r="I71" s="32"/>
      <c r="J71" s="32"/>
      <c r="K71" s="32"/>
      <c r="L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row>
    <row r="72" spans="1:56" x14ac:dyDescent="0.25">
      <c r="A72" s="84" t="s">
        <v>92</v>
      </c>
      <c r="B72" s="85">
        <v>1601</v>
      </c>
      <c r="C72" s="86">
        <v>466.01249219237974</v>
      </c>
      <c r="D72" s="32"/>
      <c r="E72" s="32"/>
      <c r="F72" s="32"/>
      <c r="G72" s="32"/>
      <c r="H72" s="32"/>
      <c r="I72" s="32"/>
      <c r="J72" s="32"/>
      <c r="K72" s="32"/>
      <c r="L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row>
    <row r="73" spans="1:56" x14ac:dyDescent="0.25">
      <c r="A73" s="84" t="s">
        <v>859</v>
      </c>
      <c r="B73" s="85">
        <v>449</v>
      </c>
      <c r="C73" s="86">
        <v>659.08017817371933</v>
      </c>
      <c r="D73" s="32"/>
      <c r="E73" s="32"/>
      <c r="F73" s="32"/>
      <c r="G73" s="32"/>
      <c r="H73" s="32"/>
      <c r="I73" s="32"/>
      <c r="J73" s="32"/>
      <c r="K73" s="32"/>
      <c r="L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row>
    <row r="74" spans="1:56" x14ac:dyDescent="0.25">
      <c r="A74" s="84" t="s">
        <v>28</v>
      </c>
      <c r="B74" s="85">
        <v>1605</v>
      </c>
      <c r="C74" s="86">
        <v>1032.1806853582555</v>
      </c>
      <c r="D74" s="32"/>
      <c r="E74" s="32"/>
      <c r="F74" s="32"/>
      <c r="G74" s="32"/>
      <c r="H74" s="32"/>
      <c r="I74" s="32"/>
      <c r="J74" s="32"/>
      <c r="K74" s="32"/>
      <c r="L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row>
    <row r="75" spans="1:56" x14ac:dyDescent="0.25">
      <c r="A75" s="81" t="s">
        <v>874</v>
      </c>
      <c r="B75" s="82">
        <v>6970</v>
      </c>
      <c r="C75" s="83">
        <v>1024.0635581061692</v>
      </c>
      <c r="D75" s="32"/>
      <c r="E75" s="32"/>
      <c r="F75" s="32"/>
      <c r="G75" s="32"/>
      <c r="H75" s="32"/>
      <c r="I75" s="32"/>
      <c r="J75" s="32"/>
      <c r="K75" s="32"/>
      <c r="L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row>
    <row r="76" spans="1:56" x14ac:dyDescent="0.25">
      <c r="A76" s="84" t="s">
        <v>92</v>
      </c>
      <c r="B76" s="85">
        <v>1083</v>
      </c>
      <c r="C76" s="86">
        <v>479.63065558633429</v>
      </c>
      <c r="D76" s="32"/>
      <c r="E76" s="32"/>
      <c r="F76" s="32"/>
      <c r="G76" s="32"/>
      <c r="H76" s="32"/>
      <c r="I76" s="32"/>
      <c r="J76" s="32"/>
      <c r="K76" s="32"/>
      <c r="L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row>
    <row r="77" spans="1:56" x14ac:dyDescent="0.25">
      <c r="A77" s="84" t="s">
        <v>859</v>
      </c>
      <c r="B77" s="85">
        <v>3770</v>
      </c>
      <c r="C77" s="86">
        <v>905.75755968169756</v>
      </c>
      <c r="D77" s="32"/>
      <c r="E77" s="32"/>
      <c r="F77" s="32"/>
      <c r="G77" s="32"/>
      <c r="H77" s="32"/>
      <c r="I77" s="32"/>
      <c r="J77" s="32"/>
      <c r="K77" s="32"/>
      <c r="L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row>
    <row r="78" spans="1:56" x14ac:dyDescent="0.25">
      <c r="A78" s="84" t="s">
        <v>28</v>
      </c>
      <c r="B78" s="85">
        <v>2117</v>
      </c>
      <c r="C78" s="86">
        <v>1513.2626358053849</v>
      </c>
      <c r="D78" s="32"/>
      <c r="E78" s="32"/>
      <c r="F78" s="32"/>
      <c r="G78" s="32"/>
      <c r="H78" s="32"/>
      <c r="I78" s="32"/>
      <c r="J78" s="32"/>
      <c r="K78" s="32"/>
      <c r="L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row>
    <row r="79" spans="1:56" x14ac:dyDescent="0.25">
      <c r="A79" s="81" t="s">
        <v>875</v>
      </c>
      <c r="B79" s="82">
        <v>2085</v>
      </c>
      <c r="C79" s="83">
        <v>685.92517985611516</v>
      </c>
      <c r="D79" s="32"/>
      <c r="E79" s="32"/>
      <c r="F79" s="32"/>
      <c r="G79" s="32"/>
      <c r="H79" s="32"/>
      <c r="I79" s="32"/>
      <c r="J79" s="32"/>
      <c r="K79" s="32"/>
      <c r="L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row>
    <row r="80" spans="1:56" x14ac:dyDescent="0.25">
      <c r="A80" s="84" t="s">
        <v>92</v>
      </c>
      <c r="B80" s="85">
        <v>371</v>
      </c>
      <c r="C80" s="86">
        <v>459.2021563342318</v>
      </c>
      <c r="D80" s="32"/>
      <c r="E80" s="32"/>
      <c r="F80" s="32"/>
      <c r="G80" s="32"/>
      <c r="H80" s="32"/>
      <c r="I80" s="32"/>
      <c r="J80" s="32"/>
      <c r="K80" s="32"/>
      <c r="L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row>
    <row r="81" spans="1:56" x14ac:dyDescent="0.25">
      <c r="A81" s="84" t="s">
        <v>859</v>
      </c>
      <c r="B81" s="85">
        <v>1312</v>
      </c>
      <c r="C81" s="86">
        <v>700.21722560975604</v>
      </c>
      <c r="D81" s="32"/>
      <c r="E81" s="32"/>
      <c r="F81" s="32"/>
      <c r="G81" s="32"/>
      <c r="H81" s="32"/>
      <c r="I81" s="32"/>
      <c r="J81" s="32"/>
      <c r="K81" s="32"/>
      <c r="L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row>
    <row r="82" spans="1:56" x14ac:dyDescent="0.25">
      <c r="A82" s="84" t="s">
        <v>28</v>
      </c>
      <c r="B82" s="85">
        <v>402</v>
      </c>
      <c r="C82" s="86">
        <v>848.51990049751248</v>
      </c>
      <c r="D82" s="32"/>
      <c r="E82" s="32"/>
      <c r="F82" s="32"/>
      <c r="G82" s="32"/>
      <c r="H82" s="32"/>
      <c r="I82" s="32"/>
      <c r="J82" s="32"/>
      <c r="K82" s="32"/>
      <c r="L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row>
    <row r="83" spans="1:56" x14ac:dyDescent="0.25">
      <c r="A83" s="81" t="s">
        <v>876</v>
      </c>
      <c r="B83" s="82">
        <v>1261</v>
      </c>
      <c r="C83" s="83">
        <v>267.39571768437747</v>
      </c>
      <c r="D83" s="32"/>
      <c r="E83" s="32"/>
      <c r="F83" s="32"/>
      <c r="G83" s="32"/>
      <c r="H83" s="32"/>
      <c r="I83" s="32"/>
      <c r="J83" s="32"/>
      <c r="K83" s="32"/>
      <c r="L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row>
    <row r="84" spans="1:56" x14ac:dyDescent="0.25">
      <c r="A84" s="84" t="s">
        <v>92</v>
      </c>
      <c r="B84" s="85">
        <v>1029</v>
      </c>
      <c r="C84" s="86">
        <v>178.30709426627794</v>
      </c>
      <c r="D84" s="32"/>
      <c r="E84" s="32"/>
      <c r="F84" s="32"/>
      <c r="G84" s="32"/>
      <c r="H84" s="32"/>
      <c r="I84" s="32"/>
      <c r="J84" s="32"/>
      <c r="K84" s="32"/>
      <c r="L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row>
    <row r="85" spans="1:56" x14ac:dyDescent="0.25">
      <c r="A85" s="84" t="s">
        <v>859</v>
      </c>
      <c r="B85" s="85">
        <v>209</v>
      </c>
      <c r="C85" s="86">
        <v>650.6507177033493</v>
      </c>
      <c r="D85" s="32"/>
      <c r="E85" s="32"/>
      <c r="F85" s="32"/>
      <c r="G85" s="32"/>
      <c r="H85" s="32"/>
      <c r="I85" s="32"/>
      <c r="J85" s="32"/>
      <c r="K85" s="32"/>
      <c r="L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row>
    <row r="86" spans="1:56" x14ac:dyDescent="0.25">
      <c r="A86" s="84" t="s">
        <v>28</v>
      </c>
      <c r="B86" s="85">
        <v>23</v>
      </c>
      <c r="C86" s="86">
        <v>770.52173913043475</v>
      </c>
      <c r="D86" s="32"/>
      <c r="E86" s="32"/>
      <c r="F86" s="32"/>
      <c r="G86" s="32"/>
      <c r="H86" s="32"/>
      <c r="I86" s="32"/>
      <c r="J86" s="32"/>
      <c r="K86" s="32"/>
      <c r="L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row>
    <row r="87" spans="1:56" x14ac:dyDescent="0.25">
      <c r="A87" s="81" t="s">
        <v>877</v>
      </c>
      <c r="B87" s="82">
        <v>3019</v>
      </c>
      <c r="C87" s="83">
        <v>972.44219940377604</v>
      </c>
      <c r="D87" s="32"/>
      <c r="E87" s="32"/>
      <c r="F87" s="32"/>
      <c r="G87" s="32"/>
      <c r="H87" s="32"/>
      <c r="I87" s="32"/>
      <c r="J87" s="32"/>
      <c r="K87" s="32"/>
      <c r="L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row>
    <row r="88" spans="1:56" x14ac:dyDescent="0.25">
      <c r="A88" s="84" t="s">
        <v>92</v>
      </c>
      <c r="B88" s="85">
        <v>290</v>
      </c>
      <c r="C88" s="86">
        <v>625.03793103448277</v>
      </c>
      <c r="D88" s="32"/>
      <c r="E88" s="32"/>
      <c r="F88" s="32"/>
      <c r="G88" s="32"/>
      <c r="H88" s="32"/>
      <c r="I88" s="32"/>
      <c r="J88" s="32"/>
      <c r="K88" s="32"/>
      <c r="L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row>
    <row r="89" spans="1:56" x14ac:dyDescent="0.25">
      <c r="A89" s="84" t="s">
        <v>859</v>
      </c>
      <c r="B89" s="85">
        <v>2213</v>
      </c>
      <c r="C89" s="86">
        <v>951.05106190691367</v>
      </c>
      <c r="D89" s="32"/>
      <c r="E89" s="32"/>
      <c r="F89" s="32"/>
      <c r="G89" s="32"/>
      <c r="H89" s="32"/>
      <c r="I89" s="32"/>
      <c r="J89" s="32"/>
      <c r="K89" s="32"/>
      <c r="L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row>
    <row r="90" spans="1:56" x14ac:dyDescent="0.25">
      <c r="A90" s="84" t="s">
        <v>28</v>
      </c>
      <c r="B90" s="85">
        <v>516</v>
      </c>
      <c r="C90" s="86">
        <v>1259.4302325581396</v>
      </c>
      <c r="D90" s="32"/>
      <c r="E90" s="32"/>
      <c r="F90" s="32"/>
      <c r="G90" s="32"/>
      <c r="H90" s="32"/>
      <c r="I90" s="32"/>
      <c r="J90" s="32"/>
      <c r="K90" s="32"/>
      <c r="L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row>
    <row r="91" spans="1:56" x14ac:dyDescent="0.25">
      <c r="A91" s="81" t="s">
        <v>878</v>
      </c>
      <c r="B91" s="82">
        <v>1796</v>
      </c>
      <c r="C91" s="83">
        <v>469.7989977728285</v>
      </c>
      <c r="D91" s="32"/>
      <c r="E91" s="32"/>
      <c r="F91" s="32"/>
      <c r="G91" s="32"/>
      <c r="H91" s="32"/>
      <c r="I91" s="32"/>
      <c r="J91" s="32"/>
      <c r="K91" s="32"/>
      <c r="L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row>
    <row r="92" spans="1:56" x14ac:dyDescent="0.25">
      <c r="A92" s="84" t="s">
        <v>92</v>
      </c>
      <c r="B92" s="85">
        <v>713</v>
      </c>
      <c r="C92" s="86">
        <v>248.82608695652175</v>
      </c>
      <c r="D92" s="32"/>
      <c r="E92" s="32"/>
      <c r="F92" s="32"/>
      <c r="G92" s="32"/>
      <c r="H92" s="32"/>
      <c r="I92" s="32"/>
      <c r="J92" s="32"/>
      <c r="K92" s="32"/>
      <c r="L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row>
    <row r="93" spans="1:56" x14ac:dyDescent="0.25">
      <c r="A93" s="84" t="s">
        <v>859</v>
      </c>
      <c r="B93" s="85">
        <v>341</v>
      </c>
      <c r="C93" s="86">
        <v>773.84750733137832</v>
      </c>
      <c r="D93" s="32"/>
      <c r="E93" s="32"/>
      <c r="F93" s="32"/>
      <c r="G93" s="32"/>
      <c r="H93" s="32"/>
      <c r="I93" s="32"/>
      <c r="J93" s="32"/>
      <c r="K93" s="32"/>
      <c r="L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row>
    <row r="94" spans="1:56" x14ac:dyDescent="0.25">
      <c r="A94" s="84" t="s">
        <v>28</v>
      </c>
      <c r="B94" s="85">
        <v>742</v>
      </c>
      <c r="C94" s="86">
        <v>542.4043126684636</v>
      </c>
      <c r="D94" s="32"/>
      <c r="E94" s="32"/>
      <c r="F94" s="32"/>
      <c r="G94" s="32"/>
      <c r="H94" s="32"/>
      <c r="I94" s="32"/>
      <c r="J94" s="32"/>
      <c r="K94" s="32"/>
      <c r="L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row>
    <row r="95" spans="1:56" x14ac:dyDescent="0.25">
      <c r="A95" s="81" t="s">
        <v>879</v>
      </c>
      <c r="B95" s="82">
        <v>2835</v>
      </c>
      <c r="C95" s="83">
        <v>882.34955908289237</v>
      </c>
      <c r="D95" s="32"/>
      <c r="E95" s="32"/>
      <c r="F95" s="32"/>
      <c r="G95" s="32"/>
      <c r="H95" s="32"/>
      <c r="I95" s="32"/>
      <c r="J95" s="32"/>
      <c r="K95" s="32"/>
      <c r="L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row>
    <row r="96" spans="1:56" x14ac:dyDescent="0.25">
      <c r="A96" s="84" t="s">
        <v>92</v>
      </c>
      <c r="B96" s="85">
        <v>823</v>
      </c>
      <c r="C96" s="86">
        <v>483.02308626974485</v>
      </c>
      <c r="D96" s="32"/>
      <c r="E96" s="32"/>
      <c r="F96" s="32"/>
      <c r="G96" s="32"/>
      <c r="H96" s="32"/>
      <c r="I96" s="32"/>
      <c r="J96" s="32"/>
      <c r="K96" s="32"/>
      <c r="L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row>
    <row r="97" spans="1:56" x14ac:dyDescent="0.25">
      <c r="A97" s="84" t="s">
        <v>859</v>
      </c>
      <c r="B97" s="85">
        <v>1191</v>
      </c>
      <c r="C97" s="86">
        <v>852.54156171284637</v>
      </c>
      <c r="D97" s="32"/>
      <c r="E97" s="32"/>
      <c r="F97" s="32"/>
      <c r="G97" s="32"/>
      <c r="H97" s="32"/>
      <c r="I97" s="32"/>
      <c r="J97" s="32"/>
      <c r="K97" s="32"/>
      <c r="L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row>
    <row r="98" spans="1:56" x14ac:dyDescent="0.25">
      <c r="A98" s="84" t="s">
        <v>28</v>
      </c>
      <c r="B98" s="85">
        <v>821</v>
      </c>
      <c r="C98" s="86">
        <v>1325.890377588307</v>
      </c>
      <c r="D98" s="32"/>
      <c r="E98" s="32"/>
      <c r="F98" s="32"/>
      <c r="G98" s="32"/>
      <c r="H98" s="32"/>
      <c r="I98" s="32"/>
      <c r="J98" s="32"/>
      <c r="K98" s="32"/>
      <c r="L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row>
    <row r="99" spans="1:56" x14ac:dyDescent="0.25">
      <c r="A99" s="81" t="s">
        <v>880</v>
      </c>
      <c r="B99" s="82">
        <v>10562</v>
      </c>
      <c r="C99" s="83">
        <v>1071.1748721832987</v>
      </c>
      <c r="D99" s="32"/>
      <c r="E99" s="32"/>
      <c r="F99" s="32"/>
      <c r="G99" s="32"/>
      <c r="H99" s="32"/>
      <c r="I99" s="32"/>
      <c r="J99" s="32"/>
      <c r="K99" s="32"/>
      <c r="L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row>
    <row r="100" spans="1:56" x14ac:dyDescent="0.25">
      <c r="A100" s="84" t="s">
        <v>92</v>
      </c>
      <c r="B100" s="85">
        <v>3760</v>
      </c>
      <c r="C100" s="86">
        <v>669.40851063829791</v>
      </c>
      <c r="D100" s="32"/>
      <c r="E100" s="32"/>
      <c r="F100" s="32"/>
      <c r="G100" s="32"/>
      <c r="H100" s="32"/>
      <c r="I100" s="32"/>
      <c r="J100" s="32"/>
      <c r="K100" s="32"/>
      <c r="L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row>
    <row r="101" spans="1:56" x14ac:dyDescent="0.25">
      <c r="A101" s="84" t="s">
        <v>859</v>
      </c>
      <c r="B101" s="85">
        <v>1249</v>
      </c>
      <c r="C101" s="86">
        <v>891.79903923138511</v>
      </c>
      <c r="D101" s="32"/>
      <c r="E101" s="32"/>
      <c r="F101" s="32"/>
      <c r="G101" s="32"/>
      <c r="H101" s="32"/>
      <c r="I101" s="32"/>
      <c r="J101" s="32"/>
      <c r="K101" s="32"/>
      <c r="L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row>
    <row r="102" spans="1:56" x14ac:dyDescent="0.25">
      <c r="A102" s="84" t="s">
        <v>28</v>
      </c>
      <c r="B102" s="85">
        <v>5553</v>
      </c>
      <c r="C102" s="86">
        <v>1383.5613182063748</v>
      </c>
      <c r="D102" s="32"/>
      <c r="E102" s="32"/>
      <c r="F102" s="32"/>
      <c r="G102" s="32"/>
      <c r="H102" s="32"/>
      <c r="I102" s="32"/>
      <c r="J102" s="32"/>
      <c r="K102" s="32"/>
      <c r="L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row>
    <row r="103" spans="1:56" x14ac:dyDescent="0.25">
      <c r="A103" s="81" t="s">
        <v>881</v>
      </c>
      <c r="B103" s="82">
        <v>3881</v>
      </c>
      <c r="C103" s="83">
        <v>958.85596495748518</v>
      </c>
      <c r="D103" s="32"/>
      <c r="E103" s="32"/>
      <c r="F103" s="32"/>
      <c r="G103" s="32"/>
      <c r="H103" s="32"/>
      <c r="I103" s="32"/>
      <c r="J103" s="32"/>
      <c r="K103" s="32"/>
      <c r="L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row>
    <row r="104" spans="1:56" x14ac:dyDescent="0.25">
      <c r="A104" s="84" t="s">
        <v>92</v>
      </c>
      <c r="B104" s="85">
        <v>865</v>
      </c>
      <c r="C104" s="86">
        <v>578.92947976878611</v>
      </c>
      <c r="D104" s="32"/>
      <c r="E104" s="32"/>
      <c r="F104" s="32"/>
      <c r="G104" s="32"/>
      <c r="H104" s="32"/>
      <c r="I104" s="32"/>
      <c r="J104" s="32"/>
      <c r="K104" s="32"/>
      <c r="L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row>
    <row r="105" spans="1:56" x14ac:dyDescent="0.25">
      <c r="A105" s="84" t="s">
        <v>859</v>
      </c>
      <c r="B105" s="85">
        <v>1435</v>
      </c>
      <c r="C105" s="86">
        <v>811.99581881533106</v>
      </c>
      <c r="D105" s="32"/>
      <c r="E105" s="32"/>
      <c r="F105" s="32"/>
      <c r="G105" s="32"/>
      <c r="H105" s="32"/>
      <c r="I105" s="32"/>
      <c r="J105" s="32"/>
      <c r="K105" s="32"/>
      <c r="L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row>
    <row r="106" spans="1:56" x14ac:dyDescent="0.25">
      <c r="A106" s="84" t="s">
        <v>28</v>
      </c>
      <c r="B106" s="85">
        <v>1581</v>
      </c>
      <c r="C106" s="86">
        <v>1300.0202403542062</v>
      </c>
      <c r="D106" s="32"/>
      <c r="E106" s="32"/>
      <c r="F106" s="32"/>
      <c r="G106" s="32"/>
      <c r="H106" s="32"/>
      <c r="I106" s="32"/>
      <c r="J106" s="32"/>
      <c r="K106" s="32"/>
      <c r="L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row>
    <row r="107" spans="1:56" x14ac:dyDescent="0.25">
      <c r="A107" s="81" t="s">
        <v>882</v>
      </c>
      <c r="B107" s="82">
        <v>2208</v>
      </c>
      <c r="C107" s="83">
        <v>1183.6625905797102</v>
      </c>
      <c r="D107" s="32"/>
      <c r="E107" s="32"/>
      <c r="F107" s="32"/>
      <c r="G107" s="32"/>
      <c r="H107" s="32"/>
      <c r="I107" s="32"/>
      <c r="J107" s="32"/>
      <c r="K107" s="32"/>
      <c r="L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row>
    <row r="108" spans="1:56" x14ac:dyDescent="0.25">
      <c r="A108" s="84" t="s">
        <v>92</v>
      </c>
      <c r="B108" s="85">
        <v>313</v>
      </c>
      <c r="C108" s="86">
        <v>603.50798722044726</v>
      </c>
      <c r="D108" s="32"/>
      <c r="E108" s="32"/>
      <c r="F108" s="32"/>
      <c r="G108" s="32"/>
      <c r="H108" s="32"/>
      <c r="I108" s="32"/>
      <c r="J108" s="32"/>
      <c r="K108" s="32"/>
      <c r="L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row>
    <row r="109" spans="1:56" x14ac:dyDescent="0.25">
      <c r="A109" s="84" t="s">
        <v>859</v>
      </c>
      <c r="B109" s="85">
        <v>911</v>
      </c>
      <c r="C109" s="86">
        <v>966.16355653128426</v>
      </c>
      <c r="D109" s="32"/>
      <c r="E109" s="32"/>
      <c r="F109" s="32"/>
      <c r="G109" s="32"/>
      <c r="H109" s="32"/>
      <c r="I109" s="32"/>
      <c r="J109" s="32"/>
      <c r="K109" s="32"/>
      <c r="L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row>
    <row r="110" spans="1:56" x14ac:dyDescent="0.25">
      <c r="A110" s="84" t="s">
        <v>28</v>
      </c>
      <c r="B110" s="85">
        <v>984</v>
      </c>
      <c r="C110" s="86">
        <v>1569.5670731707316</v>
      </c>
      <c r="D110" s="32"/>
      <c r="E110" s="32"/>
      <c r="F110" s="32"/>
      <c r="G110" s="32"/>
      <c r="H110" s="32"/>
      <c r="I110" s="32"/>
      <c r="J110" s="32"/>
      <c r="K110" s="32"/>
      <c r="L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row>
    <row r="111" spans="1:56" x14ac:dyDescent="0.25">
      <c r="A111" s="81" t="s">
        <v>932</v>
      </c>
      <c r="B111" s="82">
        <v>2853</v>
      </c>
      <c r="C111" s="83">
        <v>620.19313003855586</v>
      </c>
      <c r="D111" s="32"/>
      <c r="E111" s="32"/>
      <c r="F111" s="32"/>
      <c r="G111" s="32"/>
      <c r="H111" s="32"/>
      <c r="I111" s="32"/>
      <c r="J111" s="32"/>
      <c r="K111" s="32"/>
      <c r="L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row>
    <row r="112" spans="1:56" x14ac:dyDescent="0.25">
      <c r="A112" s="84" t="s">
        <v>92</v>
      </c>
      <c r="B112" s="85">
        <v>1059</v>
      </c>
      <c r="C112" s="86">
        <v>528.51558073654394</v>
      </c>
      <c r="D112" s="32"/>
      <c r="E112" s="32"/>
      <c r="F112" s="32"/>
      <c r="G112" s="32"/>
      <c r="H112" s="32"/>
      <c r="I112" s="32"/>
      <c r="J112" s="32"/>
      <c r="K112" s="32"/>
      <c r="L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row>
    <row r="113" spans="1:56" x14ac:dyDescent="0.25">
      <c r="A113" s="84" t="s">
        <v>859</v>
      </c>
      <c r="B113" s="85">
        <v>1500</v>
      </c>
      <c r="C113" s="86">
        <v>648.6393333333333</v>
      </c>
      <c r="D113" s="32"/>
      <c r="E113" s="32"/>
      <c r="F113" s="32"/>
      <c r="G113" s="32"/>
      <c r="H113" s="32"/>
      <c r="I113" s="32"/>
      <c r="J113" s="32"/>
      <c r="K113" s="32"/>
      <c r="L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row>
    <row r="114" spans="1:56" x14ac:dyDescent="0.25">
      <c r="A114" s="84" t="s">
        <v>28</v>
      </c>
      <c r="B114" s="85">
        <v>294</v>
      </c>
      <c r="C114" s="86">
        <v>805.28571428571433</v>
      </c>
      <c r="M114"/>
    </row>
    <row r="115" spans="1:56" hidden="1" x14ac:dyDescent="0.25"/>
    <row r="116" spans="1:56" x14ac:dyDescent="0.25"/>
  </sheetData>
  <sheetProtection sheet="1" objects="1" scenarios="1"/>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7"/>
  <sheetViews>
    <sheetView showGridLines="0" zoomScaleNormal="100" zoomScaleSheetLayoutView="70" zoomScalePageLayoutView="90" workbookViewId="0">
      <selection sqref="A1:D1"/>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9" customFormat="1" ht="27.75" customHeight="1" x14ac:dyDescent="0.2">
      <c r="A1" s="206" t="s">
        <v>63</v>
      </c>
      <c r="B1" s="206"/>
      <c r="C1" s="206"/>
      <c r="D1" s="206"/>
      <c r="U1" s="5"/>
    </row>
    <row r="2" spans="1:50" s="1" customFormat="1" ht="45.75" customHeight="1" x14ac:dyDescent="0.2">
      <c r="A2" s="207" t="s">
        <v>64</v>
      </c>
      <c r="B2" s="207"/>
      <c r="C2" s="207"/>
      <c r="D2" s="207"/>
      <c r="E2" s="207"/>
      <c r="F2" s="207"/>
      <c r="G2" s="207"/>
      <c r="H2" s="207"/>
      <c r="I2" s="209"/>
      <c r="J2" s="209"/>
      <c r="K2" s="209"/>
      <c r="L2" s="209"/>
      <c r="M2" s="209"/>
      <c r="N2" s="209"/>
      <c r="O2" s="209"/>
      <c r="P2" s="209"/>
      <c r="Q2" s="72"/>
      <c r="R2" s="72"/>
      <c r="S2" s="72"/>
      <c r="T2" s="72"/>
      <c r="U2" s="72"/>
      <c r="V2" s="71"/>
    </row>
    <row r="3" spans="1:50" ht="31.5" customHeight="1" x14ac:dyDescent="0.25">
      <c r="A3" s="205" t="s">
        <v>938</v>
      </c>
      <c r="B3" s="205"/>
      <c r="C3" s="205"/>
      <c r="D3" s="205"/>
      <c r="E3" s="69"/>
      <c r="F3" s="69"/>
      <c r="G3" s="69"/>
      <c r="H3" s="69"/>
      <c r="I3" s="73"/>
      <c r="J3" s="73"/>
      <c r="K3" s="73"/>
      <c r="L3" s="73"/>
      <c r="M3" s="73"/>
      <c r="N3" s="73"/>
      <c r="O3" s="73"/>
      <c r="P3" s="73"/>
      <c r="Q3" s="73"/>
      <c r="R3" s="73"/>
      <c r="S3" s="73"/>
      <c r="T3" s="73"/>
      <c r="U3" s="73"/>
      <c r="V3" s="69"/>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row>
    <row r="4" spans="1:50" s="9" customFormat="1" ht="30.75" customHeight="1" x14ac:dyDescent="0.2">
      <c r="A4" s="208"/>
      <c r="B4" s="208"/>
      <c r="C4" s="208"/>
      <c r="D4" s="208"/>
      <c r="E4" s="208"/>
      <c r="F4" s="208"/>
      <c r="G4" s="208"/>
      <c r="H4" s="208"/>
      <c r="I4" s="208"/>
      <c r="J4" s="208"/>
      <c r="K4" s="208"/>
      <c r="L4" s="208"/>
      <c r="M4" s="208"/>
      <c r="N4" s="208"/>
      <c r="O4" s="208"/>
      <c r="P4" s="208"/>
      <c r="Q4" s="208"/>
      <c r="R4" s="208"/>
      <c r="S4" s="208"/>
      <c r="T4" s="208"/>
      <c r="U4" s="208"/>
      <c r="V4" s="208"/>
      <c r="W4" s="11"/>
      <c r="X4" s="11"/>
      <c r="Y4" s="11"/>
      <c r="Z4" s="11"/>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14"/>
      <c r="B6" s="215"/>
      <c r="C6" s="215"/>
      <c r="D6" s="215"/>
      <c r="E6" s="215"/>
      <c r="F6" s="215"/>
      <c r="G6" s="215"/>
      <c r="H6" s="215"/>
      <c r="I6" s="215"/>
      <c r="J6" s="215"/>
      <c r="K6" s="215"/>
      <c r="L6" s="215"/>
      <c r="M6" s="215"/>
      <c r="N6" s="215"/>
      <c r="O6" s="215"/>
      <c r="P6" s="215"/>
      <c r="Q6" s="215"/>
      <c r="R6" s="215"/>
      <c r="S6" s="215"/>
      <c r="T6" s="215"/>
      <c r="U6" s="215"/>
      <c r="V6" s="216"/>
      <c r="W6" s="2"/>
      <c r="X6" s="2"/>
      <c r="Y6" s="2"/>
      <c r="Z6" s="2"/>
    </row>
    <row r="7" spans="1:50" s="9" customFormat="1" ht="16.5" customHeight="1" x14ac:dyDescent="0.2">
      <c r="A7" s="105"/>
      <c r="B7" s="47"/>
      <c r="C7" s="47"/>
      <c r="D7" s="47"/>
      <c r="E7" s="47"/>
      <c r="F7" s="47"/>
      <c r="G7" s="47"/>
      <c r="H7" s="47"/>
      <c r="I7" s="5"/>
      <c r="J7" s="92"/>
      <c r="K7" s="92"/>
      <c r="L7" s="92"/>
      <c r="M7" s="5"/>
      <c r="N7" s="47"/>
      <c r="O7" s="47"/>
      <c r="P7" s="47"/>
      <c r="Q7" s="47"/>
      <c r="R7" s="47"/>
      <c r="S7" s="47"/>
      <c r="T7" s="47"/>
      <c r="U7" s="47"/>
      <c r="V7" s="48"/>
      <c r="W7" s="49"/>
      <c r="X7" s="49"/>
      <c r="Y7" s="49"/>
      <c r="Z7" s="49"/>
    </row>
    <row r="8" spans="1:50" s="94" customFormat="1" ht="30.6" customHeight="1" x14ac:dyDescent="0.2">
      <c r="A8" s="217" t="s">
        <v>935</v>
      </c>
      <c r="B8" s="218"/>
      <c r="C8" s="218"/>
      <c r="D8" s="218"/>
      <c r="E8" s="93"/>
      <c r="F8" s="93"/>
      <c r="G8" s="218" t="s">
        <v>925</v>
      </c>
      <c r="H8" s="218"/>
      <c r="I8" s="218"/>
      <c r="J8" s="218"/>
      <c r="K8" s="218"/>
      <c r="L8" s="106"/>
      <c r="M8" s="218" t="s">
        <v>937</v>
      </c>
      <c r="N8" s="218"/>
      <c r="O8" s="218"/>
      <c r="P8" s="218"/>
      <c r="Q8" s="218"/>
      <c r="R8" s="106"/>
      <c r="S8" s="106"/>
      <c r="T8" s="202"/>
      <c r="U8" s="203"/>
      <c r="V8" s="204"/>
      <c r="W8" s="95"/>
      <c r="X8" s="95"/>
      <c r="Y8" s="95"/>
      <c r="Z8" s="95"/>
    </row>
    <row r="9" spans="1:50" s="9" customFormat="1" ht="28.35" customHeight="1" x14ac:dyDescent="0.2">
      <c r="A9" s="44" t="s">
        <v>921</v>
      </c>
      <c r="B9" s="121" t="s">
        <v>138</v>
      </c>
      <c r="C9" s="121" t="s">
        <v>139</v>
      </c>
      <c r="D9" s="121" t="s">
        <v>1</v>
      </c>
      <c r="E9" s="47"/>
      <c r="F9" s="47"/>
      <c r="G9" s="213" t="s">
        <v>140</v>
      </c>
      <c r="H9" s="213"/>
      <c r="I9" s="101" t="s">
        <v>138</v>
      </c>
      <c r="J9" s="101" t="s">
        <v>139</v>
      </c>
      <c r="K9" s="101" t="s">
        <v>1</v>
      </c>
      <c r="L9" s="5"/>
      <c r="M9" s="213" t="s">
        <v>136</v>
      </c>
      <c r="N9" s="213"/>
      <c r="O9" s="213" t="s">
        <v>137</v>
      </c>
      <c r="P9" s="213"/>
      <c r="Q9" s="213"/>
      <c r="R9" s="47"/>
      <c r="S9" s="47"/>
      <c r="T9" s="47"/>
      <c r="U9" s="55"/>
      <c r="V9" s="53"/>
      <c r="W9" s="49"/>
      <c r="X9" s="49"/>
    </row>
    <row r="10" spans="1:50" s="9" customFormat="1" ht="16.5" customHeight="1" thickBot="1" x14ac:dyDescent="0.25">
      <c r="A10" s="107" t="s">
        <v>1</v>
      </c>
      <c r="B10" s="122">
        <v>412</v>
      </c>
      <c r="C10" s="122">
        <v>12846</v>
      </c>
      <c r="D10" s="122">
        <v>13258</v>
      </c>
      <c r="E10" s="47"/>
      <c r="F10" s="47"/>
      <c r="G10" s="219" t="s">
        <v>945</v>
      </c>
      <c r="H10" s="219"/>
      <c r="I10" s="50">
        <v>132.77063999999999</v>
      </c>
      <c r="J10" s="50">
        <v>216.16490999999999</v>
      </c>
      <c r="K10" s="50">
        <v>212.63756000000001</v>
      </c>
      <c r="L10" s="5"/>
      <c r="M10" s="224" t="s">
        <v>1</v>
      </c>
      <c r="N10" s="224"/>
      <c r="O10" s="227">
        <v>1625</v>
      </c>
      <c r="P10" s="228"/>
      <c r="Q10" s="229"/>
      <c r="R10" s="47"/>
      <c r="S10" s="47"/>
      <c r="T10" s="47"/>
      <c r="U10" s="165"/>
      <c r="V10" s="177"/>
      <c r="W10" s="49"/>
      <c r="X10" s="200"/>
      <c r="Y10" s="161"/>
      <c r="Z10" s="161"/>
      <c r="AA10" s="161"/>
    </row>
    <row r="11" spans="1:50" s="9" customFormat="1" ht="13.35" customHeight="1" thickTop="1" x14ac:dyDescent="0.2">
      <c r="A11" s="108" t="s">
        <v>145</v>
      </c>
      <c r="B11" s="123">
        <v>356</v>
      </c>
      <c r="C11" s="123">
        <v>3572</v>
      </c>
      <c r="D11" s="123">
        <v>3928</v>
      </c>
      <c r="E11" s="47"/>
      <c r="F11" s="47"/>
      <c r="G11" s="220"/>
      <c r="H11" s="220"/>
      <c r="I11" s="100"/>
      <c r="J11" s="100"/>
      <c r="K11" s="100"/>
      <c r="L11" s="5"/>
      <c r="M11" s="225" t="s">
        <v>138</v>
      </c>
      <c r="N11" s="225"/>
      <c r="O11" s="264">
        <v>75</v>
      </c>
      <c r="P11" s="265"/>
      <c r="Q11" s="266"/>
      <c r="R11" s="47"/>
      <c r="S11" s="47"/>
      <c r="T11" s="47"/>
      <c r="U11" s="165"/>
      <c r="V11" s="177"/>
      <c r="W11" s="200"/>
      <c r="X11" s="200"/>
      <c r="Y11" s="161"/>
      <c r="Z11" s="161"/>
      <c r="AA11" s="161"/>
    </row>
    <row r="12" spans="1:50" s="9" customFormat="1" ht="13.35" customHeight="1" x14ac:dyDescent="0.2">
      <c r="A12" s="109" t="s">
        <v>146</v>
      </c>
      <c r="B12" s="124">
        <v>18</v>
      </c>
      <c r="C12" s="124">
        <v>6988</v>
      </c>
      <c r="D12" s="124">
        <v>7006</v>
      </c>
      <c r="E12" s="47"/>
      <c r="F12" s="47"/>
      <c r="G12" s="5"/>
      <c r="H12" s="5"/>
      <c r="I12" s="5"/>
      <c r="J12" s="5"/>
      <c r="K12" s="5"/>
      <c r="L12" s="5"/>
      <c r="M12" s="226" t="s">
        <v>139</v>
      </c>
      <c r="N12" s="226"/>
      <c r="O12" s="258">
        <v>1550</v>
      </c>
      <c r="P12" s="259"/>
      <c r="Q12" s="260"/>
      <c r="R12" s="47"/>
      <c r="S12" s="47"/>
      <c r="T12" s="47"/>
      <c r="U12" s="165"/>
      <c r="V12" s="177"/>
      <c r="W12" s="200"/>
      <c r="X12" s="200"/>
      <c r="Y12" s="161"/>
      <c r="Z12" s="161"/>
      <c r="AA12" s="161"/>
    </row>
    <row r="13" spans="1:50" s="9" customFormat="1" ht="13.35" customHeight="1" x14ac:dyDescent="0.2">
      <c r="A13" s="109" t="s">
        <v>147</v>
      </c>
      <c r="B13" s="124">
        <v>28</v>
      </c>
      <c r="C13" s="124">
        <v>1507</v>
      </c>
      <c r="D13" s="124">
        <v>1535</v>
      </c>
      <c r="E13" s="47"/>
      <c r="F13" s="47"/>
      <c r="G13" s="47"/>
      <c r="H13" s="47"/>
      <c r="I13" s="47"/>
      <c r="J13" s="47"/>
      <c r="K13" s="47"/>
      <c r="L13" s="5"/>
      <c r="M13" s="5"/>
      <c r="N13" s="5"/>
      <c r="O13" s="5"/>
      <c r="P13" s="5"/>
      <c r="Q13" s="5"/>
      <c r="R13" s="47"/>
      <c r="S13" s="47"/>
      <c r="T13" s="47"/>
      <c r="U13" s="165"/>
      <c r="V13" s="177"/>
      <c r="W13" s="200"/>
      <c r="X13" s="200"/>
      <c r="Y13" s="161"/>
      <c r="Z13" s="161"/>
      <c r="AA13" s="161"/>
    </row>
    <row r="14" spans="1:50" s="9" customFormat="1" ht="13.35" customHeight="1" x14ac:dyDescent="0.2">
      <c r="A14" s="109" t="s">
        <v>0</v>
      </c>
      <c r="B14" s="124">
        <v>10</v>
      </c>
      <c r="C14" s="124">
        <v>779</v>
      </c>
      <c r="D14" s="124">
        <v>789</v>
      </c>
      <c r="E14" s="47"/>
      <c r="F14" s="47"/>
      <c r="G14" s="47"/>
      <c r="H14" s="47"/>
      <c r="I14" s="47"/>
      <c r="J14" s="47"/>
      <c r="K14" s="47"/>
      <c r="L14" s="47"/>
      <c r="M14" s="47"/>
      <c r="N14" s="47"/>
      <c r="O14" s="47"/>
      <c r="P14" s="47"/>
      <c r="Q14" s="47"/>
      <c r="R14" s="47"/>
      <c r="S14" s="47"/>
      <c r="T14" s="47"/>
      <c r="U14" s="165"/>
      <c r="V14" s="177"/>
      <c r="W14" s="200"/>
      <c r="X14" s="200"/>
      <c r="Z14" s="161"/>
      <c r="AA14" s="161"/>
    </row>
    <row r="15" spans="1:50" s="9" customFormat="1" ht="16.5" customHeight="1" x14ac:dyDescent="0.2">
      <c r="A15" s="110"/>
      <c r="B15" s="51"/>
      <c r="C15" s="51"/>
      <c r="D15" s="51"/>
      <c r="E15" s="51"/>
      <c r="F15" s="51"/>
      <c r="G15" s="47"/>
      <c r="H15" s="47"/>
      <c r="I15" s="47"/>
      <c r="J15" s="47"/>
      <c r="K15" s="47"/>
      <c r="L15" s="47"/>
      <c r="M15" s="47"/>
      <c r="N15" s="47"/>
      <c r="O15" s="47"/>
      <c r="P15" s="47"/>
      <c r="Q15" s="47"/>
      <c r="R15" s="47"/>
      <c r="S15" s="47"/>
      <c r="T15" s="47"/>
      <c r="U15" s="47"/>
      <c r="V15" s="48"/>
      <c r="W15" s="49"/>
      <c r="X15" s="161"/>
      <c r="Y15" s="49"/>
      <c r="Z15" s="49"/>
    </row>
    <row r="16" spans="1:50" s="9" customFormat="1" ht="16.5" customHeight="1" x14ac:dyDescent="0.2">
      <c r="A16" s="221"/>
      <c r="B16" s="222"/>
      <c r="C16" s="222"/>
      <c r="D16" s="222"/>
      <c r="E16" s="222"/>
      <c r="F16" s="222"/>
      <c r="G16" s="222"/>
      <c r="H16" s="222"/>
      <c r="I16" s="222"/>
      <c r="J16" s="222"/>
      <c r="K16" s="222"/>
      <c r="L16" s="222"/>
      <c r="M16" s="222"/>
      <c r="N16" s="222"/>
      <c r="O16" s="222"/>
      <c r="P16" s="222"/>
      <c r="Q16" s="222"/>
      <c r="R16" s="222"/>
      <c r="S16" s="222"/>
      <c r="T16" s="222"/>
      <c r="U16" s="222"/>
      <c r="V16" s="223"/>
      <c r="W16" s="49"/>
      <c r="X16" s="161"/>
      <c r="Y16" s="49"/>
      <c r="Z16" s="49"/>
    </row>
    <row r="17" spans="1:30" s="9" customFormat="1" ht="16.5" customHeight="1" x14ac:dyDescent="0.2">
      <c r="A17" s="105"/>
      <c r="B17" s="47"/>
      <c r="C17" s="47"/>
      <c r="D17" s="47"/>
      <c r="E17" s="47"/>
      <c r="F17" s="47"/>
      <c r="G17" s="47"/>
      <c r="H17" s="47"/>
      <c r="I17" s="47"/>
      <c r="J17" s="47"/>
      <c r="K17" s="47"/>
      <c r="L17" s="47"/>
      <c r="M17" s="47"/>
      <c r="N17" s="47"/>
      <c r="O17" s="47"/>
      <c r="P17" s="47"/>
      <c r="Q17" s="47"/>
      <c r="R17" s="47"/>
      <c r="S17" s="47"/>
      <c r="T17" s="47"/>
      <c r="U17" s="47"/>
      <c r="V17" s="48"/>
      <c r="W17" s="49"/>
      <c r="X17" s="49"/>
      <c r="Y17" s="49"/>
      <c r="Z17" s="49"/>
    </row>
    <row r="18" spans="1:30" s="10" customFormat="1" ht="27.6" customHeight="1" x14ac:dyDescent="0.2">
      <c r="A18" s="217" t="s">
        <v>936</v>
      </c>
      <c r="B18" s="218"/>
      <c r="C18" s="218"/>
      <c r="D18" s="218"/>
      <c r="E18" s="218"/>
      <c r="F18" s="218"/>
      <c r="G18" s="111"/>
      <c r="H18" s="111"/>
      <c r="I18" s="248" t="s">
        <v>946</v>
      </c>
      <c r="J18" s="248"/>
      <c r="K18" s="248"/>
      <c r="L18" s="248"/>
      <c r="M18" s="248"/>
      <c r="N18" s="248"/>
      <c r="O18" s="248"/>
      <c r="P18" s="248"/>
      <c r="Q18" s="248"/>
      <c r="R18" s="248"/>
      <c r="S18" s="248"/>
      <c r="T18" s="248"/>
      <c r="U18" s="248"/>
      <c r="V18" s="249"/>
      <c r="W18" s="52"/>
      <c r="X18" s="52"/>
      <c r="Y18" s="52"/>
      <c r="Z18" s="52"/>
    </row>
    <row r="19" spans="1:30" s="1" customFormat="1" ht="28.7" customHeight="1" x14ac:dyDescent="0.2">
      <c r="A19" s="121" t="s">
        <v>141</v>
      </c>
      <c r="B19" s="121" t="s">
        <v>96</v>
      </c>
      <c r="C19" s="121" t="s">
        <v>142</v>
      </c>
      <c r="D19" s="121" t="s">
        <v>78</v>
      </c>
      <c r="E19" s="121" t="s">
        <v>143</v>
      </c>
      <c r="F19" s="121" t="s">
        <v>1</v>
      </c>
      <c r="G19" s="7"/>
      <c r="H19" s="7"/>
      <c r="I19" s="121" t="s">
        <v>148</v>
      </c>
      <c r="J19" s="121" t="s">
        <v>149</v>
      </c>
      <c r="K19" s="121" t="s">
        <v>150</v>
      </c>
      <c r="L19" s="121" t="s">
        <v>151</v>
      </c>
      <c r="M19" s="121" t="s">
        <v>152</v>
      </c>
      <c r="N19" s="121" t="s">
        <v>153</v>
      </c>
      <c r="O19" s="121" t="s">
        <v>154</v>
      </c>
      <c r="P19" s="121" t="s">
        <v>155</v>
      </c>
      <c r="Q19" s="121" t="s">
        <v>156</v>
      </c>
      <c r="R19" s="121" t="s">
        <v>157</v>
      </c>
      <c r="S19" s="121" t="s">
        <v>159</v>
      </c>
      <c r="T19" s="121" t="s">
        <v>160</v>
      </c>
      <c r="U19" s="121" t="s">
        <v>161</v>
      </c>
      <c r="V19" s="121" t="s">
        <v>1</v>
      </c>
      <c r="W19" s="54"/>
      <c r="X19" s="54"/>
      <c r="Y19" s="54"/>
      <c r="Z19" s="173"/>
      <c r="AA19" s="168"/>
      <c r="AB19" s="168"/>
      <c r="AC19" s="168"/>
    </row>
    <row r="20" spans="1:30" s="1" customFormat="1" ht="18" customHeight="1" thickBot="1" x14ac:dyDescent="0.25">
      <c r="A20" s="107" t="s">
        <v>1</v>
      </c>
      <c r="B20" s="122">
        <v>8351</v>
      </c>
      <c r="C20" s="127">
        <f>B20/F20</f>
        <v>0.62988384371700101</v>
      </c>
      <c r="D20" s="122">
        <v>4907</v>
      </c>
      <c r="E20" s="127">
        <f>D20/F20</f>
        <v>0.37011615628299893</v>
      </c>
      <c r="F20" s="122">
        <v>13258</v>
      </c>
      <c r="G20" s="7"/>
      <c r="H20" s="7"/>
      <c r="I20" s="45" t="s">
        <v>1</v>
      </c>
      <c r="J20" s="128">
        <v>9197</v>
      </c>
      <c r="K20" s="129">
        <v>8062</v>
      </c>
      <c r="L20" s="128">
        <v>8627</v>
      </c>
      <c r="M20" s="129">
        <v>8143</v>
      </c>
      <c r="N20" s="128">
        <v>3228</v>
      </c>
      <c r="O20" s="129">
        <v>0</v>
      </c>
      <c r="P20" s="128">
        <v>0</v>
      </c>
      <c r="Q20" s="129">
        <v>0</v>
      </c>
      <c r="R20" s="128">
        <v>0</v>
      </c>
      <c r="S20" s="128">
        <v>0</v>
      </c>
      <c r="T20" s="129">
        <v>0</v>
      </c>
      <c r="U20" s="128">
        <v>0</v>
      </c>
      <c r="V20" s="133">
        <v>37257</v>
      </c>
      <c r="W20" s="54"/>
      <c r="X20" s="54"/>
      <c r="Y20" s="173"/>
      <c r="Z20" s="173"/>
      <c r="AA20" s="168"/>
      <c r="AB20" s="168"/>
    </row>
    <row r="21" spans="1:30" s="1" customFormat="1" ht="15" customHeight="1" thickTop="1" x14ac:dyDescent="0.2">
      <c r="A21" s="108" t="s">
        <v>82</v>
      </c>
      <c r="B21" s="123">
        <v>6218</v>
      </c>
      <c r="C21" s="125">
        <f t="shared" ref="C21:C23" si="0">B21/F21</f>
        <v>0.9217313963830418</v>
      </c>
      <c r="D21" s="123">
        <v>528</v>
      </c>
      <c r="E21" s="125">
        <f t="shared" ref="E21:E23" si="1">D21/F21</f>
        <v>7.8268603616958199E-2</v>
      </c>
      <c r="F21" s="123">
        <v>6746</v>
      </c>
      <c r="G21" s="7"/>
      <c r="H21" s="7"/>
      <c r="I21" s="46" t="s">
        <v>78</v>
      </c>
      <c r="J21" s="130">
        <v>2392</v>
      </c>
      <c r="K21" s="130">
        <v>2084</v>
      </c>
      <c r="L21" s="130">
        <v>2554</v>
      </c>
      <c r="M21" s="130">
        <v>3023</v>
      </c>
      <c r="N21" s="130">
        <v>1995</v>
      </c>
      <c r="O21" s="130">
        <v>0</v>
      </c>
      <c r="P21" s="130">
        <v>0</v>
      </c>
      <c r="Q21" s="130">
        <v>0</v>
      </c>
      <c r="R21" s="130">
        <v>0</v>
      </c>
      <c r="S21" s="130">
        <v>0</v>
      </c>
      <c r="T21" s="130">
        <v>0</v>
      </c>
      <c r="U21" s="130">
        <v>0</v>
      </c>
      <c r="V21" s="132">
        <v>12048</v>
      </c>
      <c r="W21" s="54"/>
      <c r="X21" s="54"/>
      <c r="Y21" s="54"/>
      <c r="Z21" s="201"/>
      <c r="AA21" s="176"/>
      <c r="AB21" s="176"/>
      <c r="AD21" s="176"/>
    </row>
    <row r="22" spans="1:30" s="1" customFormat="1" ht="15" customHeight="1" x14ac:dyDescent="0.2">
      <c r="A22" s="109" t="s">
        <v>115</v>
      </c>
      <c r="B22" s="124">
        <v>1655</v>
      </c>
      <c r="C22" s="126">
        <f t="shared" si="0"/>
        <v>0.8756613756613757</v>
      </c>
      <c r="D22" s="124">
        <v>235</v>
      </c>
      <c r="E22" s="126">
        <f t="shared" si="1"/>
        <v>0.12433862433862433</v>
      </c>
      <c r="F22" s="124">
        <v>1890</v>
      </c>
      <c r="G22" s="7"/>
      <c r="H22" s="7"/>
      <c r="I22" s="88" t="s">
        <v>933</v>
      </c>
      <c r="J22" s="131">
        <v>6805</v>
      </c>
      <c r="K22" s="131">
        <v>5978</v>
      </c>
      <c r="L22" s="131">
        <v>6073</v>
      </c>
      <c r="M22" s="131">
        <v>5120</v>
      </c>
      <c r="N22" s="131">
        <v>1233</v>
      </c>
      <c r="O22" s="131">
        <v>0</v>
      </c>
      <c r="P22" s="131">
        <v>0</v>
      </c>
      <c r="Q22" s="131">
        <v>0</v>
      </c>
      <c r="R22" s="131">
        <v>0</v>
      </c>
      <c r="S22" s="131">
        <v>0</v>
      </c>
      <c r="T22" s="131">
        <v>0</v>
      </c>
      <c r="U22" s="131">
        <v>0</v>
      </c>
      <c r="V22" s="197">
        <v>25209</v>
      </c>
      <c r="W22" s="54"/>
      <c r="X22" s="54"/>
      <c r="Y22" s="201"/>
      <c r="Z22" s="201"/>
      <c r="AA22" s="176"/>
      <c r="AB22" s="176"/>
      <c r="AC22" s="176"/>
      <c r="AD22" s="176"/>
    </row>
    <row r="23" spans="1:30" s="1" customFormat="1" ht="15" customHeight="1" x14ac:dyDescent="0.2">
      <c r="A23" s="109" t="s">
        <v>144</v>
      </c>
      <c r="B23" s="124">
        <v>478</v>
      </c>
      <c r="C23" s="126">
        <f t="shared" si="0"/>
        <v>0.10341843357853743</v>
      </c>
      <c r="D23" s="124">
        <v>4144</v>
      </c>
      <c r="E23" s="126">
        <f t="shared" si="1"/>
        <v>0.89658156642146258</v>
      </c>
      <c r="F23" s="124">
        <v>4622</v>
      </c>
      <c r="G23" s="7"/>
      <c r="H23" s="7"/>
      <c r="I23" s="7"/>
      <c r="J23" s="7"/>
      <c r="K23" s="7"/>
      <c r="L23" s="7"/>
      <c r="M23" s="7"/>
      <c r="N23" s="7"/>
      <c r="O23" s="7"/>
      <c r="P23" s="7"/>
      <c r="Q23" s="7"/>
      <c r="R23" s="7"/>
      <c r="S23" s="7"/>
      <c r="T23" s="55"/>
      <c r="U23" s="55"/>
      <c r="V23" s="53"/>
      <c r="W23" s="54"/>
      <c r="X23" s="54"/>
      <c r="Y23" s="201"/>
      <c r="Z23" s="201"/>
      <c r="AA23" s="176"/>
      <c r="AB23" s="176"/>
      <c r="AC23" s="176"/>
      <c r="AD23" s="176"/>
    </row>
    <row r="24" spans="1:30" s="1" customFormat="1" ht="12" x14ac:dyDescent="0.2">
      <c r="A24" s="112"/>
      <c r="B24" s="7"/>
      <c r="C24" s="7"/>
      <c r="D24" s="7"/>
      <c r="E24" s="7"/>
      <c r="F24" s="7"/>
      <c r="G24" s="7"/>
      <c r="H24" s="7"/>
      <c r="I24" s="7"/>
      <c r="J24" s="7"/>
      <c r="K24" s="7"/>
      <c r="L24" s="7"/>
      <c r="M24" s="7"/>
      <c r="N24" s="7"/>
      <c r="O24" s="7"/>
      <c r="P24" s="7"/>
      <c r="Q24" s="7"/>
      <c r="R24" s="7"/>
      <c r="S24" s="7"/>
      <c r="T24" s="55"/>
      <c r="U24" s="55"/>
      <c r="V24" s="53"/>
      <c r="W24" s="54"/>
      <c r="X24" s="54"/>
      <c r="Y24" s="201"/>
      <c r="Z24" s="201"/>
      <c r="AA24" s="176"/>
      <c r="AB24" s="176"/>
      <c r="AC24" s="176"/>
    </row>
    <row r="25" spans="1:30" s="9" customFormat="1" ht="16.5" customHeight="1" x14ac:dyDescent="0.2">
      <c r="A25" s="221"/>
      <c r="B25" s="222"/>
      <c r="C25" s="222"/>
      <c r="D25" s="222"/>
      <c r="E25" s="222"/>
      <c r="F25" s="222"/>
      <c r="G25" s="222"/>
      <c r="H25" s="222"/>
      <c r="I25" s="222"/>
      <c r="J25" s="222"/>
      <c r="K25" s="222"/>
      <c r="L25" s="222"/>
      <c r="M25" s="222"/>
      <c r="N25" s="222"/>
      <c r="O25" s="222"/>
      <c r="P25" s="222"/>
      <c r="Q25" s="222"/>
      <c r="R25" s="222"/>
      <c r="S25" s="222"/>
      <c r="T25" s="222"/>
      <c r="U25" s="222"/>
      <c r="V25" s="223"/>
      <c r="W25" s="49"/>
      <c r="X25" s="49"/>
      <c r="Y25" s="49"/>
      <c r="Z25" s="200"/>
      <c r="AA25" s="161"/>
      <c r="AB25" s="161"/>
      <c r="AC25" s="161"/>
    </row>
    <row r="26" spans="1:30" s="1" customFormat="1" ht="12" x14ac:dyDescent="0.2">
      <c r="A26" s="112"/>
      <c r="B26" s="7"/>
      <c r="C26" s="7"/>
      <c r="D26" s="7"/>
      <c r="E26" s="7"/>
      <c r="F26" s="7"/>
      <c r="G26" s="7"/>
      <c r="H26" s="7"/>
      <c r="I26" s="7"/>
      <c r="J26" s="7"/>
      <c r="K26" s="7"/>
      <c r="L26" s="7"/>
      <c r="M26" s="7"/>
      <c r="N26" s="7"/>
      <c r="O26" s="7"/>
      <c r="P26" s="7"/>
      <c r="Q26" s="7"/>
      <c r="R26" s="7"/>
      <c r="S26" s="7"/>
      <c r="T26" s="55"/>
      <c r="U26" s="55"/>
      <c r="V26" s="53"/>
      <c r="W26" s="54"/>
      <c r="X26" s="54"/>
      <c r="Y26" s="54"/>
      <c r="Z26" s="201"/>
      <c r="AA26" s="176"/>
      <c r="AB26" s="176"/>
      <c r="AC26" s="176"/>
    </row>
    <row r="27" spans="1:30" s="97" customFormat="1" ht="21.6" customHeight="1" x14ac:dyDescent="0.2">
      <c r="A27" s="250" t="s">
        <v>947</v>
      </c>
      <c r="B27" s="251"/>
      <c r="C27" s="251"/>
      <c r="D27" s="251"/>
      <c r="E27" s="251"/>
      <c r="F27" s="89"/>
      <c r="G27" s="96"/>
      <c r="H27" s="251" t="s">
        <v>948</v>
      </c>
      <c r="I27" s="251"/>
      <c r="J27" s="251"/>
      <c r="K27" s="251"/>
      <c r="L27" s="251"/>
      <c r="M27" s="89"/>
      <c r="N27" s="251" t="s">
        <v>949</v>
      </c>
      <c r="O27" s="251"/>
      <c r="P27" s="251"/>
      <c r="Q27" s="251"/>
      <c r="R27" s="251"/>
      <c r="S27" s="89"/>
      <c r="T27" s="96"/>
      <c r="U27" s="96"/>
      <c r="V27" s="98"/>
      <c r="W27" s="99"/>
      <c r="X27" s="99"/>
      <c r="Y27" s="99"/>
      <c r="Z27" s="99"/>
    </row>
    <row r="28" spans="1:30" s="1" customFormat="1" ht="37.5" customHeight="1" x14ac:dyDescent="0.2">
      <c r="A28" s="44" t="s">
        <v>163</v>
      </c>
      <c r="B28" s="121" t="s">
        <v>82</v>
      </c>
      <c r="C28" s="121" t="s">
        <v>115</v>
      </c>
      <c r="D28" s="121" t="s">
        <v>144</v>
      </c>
      <c r="E28" s="121" t="s">
        <v>1</v>
      </c>
      <c r="F28" s="7"/>
      <c r="G28" s="7"/>
      <c r="H28" s="213" t="s">
        <v>163</v>
      </c>
      <c r="I28" s="213"/>
      <c r="J28" s="213" t="s">
        <v>1</v>
      </c>
      <c r="K28" s="213"/>
      <c r="L28" s="213"/>
      <c r="M28" s="55"/>
      <c r="N28" s="235"/>
      <c r="O28" s="236"/>
      <c r="P28" s="235" t="s">
        <v>158</v>
      </c>
      <c r="Q28" s="237"/>
      <c r="R28" s="236"/>
      <c r="S28" s="7"/>
      <c r="T28" s="7"/>
      <c r="U28" s="55"/>
      <c r="V28" s="113"/>
      <c r="W28" s="54"/>
      <c r="X28" s="54"/>
      <c r="Y28" s="54"/>
    </row>
    <row r="29" spans="1:30" s="1" customFormat="1" ht="15" customHeight="1" thickBot="1" x14ac:dyDescent="0.25">
      <c r="A29" s="107" t="s">
        <v>1</v>
      </c>
      <c r="B29" s="134">
        <v>19399</v>
      </c>
      <c r="C29" s="138">
        <v>6964</v>
      </c>
      <c r="D29" s="134">
        <v>10894</v>
      </c>
      <c r="E29" s="136">
        <v>37257</v>
      </c>
      <c r="F29" s="7"/>
      <c r="G29" s="7"/>
      <c r="H29" s="224" t="s">
        <v>1</v>
      </c>
      <c r="I29" s="224"/>
      <c r="J29" s="261">
        <v>15031</v>
      </c>
      <c r="K29" s="262"/>
      <c r="L29" s="263"/>
      <c r="M29" s="55"/>
      <c r="N29" s="238" t="s">
        <v>1</v>
      </c>
      <c r="O29" s="239"/>
      <c r="P29" s="242">
        <v>28677</v>
      </c>
      <c r="Q29" s="243"/>
      <c r="R29" s="244"/>
      <c r="S29" s="7"/>
      <c r="T29" s="7"/>
      <c r="U29" s="165"/>
      <c r="V29" s="113"/>
      <c r="W29" s="54"/>
      <c r="X29" s="54"/>
      <c r="Y29" s="54"/>
      <c r="Z29" s="176"/>
      <c r="AA29" s="176"/>
      <c r="AB29" s="176"/>
      <c r="AC29" s="176"/>
    </row>
    <row r="30" spans="1:30" s="1" customFormat="1" ht="15" customHeight="1" thickTop="1" x14ac:dyDescent="0.2">
      <c r="A30" s="108" t="s">
        <v>139</v>
      </c>
      <c r="B30" s="156">
        <v>19399</v>
      </c>
      <c r="C30" s="156">
        <v>6959</v>
      </c>
      <c r="D30" s="156">
        <v>10702</v>
      </c>
      <c r="E30" s="156">
        <v>37060</v>
      </c>
      <c r="F30" s="5"/>
      <c r="G30" s="5"/>
      <c r="H30" s="225" t="s">
        <v>138</v>
      </c>
      <c r="I30" s="225"/>
      <c r="J30" s="252">
        <v>1542</v>
      </c>
      <c r="K30" s="253"/>
      <c r="L30" s="254"/>
      <c r="M30" s="55"/>
      <c r="N30" s="240" t="s">
        <v>922</v>
      </c>
      <c r="O30" s="241"/>
      <c r="P30" s="252">
        <v>246</v>
      </c>
      <c r="Q30" s="253"/>
      <c r="R30" s="254"/>
      <c r="S30" s="7"/>
      <c r="T30" s="7"/>
      <c r="U30" s="165"/>
      <c r="V30" s="113"/>
      <c r="W30" s="54"/>
      <c r="X30" s="54"/>
      <c r="Y30" s="54"/>
      <c r="Z30" s="176"/>
      <c r="AA30" s="176"/>
      <c r="AB30" s="176"/>
      <c r="AC30" s="176"/>
    </row>
    <row r="31" spans="1:30" s="1" customFormat="1" ht="12" x14ac:dyDescent="0.2">
      <c r="A31" s="109" t="s">
        <v>138</v>
      </c>
      <c r="B31" s="135">
        <v>0</v>
      </c>
      <c r="C31" s="135">
        <v>5</v>
      </c>
      <c r="D31" s="135">
        <v>192</v>
      </c>
      <c r="E31" s="135">
        <v>197</v>
      </c>
      <c r="F31" s="5"/>
      <c r="G31" s="5"/>
      <c r="H31" s="226" t="s">
        <v>139</v>
      </c>
      <c r="I31" s="226"/>
      <c r="J31" s="255">
        <v>13489</v>
      </c>
      <c r="K31" s="256"/>
      <c r="L31" s="257"/>
      <c r="M31" s="55"/>
      <c r="N31" s="55"/>
      <c r="O31" s="55"/>
      <c r="P31" s="55"/>
      <c r="Q31" s="55"/>
      <c r="R31" s="55"/>
      <c r="S31" s="7"/>
      <c r="T31" s="7"/>
      <c r="U31" s="165"/>
      <c r="V31" s="113"/>
      <c r="W31" s="54"/>
      <c r="X31" s="54"/>
      <c r="Y31" s="54"/>
    </row>
    <row r="32" spans="1:30" s="1" customFormat="1" ht="12" x14ac:dyDescent="0.2">
      <c r="A32" s="112"/>
      <c r="F32" s="5"/>
      <c r="G32" s="5"/>
      <c r="H32" s="5"/>
      <c r="I32" s="7"/>
      <c r="J32" s="7"/>
      <c r="K32" s="5"/>
      <c r="L32" s="55"/>
      <c r="M32" s="55"/>
      <c r="N32" s="55"/>
      <c r="O32" s="55"/>
      <c r="P32" s="55"/>
      <c r="Q32" s="55"/>
      <c r="R32" s="55"/>
      <c r="S32" s="55"/>
      <c r="T32" s="55"/>
      <c r="U32" s="55"/>
      <c r="V32" s="53"/>
      <c r="W32" s="54"/>
      <c r="X32" s="54"/>
      <c r="Y32" s="54"/>
      <c r="Z32" s="54"/>
      <c r="AA32" s="176"/>
      <c r="AB32" s="176"/>
      <c r="AC32" s="176"/>
    </row>
    <row r="33" spans="1:29" s="9" customFormat="1" ht="16.5" customHeight="1" x14ac:dyDescent="0.2">
      <c r="A33" s="221"/>
      <c r="B33" s="222"/>
      <c r="C33" s="222"/>
      <c r="D33" s="222"/>
      <c r="E33" s="222"/>
      <c r="F33" s="222"/>
      <c r="G33" s="222"/>
      <c r="H33" s="222"/>
      <c r="I33" s="222"/>
      <c r="J33" s="222"/>
      <c r="K33" s="222"/>
      <c r="L33" s="222"/>
      <c r="M33" s="222"/>
      <c r="N33" s="222"/>
      <c r="O33" s="222"/>
      <c r="P33" s="222"/>
      <c r="Q33" s="222"/>
      <c r="R33" s="222"/>
      <c r="S33" s="222"/>
      <c r="T33" s="222"/>
      <c r="U33" s="222"/>
      <c r="V33" s="223"/>
      <c r="W33" s="49"/>
      <c r="X33" s="49"/>
      <c r="Y33" s="49"/>
      <c r="Z33" s="200"/>
      <c r="AA33" s="161"/>
      <c r="AB33" s="161"/>
      <c r="AC33" s="161"/>
    </row>
    <row r="34" spans="1:29" s="1" customFormat="1" ht="12" x14ac:dyDescent="0.2">
      <c r="A34" s="112"/>
      <c r="B34" s="7"/>
      <c r="C34" s="7"/>
      <c r="D34" s="7"/>
      <c r="E34" s="7"/>
      <c r="F34" s="5"/>
      <c r="G34" s="5"/>
      <c r="H34" s="5"/>
      <c r="I34" s="160"/>
      <c r="J34" s="7"/>
      <c r="K34" s="5"/>
      <c r="L34" s="55"/>
      <c r="M34" s="55"/>
      <c r="N34" s="55"/>
      <c r="O34" s="55"/>
      <c r="P34" s="55"/>
      <c r="Q34" s="55"/>
      <c r="R34" s="55"/>
      <c r="S34" s="55"/>
      <c r="T34" s="55"/>
      <c r="U34" s="55"/>
      <c r="V34" s="53"/>
      <c r="W34" s="54"/>
      <c r="X34" s="54"/>
      <c r="Y34" s="54"/>
      <c r="Z34" s="201"/>
      <c r="AA34" s="176"/>
      <c r="AB34" s="176"/>
      <c r="AC34" s="176"/>
    </row>
    <row r="35" spans="1:29" s="1" customFormat="1" ht="12" x14ac:dyDescent="0.2">
      <c r="A35" s="112"/>
      <c r="B35" s="7"/>
      <c r="C35" s="7"/>
      <c r="D35" s="7"/>
      <c r="E35" s="7"/>
      <c r="F35" s="5"/>
      <c r="G35" s="5"/>
      <c r="H35" s="5"/>
      <c r="I35" s="164"/>
      <c r="J35" s="164"/>
      <c r="K35" s="163"/>
      <c r="L35" s="166"/>
      <c r="M35" s="166"/>
      <c r="N35" s="166"/>
      <c r="O35" s="166"/>
      <c r="P35" s="166"/>
      <c r="Q35" s="166"/>
      <c r="R35" s="166"/>
      <c r="S35" s="166"/>
      <c r="T35" s="55"/>
      <c r="U35" s="55"/>
      <c r="V35" s="53"/>
      <c r="W35" s="54"/>
      <c r="X35" s="54"/>
      <c r="Y35" s="54"/>
      <c r="Z35" s="201"/>
      <c r="AB35" s="176"/>
      <c r="AC35" s="176"/>
    </row>
    <row r="36" spans="1:29" s="1" customFormat="1" ht="22.5" customHeight="1" x14ac:dyDescent="0.25">
      <c r="A36" s="217" t="s">
        <v>957</v>
      </c>
      <c r="B36" s="218"/>
      <c r="C36" s="218"/>
      <c r="D36" s="218"/>
      <c r="E36" s="218"/>
      <c r="F36" s="199"/>
      <c r="G36" s="5"/>
      <c r="H36"/>
      <c r="I36" s="157"/>
      <c r="J36" s="162"/>
      <c r="K36" s="162"/>
      <c r="L36" s="162"/>
      <c r="M36" s="162"/>
      <c r="N36" s="164"/>
      <c r="O36" s="164"/>
      <c r="P36" s="164"/>
      <c r="Q36" s="164"/>
      <c r="R36" s="164"/>
      <c r="S36" s="164"/>
      <c r="T36" s="166"/>
      <c r="U36" s="55"/>
      <c r="V36" s="53"/>
      <c r="W36" s="54"/>
      <c r="X36" s="54"/>
      <c r="Y36" s="54"/>
      <c r="Z36" s="201"/>
      <c r="AB36" s="176"/>
      <c r="AC36" s="176"/>
    </row>
    <row r="37" spans="1:29" s="1" customFormat="1" ht="38.450000000000003" customHeight="1" x14ac:dyDescent="0.25">
      <c r="A37" s="114" t="s">
        <v>162</v>
      </c>
      <c r="B37" s="90" t="s">
        <v>82</v>
      </c>
      <c r="C37" s="90" t="s">
        <v>115</v>
      </c>
      <c r="D37" s="90" t="s">
        <v>144</v>
      </c>
      <c r="E37" s="90" t="s">
        <v>1</v>
      </c>
      <c r="F37" s="5"/>
      <c r="G37" s="7"/>
      <c r="H37" s="162"/>
      <c r="I37" s="162"/>
      <c r="J37" s="162"/>
      <c r="K37" s="162"/>
      <c r="L37" s="162"/>
      <c r="M37" s="162"/>
      <c r="N37" s="160"/>
      <c r="O37" s="160"/>
      <c r="P37" s="160"/>
      <c r="Q37" s="160"/>
      <c r="R37" s="165"/>
      <c r="S37" s="165"/>
      <c r="T37" s="165"/>
      <c r="U37" s="104"/>
      <c r="V37" s="113"/>
      <c r="W37" s="54"/>
      <c r="X37" s="54"/>
      <c r="AB37" s="176"/>
      <c r="AC37" s="176"/>
    </row>
    <row r="38" spans="1:29" s="1" customFormat="1" ht="15.75" customHeight="1" thickBot="1" x14ac:dyDescent="0.3">
      <c r="A38" s="115" t="s">
        <v>1</v>
      </c>
      <c r="B38" s="138">
        <v>4734</v>
      </c>
      <c r="C38" s="141">
        <v>3483</v>
      </c>
      <c r="D38" s="138">
        <v>6814</v>
      </c>
      <c r="E38" s="138">
        <v>15031</v>
      </c>
      <c r="F38" s="5"/>
      <c r="G38" s="7"/>
      <c r="H38" s="162"/>
      <c r="I38" s="162"/>
      <c r="J38" s="162"/>
      <c r="K38" s="162"/>
      <c r="L38" s="162"/>
      <c r="M38" s="162"/>
      <c r="N38" s="160"/>
      <c r="O38" s="160"/>
      <c r="P38" s="160"/>
      <c r="Q38" s="160"/>
      <c r="R38" s="165"/>
      <c r="S38" s="165"/>
      <c r="T38" s="165"/>
      <c r="U38" s="104"/>
      <c r="V38" s="113"/>
      <c r="W38" s="54"/>
      <c r="X38" s="54"/>
      <c r="AB38" s="176"/>
      <c r="AC38" s="176"/>
    </row>
    <row r="39" spans="1:29" s="1" customFormat="1" ht="15.75" thickTop="1" x14ac:dyDescent="0.25">
      <c r="A39" s="109" t="s">
        <v>890</v>
      </c>
      <c r="B39" s="139">
        <v>1144</v>
      </c>
      <c r="C39" s="139">
        <v>1567</v>
      </c>
      <c r="D39" s="139">
        <v>1643</v>
      </c>
      <c r="E39" s="137">
        <v>4354</v>
      </c>
      <c r="F39" s="5"/>
      <c r="G39" s="7"/>
      <c r="H39" s="162"/>
      <c r="I39" s="162"/>
      <c r="J39" s="162"/>
      <c r="K39" s="162"/>
      <c r="L39" s="162"/>
      <c r="M39" s="162"/>
      <c r="N39" s="160"/>
      <c r="O39" s="160"/>
      <c r="P39" s="160"/>
      <c r="Q39" s="160"/>
      <c r="R39" s="165"/>
      <c r="S39" s="165"/>
      <c r="T39" s="165"/>
      <c r="U39" s="104"/>
      <c r="V39" s="113"/>
      <c r="W39" s="54"/>
      <c r="X39" s="54"/>
    </row>
    <row r="40" spans="1:29" s="1" customFormat="1" x14ac:dyDescent="0.25">
      <c r="A40" s="116" t="s">
        <v>891</v>
      </c>
      <c r="B40" s="178">
        <v>208</v>
      </c>
      <c r="C40" s="178">
        <v>375</v>
      </c>
      <c r="D40" s="178">
        <v>424</v>
      </c>
      <c r="E40" s="179">
        <v>1007</v>
      </c>
      <c r="F40" s="5"/>
      <c r="G40" s="7"/>
      <c r="H40" s="162"/>
      <c r="I40" s="162"/>
      <c r="J40" s="162"/>
      <c r="K40" s="162"/>
      <c r="L40" s="162"/>
      <c r="M40" s="162"/>
      <c r="N40" s="160"/>
      <c r="O40" s="160"/>
      <c r="P40" s="160"/>
      <c r="Q40" s="160"/>
      <c r="R40" s="165"/>
      <c r="S40" s="165"/>
      <c r="T40" s="165"/>
      <c r="U40" s="104"/>
      <c r="V40" s="113"/>
      <c r="W40" s="54"/>
      <c r="X40" s="54"/>
    </row>
    <row r="41" spans="1:29" s="1" customFormat="1" x14ac:dyDescent="0.25">
      <c r="A41" s="116" t="s">
        <v>892</v>
      </c>
      <c r="B41" s="178">
        <v>936</v>
      </c>
      <c r="C41" s="178">
        <v>1192</v>
      </c>
      <c r="D41" s="178">
        <v>1219</v>
      </c>
      <c r="E41" s="180">
        <v>3347</v>
      </c>
      <c r="F41" s="5"/>
      <c r="G41" s="7"/>
      <c r="H41"/>
      <c r="I41"/>
      <c r="J41" s="162"/>
      <c r="K41" s="162"/>
      <c r="L41" s="162"/>
      <c r="M41" s="162"/>
      <c r="N41" s="196"/>
      <c r="O41" s="196"/>
      <c r="P41" s="196"/>
      <c r="Q41" s="196"/>
      <c r="R41" s="159"/>
      <c r="S41" s="159"/>
      <c r="T41" s="159"/>
      <c r="U41" s="104"/>
      <c r="V41" s="113"/>
      <c r="W41" s="54"/>
      <c r="X41" s="54"/>
    </row>
    <row r="42" spans="1:29" s="1" customFormat="1" x14ac:dyDescent="0.25">
      <c r="A42" s="109" t="s">
        <v>2</v>
      </c>
      <c r="B42" s="140">
        <v>1852</v>
      </c>
      <c r="C42" s="140">
        <v>1448</v>
      </c>
      <c r="D42" s="140">
        <v>2171</v>
      </c>
      <c r="E42" s="103">
        <v>5471</v>
      </c>
      <c r="F42" s="5"/>
      <c r="G42" s="7"/>
      <c r="H42"/>
      <c r="I42"/>
      <c r="J42" s="162"/>
      <c r="K42"/>
      <c r="L42" s="162"/>
      <c r="M42" s="162"/>
      <c r="N42" s="196"/>
      <c r="O42" s="196"/>
      <c r="P42" s="196"/>
      <c r="Q42" s="196"/>
      <c r="R42" s="159"/>
      <c r="S42" s="165"/>
      <c r="T42" s="159"/>
      <c r="U42" s="104"/>
      <c r="V42" s="113"/>
      <c r="W42" s="54"/>
      <c r="X42" s="54"/>
    </row>
    <row r="43" spans="1:29" s="1" customFormat="1" x14ac:dyDescent="0.25">
      <c r="A43" s="109" t="s">
        <v>3</v>
      </c>
      <c r="B43" s="140">
        <v>1684</v>
      </c>
      <c r="C43" s="140">
        <v>410</v>
      </c>
      <c r="D43" s="140">
        <v>1234</v>
      </c>
      <c r="E43" s="103">
        <v>3328</v>
      </c>
      <c r="F43" s="5"/>
      <c r="G43" s="7"/>
      <c r="H43"/>
      <c r="I43"/>
      <c r="J43" s="162"/>
      <c r="K43"/>
      <c r="L43"/>
      <c r="M43" s="162"/>
      <c r="N43" s="196"/>
      <c r="O43" s="196"/>
      <c r="P43" s="196"/>
      <c r="Q43" s="196"/>
      <c r="R43" s="159"/>
      <c r="S43" s="159"/>
      <c r="T43" s="159"/>
      <c r="U43" s="104"/>
      <c r="V43" s="113"/>
      <c r="W43" s="54"/>
      <c r="X43" s="54"/>
    </row>
    <row r="44" spans="1:29" s="1" customFormat="1" x14ac:dyDescent="0.25">
      <c r="A44" s="109" t="s">
        <v>893</v>
      </c>
      <c r="B44" s="140">
        <v>54</v>
      </c>
      <c r="C44" s="140">
        <v>58</v>
      </c>
      <c r="D44" s="140">
        <v>1766</v>
      </c>
      <c r="E44" s="103">
        <v>1878</v>
      </c>
      <c r="F44" s="5"/>
      <c r="G44" s="7"/>
      <c r="H44"/>
      <c r="I44"/>
      <c r="J44"/>
      <c r="K44"/>
      <c r="L44" s="162"/>
      <c r="M44" s="162"/>
      <c r="N44" s="196"/>
      <c r="O44" s="196"/>
      <c r="P44" s="196"/>
      <c r="Q44" s="196"/>
      <c r="R44" s="159"/>
      <c r="S44" s="159"/>
      <c r="T44" s="159"/>
      <c r="U44" s="104"/>
      <c r="V44" s="113"/>
      <c r="W44" s="54"/>
      <c r="X44" s="54"/>
    </row>
    <row r="45" spans="1:29" s="1" customFormat="1" ht="12" x14ac:dyDescent="0.2">
      <c r="A45" s="109" t="s">
        <v>894</v>
      </c>
      <c r="B45" s="140">
        <v>0</v>
      </c>
      <c r="C45" s="140">
        <v>0</v>
      </c>
      <c r="D45" s="140">
        <v>0</v>
      </c>
      <c r="E45" s="102">
        <v>0</v>
      </c>
      <c r="F45" s="5"/>
      <c r="G45" s="7"/>
      <c r="H45" s="7"/>
      <c r="I45" s="198"/>
      <c r="J45" s="159"/>
      <c r="K45" s="159"/>
      <c r="L45" s="159"/>
      <c r="M45" s="159"/>
      <c r="N45" s="159"/>
      <c r="O45" s="159"/>
      <c r="P45" s="159"/>
      <c r="Q45" s="159"/>
      <c r="R45" s="165"/>
      <c r="S45" s="55"/>
      <c r="T45" s="55"/>
      <c r="U45" s="104"/>
      <c r="V45" s="113"/>
      <c r="W45" s="54"/>
      <c r="X45" s="54"/>
    </row>
    <row r="46" spans="1:29" s="1" customFormat="1" ht="12" x14ac:dyDescent="0.2">
      <c r="A46" s="112"/>
      <c r="B46" s="7"/>
      <c r="C46" s="7"/>
      <c r="D46" s="7"/>
      <c r="E46" s="5"/>
      <c r="F46" s="5"/>
      <c r="G46" s="5"/>
      <c r="H46" s="7"/>
      <c r="I46" s="7"/>
      <c r="J46" s="5"/>
      <c r="K46" s="55"/>
      <c r="L46" s="55"/>
      <c r="M46" s="165"/>
      <c r="N46" s="165"/>
      <c r="O46" s="55"/>
      <c r="P46" s="55"/>
      <c r="Q46" s="165"/>
      <c r="R46" s="165"/>
      <c r="S46" s="55"/>
      <c r="T46" s="55"/>
      <c r="U46" s="55"/>
      <c r="V46" s="113"/>
      <c r="W46" s="54"/>
      <c r="X46" s="54"/>
      <c r="Y46" s="54"/>
    </row>
    <row r="47" spans="1:29" s="9" customFormat="1" ht="18" customHeight="1" x14ac:dyDescent="0.2">
      <c r="A47" s="233"/>
      <c r="B47" s="211"/>
      <c r="C47" s="211"/>
      <c r="D47" s="211"/>
      <c r="E47" s="211"/>
      <c r="F47" s="211"/>
      <c r="G47" s="211"/>
      <c r="H47" s="211"/>
      <c r="I47" s="211"/>
      <c r="J47" s="211"/>
      <c r="K47" s="211"/>
      <c r="L47" s="211"/>
      <c r="M47" s="211"/>
      <c r="N47" s="211"/>
      <c r="O47" s="211"/>
      <c r="P47" s="211"/>
      <c r="Q47" s="211"/>
      <c r="R47" s="211"/>
      <c r="S47" s="211"/>
      <c r="T47" s="211"/>
      <c r="U47" s="211"/>
      <c r="V47" s="234"/>
      <c r="W47" s="49"/>
      <c r="X47" s="49"/>
      <c r="Y47" s="49"/>
      <c r="Z47" s="49"/>
    </row>
    <row r="48" spans="1:29" s="1" customFormat="1" ht="12" x14ac:dyDescent="0.2">
      <c r="A48" s="112"/>
      <c r="B48" s="7"/>
      <c r="C48" s="7"/>
      <c r="D48" s="7"/>
      <c r="E48" s="7"/>
      <c r="F48" s="5"/>
      <c r="G48" s="5"/>
      <c r="H48" s="5"/>
      <c r="I48" s="7"/>
      <c r="J48" s="7"/>
      <c r="K48" s="5"/>
      <c r="L48" s="55"/>
      <c r="M48" s="55"/>
      <c r="N48" s="55"/>
      <c r="O48" s="55"/>
      <c r="P48" s="55"/>
      <c r="Q48" s="55"/>
      <c r="R48" s="55"/>
      <c r="S48" s="55"/>
      <c r="T48" s="55"/>
      <c r="U48" s="55"/>
      <c r="V48" s="53"/>
      <c r="W48" s="54"/>
      <c r="X48" s="54"/>
      <c r="Y48" s="54"/>
      <c r="Z48" s="54"/>
    </row>
    <row r="49" spans="1:29" s="1" customFormat="1" ht="23.25" customHeight="1" x14ac:dyDescent="0.2">
      <c r="A49" s="245" t="s">
        <v>950</v>
      </c>
      <c r="B49" s="246"/>
      <c r="C49" s="246"/>
      <c r="D49" s="246"/>
      <c r="E49" s="246"/>
      <c r="F49" s="246"/>
      <c r="G49" s="246"/>
      <c r="H49" s="246"/>
      <c r="I49" s="246"/>
      <c r="J49" s="246"/>
      <c r="K49" s="246"/>
      <c r="L49" s="246"/>
      <c r="M49" s="246"/>
      <c r="N49" s="246"/>
      <c r="O49" s="55"/>
      <c r="P49" s="55"/>
      <c r="Q49" s="166"/>
      <c r="R49" s="166"/>
      <c r="S49" s="166"/>
      <c r="T49" s="166"/>
      <c r="U49" s="166"/>
      <c r="V49" s="167"/>
      <c r="W49" s="173"/>
      <c r="X49" s="173"/>
      <c r="Y49" s="173"/>
      <c r="Z49" s="173"/>
      <c r="AA49" s="168"/>
    </row>
    <row r="50" spans="1:29" s="1" customFormat="1" ht="22.5" customHeight="1" x14ac:dyDescent="0.2">
      <c r="A50" s="44" t="s">
        <v>148</v>
      </c>
      <c r="B50" s="121" t="s">
        <v>149</v>
      </c>
      <c r="C50" s="121" t="s">
        <v>150</v>
      </c>
      <c r="D50" s="121" t="s">
        <v>151</v>
      </c>
      <c r="E50" s="121" t="s">
        <v>152</v>
      </c>
      <c r="F50" s="121" t="s">
        <v>153</v>
      </c>
      <c r="G50" s="121" t="s">
        <v>154</v>
      </c>
      <c r="H50" s="121" t="s">
        <v>155</v>
      </c>
      <c r="I50" s="121" t="s">
        <v>156</v>
      </c>
      <c r="J50" s="121" t="s">
        <v>157</v>
      </c>
      <c r="K50" s="121" t="s">
        <v>159</v>
      </c>
      <c r="L50" s="121" t="s">
        <v>160</v>
      </c>
      <c r="M50" s="121" t="s">
        <v>161</v>
      </c>
      <c r="N50" s="121" t="s">
        <v>167</v>
      </c>
      <c r="O50" s="55"/>
      <c r="P50" s="166"/>
      <c r="Q50" s="166"/>
      <c r="R50" s="166"/>
      <c r="S50" s="166"/>
      <c r="T50" s="166"/>
      <c r="U50" s="166"/>
      <c r="V50" s="167"/>
      <c r="W50" s="173"/>
      <c r="X50" s="173"/>
      <c r="Y50" s="173"/>
      <c r="Z50" s="173"/>
      <c r="AA50" s="168"/>
      <c r="AB50" s="168"/>
      <c r="AC50" s="168"/>
    </row>
    <row r="51" spans="1:29" s="1" customFormat="1" ht="12" x14ac:dyDescent="0.2">
      <c r="A51" s="115" t="s">
        <v>164</v>
      </c>
      <c r="B51" s="143">
        <v>6254.03226</v>
      </c>
      <c r="C51" s="144">
        <v>5379.8</v>
      </c>
      <c r="D51" s="143">
        <v>5109.3870999999999</v>
      </c>
      <c r="E51" s="144">
        <v>4924.67742</v>
      </c>
      <c r="F51" s="143">
        <v>5293.8461500000003</v>
      </c>
      <c r="G51" s="144">
        <v>0</v>
      </c>
      <c r="H51" s="144">
        <v>0</v>
      </c>
      <c r="I51" s="143">
        <v>0</v>
      </c>
      <c r="J51" s="144">
        <v>0</v>
      </c>
      <c r="K51" s="143">
        <v>0</v>
      </c>
      <c r="L51" s="143">
        <v>0</v>
      </c>
      <c r="M51" s="144">
        <v>0</v>
      </c>
      <c r="N51" s="143">
        <v>5405.4779399999998</v>
      </c>
      <c r="O51" s="55"/>
      <c r="P51" s="159"/>
      <c r="Q51" s="159"/>
      <c r="R51" s="159"/>
      <c r="S51" s="159"/>
      <c r="T51" s="159"/>
      <c r="U51" s="159"/>
      <c r="V51" s="169"/>
      <c r="W51" s="174"/>
      <c r="X51" s="174"/>
      <c r="Y51" s="174"/>
      <c r="Z51" s="174"/>
      <c r="AA51" s="170"/>
    </row>
    <row r="52" spans="1:29" s="1" customFormat="1" ht="12" x14ac:dyDescent="0.2">
      <c r="A52" s="117" t="s">
        <v>82</v>
      </c>
      <c r="B52" s="142">
        <v>932.09676999999999</v>
      </c>
      <c r="C52" s="142">
        <v>762.43332999999996</v>
      </c>
      <c r="D52" s="142">
        <v>734.06452000000002</v>
      </c>
      <c r="E52" s="142">
        <v>641</v>
      </c>
      <c r="F52" s="142">
        <v>563.92308000000003</v>
      </c>
      <c r="G52" s="142">
        <v>0</v>
      </c>
      <c r="H52" s="142">
        <v>0</v>
      </c>
      <c r="I52" s="142">
        <v>0</v>
      </c>
      <c r="J52" s="142">
        <v>0</v>
      </c>
      <c r="K52" s="142">
        <v>0</v>
      </c>
      <c r="L52" s="142">
        <v>0</v>
      </c>
      <c r="M52" s="142">
        <v>0</v>
      </c>
      <c r="N52" s="142">
        <v>747.98528999999996</v>
      </c>
      <c r="O52" s="55"/>
      <c r="P52" s="159"/>
      <c r="Q52" s="159"/>
      <c r="R52" s="159"/>
      <c r="S52" s="159"/>
      <c r="T52" s="159"/>
      <c r="U52" s="165"/>
      <c r="V52" s="169"/>
      <c r="W52" s="174"/>
      <c r="X52" s="174"/>
      <c r="Y52" s="174"/>
      <c r="Z52" s="174"/>
      <c r="AA52" s="170"/>
      <c r="AB52" s="170"/>
      <c r="AC52" s="170"/>
    </row>
    <row r="53" spans="1:29" s="1" customFormat="1" ht="12" x14ac:dyDescent="0.2">
      <c r="A53" s="118" t="s">
        <v>115</v>
      </c>
      <c r="B53" s="142">
        <v>240.87097</v>
      </c>
      <c r="C53" s="142">
        <v>230.8</v>
      </c>
      <c r="D53" s="142">
        <v>234.54839000000001</v>
      </c>
      <c r="E53" s="142">
        <v>240.03226000000001</v>
      </c>
      <c r="F53" s="142">
        <v>248.84614999999999</v>
      </c>
      <c r="G53" s="142">
        <v>0</v>
      </c>
      <c r="H53" s="142">
        <v>0</v>
      </c>
      <c r="I53" s="142">
        <v>0</v>
      </c>
      <c r="J53" s="142">
        <v>0</v>
      </c>
      <c r="K53" s="142">
        <v>0</v>
      </c>
      <c r="L53" s="142">
        <v>0</v>
      </c>
      <c r="M53" s="142">
        <v>0</v>
      </c>
      <c r="N53" s="142">
        <v>237.77941000000001</v>
      </c>
      <c r="O53" s="55"/>
      <c r="P53" s="166"/>
      <c r="Q53" s="166"/>
      <c r="R53" s="166"/>
      <c r="S53" s="166"/>
      <c r="T53" s="166"/>
      <c r="U53" s="166"/>
      <c r="V53" s="167"/>
      <c r="W53" s="173"/>
      <c r="X53" s="173"/>
      <c r="Y53" s="173"/>
      <c r="Z53" s="173"/>
      <c r="AA53" s="170"/>
      <c r="AB53" s="170"/>
      <c r="AC53" s="170"/>
    </row>
    <row r="54" spans="1:29" s="56" customFormat="1" ht="12" x14ac:dyDescent="0.2">
      <c r="A54" s="118" t="s">
        <v>144</v>
      </c>
      <c r="B54" s="142">
        <v>5081.0645199999999</v>
      </c>
      <c r="C54" s="142">
        <v>4386.5666700000002</v>
      </c>
      <c r="D54" s="142">
        <v>4140.7741900000001</v>
      </c>
      <c r="E54" s="142">
        <v>4043.64516</v>
      </c>
      <c r="F54" s="142">
        <v>4481.0769200000004</v>
      </c>
      <c r="G54" s="142">
        <v>0</v>
      </c>
      <c r="H54" s="142">
        <v>0</v>
      </c>
      <c r="I54" s="142">
        <v>0</v>
      </c>
      <c r="J54" s="142">
        <v>0</v>
      </c>
      <c r="K54" s="142">
        <v>0</v>
      </c>
      <c r="L54" s="142">
        <v>0</v>
      </c>
      <c r="M54" s="142">
        <v>0</v>
      </c>
      <c r="N54" s="142">
        <v>4419.71324</v>
      </c>
      <c r="O54" s="55"/>
      <c r="P54" s="159"/>
      <c r="Q54" s="159"/>
      <c r="R54" s="159"/>
      <c r="S54" s="159"/>
      <c r="T54" s="159"/>
      <c r="U54" s="159"/>
      <c r="V54" s="169"/>
      <c r="W54" s="175"/>
      <c r="X54" s="175"/>
      <c r="Y54" s="175"/>
      <c r="Z54" s="175"/>
      <c r="AA54" s="175"/>
      <c r="AB54" s="175"/>
    </row>
    <row r="55" spans="1:29" s="1" customFormat="1" ht="12" x14ac:dyDescent="0.2">
      <c r="A55" s="115" t="s">
        <v>165</v>
      </c>
      <c r="B55" s="143">
        <v>12491.64516</v>
      </c>
      <c r="C55" s="144">
        <v>11486</v>
      </c>
      <c r="D55" s="143">
        <v>11010.74194</v>
      </c>
      <c r="E55" s="144">
        <v>10167.29032</v>
      </c>
      <c r="F55" s="143">
        <v>8793.1538500000006</v>
      </c>
      <c r="G55" s="144">
        <v>0</v>
      </c>
      <c r="H55" s="144">
        <v>0</v>
      </c>
      <c r="I55" s="143">
        <v>0</v>
      </c>
      <c r="J55" s="144">
        <v>0</v>
      </c>
      <c r="K55" s="143">
        <v>0</v>
      </c>
      <c r="L55" s="143">
        <v>0</v>
      </c>
      <c r="M55" s="144">
        <v>0</v>
      </c>
      <c r="N55" s="143">
        <v>11048.904409999999</v>
      </c>
      <c r="O55" s="55"/>
      <c r="P55" s="159"/>
      <c r="Q55" s="159"/>
      <c r="R55" s="159"/>
      <c r="S55" s="159"/>
      <c r="T55" s="159"/>
      <c r="U55" s="159"/>
      <c r="V55" s="169"/>
      <c r="W55" s="170"/>
      <c r="X55" s="170"/>
      <c r="Y55" s="170"/>
      <c r="Z55" s="170"/>
      <c r="AA55" s="170"/>
      <c r="AB55" s="170"/>
      <c r="AC55" s="170"/>
    </row>
    <row r="56" spans="1:29" s="1" customFormat="1" ht="12" x14ac:dyDescent="0.2">
      <c r="A56" s="117" t="s">
        <v>82</v>
      </c>
      <c r="B56" s="142">
        <v>8989.5806499999999</v>
      </c>
      <c r="C56" s="142">
        <v>8199.4666699999998</v>
      </c>
      <c r="D56" s="142">
        <v>7788.48387</v>
      </c>
      <c r="E56" s="142">
        <v>7242.9032299999999</v>
      </c>
      <c r="F56" s="142">
        <v>6455.6923100000004</v>
      </c>
      <c r="G56" s="142">
        <v>0</v>
      </c>
      <c r="H56" s="142">
        <v>0</v>
      </c>
      <c r="I56" s="142">
        <v>0</v>
      </c>
      <c r="J56" s="142">
        <v>0</v>
      </c>
      <c r="K56" s="142">
        <v>0</v>
      </c>
      <c r="L56" s="142">
        <v>0</v>
      </c>
      <c r="M56" s="142">
        <v>0</v>
      </c>
      <c r="N56" s="142">
        <v>7901.16176</v>
      </c>
      <c r="O56" s="55"/>
      <c r="P56" s="159"/>
      <c r="Q56" s="159"/>
      <c r="R56" s="159"/>
      <c r="S56" s="159"/>
      <c r="T56" s="159"/>
      <c r="U56" s="159"/>
      <c r="V56" s="169"/>
      <c r="W56" s="170"/>
      <c r="X56" s="170"/>
      <c r="Y56" s="170"/>
      <c r="Z56" s="170"/>
      <c r="AA56" s="170"/>
      <c r="AB56" s="170"/>
      <c r="AC56" s="176"/>
    </row>
    <row r="57" spans="1:29" s="1" customFormat="1" ht="12" x14ac:dyDescent="0.2">
      <c r="A57" s="118" t="s">
        <v>115</v>
      </c>
      <c r="B57" s="142">
        <v>2762.19355</v>
      </c>
      <c r="C57" s="142">
        <v>2645.4333299999998</v>
      </c>
      <c r="D57" s="142">
        <v>2567.96774</v>
      </c>
      <c r="E57" s="142">
        <v>2335.67742</v>
      </c>
      <c r="F57" s="142">
        <v>1829.3076900000001</v>
      </c>
      <c r="G57" s="142">
        <v>0</v>
      </c>
      <c r="H57" s="142">
        <v>0</v>
      </c>
      <c r="I57" s="142">
        <v>0</v>
      </c>
      <c r="J57" s="142">
        <v>0</v>
      </c>
      <c r="K57" s="142">
        <v>0</v>
      </c>
      <c r="L57" s="142">
        <v>0</v>
      </c>
      <c r="M57" s="142">
        <v>0</v>
      </c>
      <c r="N57" s="142">
        <v>2505.7720599999998</v>
      </c>
      <c r="O57" s="55"/>
      <c r="P57" s="159"/>
      <c r="Q57" s="159"/>
      <c r="R57" s="159"/>
      <c r="S57" s="159"/>
      <c r="T57" s="165"/>
      <c r="U57" s="159"/>
      <c r="V57" s="169"/>
      <c r="W57" s="170"/>
      <c r="X57" s="170"/>
      <c r="Y57" s="170"/>
      <c r="Z57" s="170"/>
      <c r="AA57" s="170"/>
      <c r="AB57" s="170"/>
      <c r="AC57" s="170"/>
    </row>
    <row r="58" spans="1:29" s="1" customFormat="1" ht="12" x14ac:dyDescent="0.2">
      <c r="A58" s="118" t="s">
        <v>144</v>
      </c>
      <c r="B58" s="142">
        <v>739.87097000000006</v>
      </c>
      <c r="C58" s="142">
        <v>641.1</v>
      </c>
      <c r="D58" s="142">
        <v>654.29031999999995</v>
      </c>
      <c r="E58" s="142">
        <v>588.70968000000005</v>
      </c>
      <c r="F58" s="142">
        <v>508.15384999999998</v>
      </c>
      <c r="G58" s="142">
        <v>0</v>
      </c>
      <c r="H58" s="142">
        <v>0</v>
      </c>
      <c r="I58" s="142">
        <v>0</v>
      </c>
      <c r="J58" s="142">
        <v>0</v>
      </c>
      <c r="K58" s="142">
        <v>0</v>
      </c>
      <c r="L58" s="142">
        <v>0</v>
      </c>
      <c r="M58" s="142">
        <v>0</v>
      </c>
      <c r="N58" s="142">
        <v>641.97059000000002</v>
      </c>
      <c r="O58" s="55"/>
      <c r="P58" s="159"/>
      <c r="Q58" s="159"/>
      <c r="R58" s="159"/>
      <c r="S58" s="159"/>
      <c r="T58" s="159"/>
      <c r="U58" s="159"/>
      <c r="V58" s="169"/>
      <c r="W58" s="170"/>
      <c r="X58" s="170"/>
      <c r="Y58" s="170"/>
      <c r="Z58" s="176"/>
      <c r="AA58" s="170"/>
      <c r="AB58" s="170"/>
      <c r="AC58" s="170"/>
    </row>
    <row r="59" spans="1:29" s="1" customFormat="1" ht="12" x14ac:dyDescent="0.2">
      <c r="A59" s="115" t="s">
        <v>166</v>
      </c>
      <c r="B59" s="143">
        <v>18745.67742</v>
      </c>
      <c r="C59" s="144">
        <v>16865.8</v>
      </c>
      <c r="D59" s="143">
        <v>16120.12903</v>
      </c>
      <c r="E59" s="144">
        <v>15091.96774</v>
      </c>
      <c r="F59" s="143">
        <v>14087</v>
      </c>
      <c r="G59" s="144">
        <v>0</v>
      </c>
      <c r="H59" s="144">
        <v>0</v>
      </c>
      <c r="I59" s="143">
        <v>0</v>
      </c>
      <c r="J59" s="144">
        <v>0</v>
      </c>
      <c r="K59" s="143">
        <v>0</v>
      </c>
      <c r="L59" s="143">
        <v>0</v>
      </c>
      <c r="M59" s="144">
        <v>0</v>
      </c>
      <c r="N59" s="143">
        <v>16454.38235</v>
      </c>
      <c r="O59" s="55"/>
      <c r="P59" s="159"/>
      <c r="Q59" s="159"/>
      <c r="R59" s="159"/>
      <c r="S59" s="159"/>
      <c r="T59" s="159"/>
      <c r="U59" s="159"/>
      <c r="V59" s="169"/>
      <c r="W59" s="170"/>
      <c r="X59" s="170"/>
      <c r="Y59" s="170"/>
    </row>
    <row r="60" spans="1:29" s="1" customFormat="1" ht="12" x14ac:dyDescent="0.2">
      <c r="A60" s="117" t="s">
        <v>82</v>
      </c>
      <c r="B60" s="142">
        <v>9921.67742</v>
      </c>
      <c r="C60" s="142">
        <v>8961.9</v>
      </c>
      <c r="D60" s="142">
        <v>8522.5483899999999</v>
      </c>
      <c r="E60" s="142">
        <v>7883.9032299999999</v>
      </c>
      <c r="F60" s="142">
        <v>7019.6153800000002</v>
      </c>
      <c r="G60" s="142">
        <v>0</v>
      </c>
      <c r="H60" s="142">
        <v>0</v>
      </c>
      <c r="I60" s="142">
        <v>0</v>
      </c>
      <c r="J60" s="142">
        <v>0</v>
      </c>
      <c r="K60" s="142">
        <v>0</v>
      </c>
      <c r="L60" s="142">
        <v>0</v>
      </c>
      <c r="M60" s="142">
        <v>0</v>
      </c>
      <c r="N60" s="142">
        <v>8649.1470599999993</v>
      </c>
      <c r="O60" s="55"/>
      <c r="P60" s="159"/>
      <c r="Q60" s="159"/>
      <c r="R60" s="159"/>
      <c r="S60" s="159"/>
      <c r="T60" s="159"/>
      <c r="U60" s="159"/>
      <c r="V60" s="169"/>
    </row>
    <row r="61" spans="1:29" s="1" customFormat="1" ht="12" x14ac:dyDescent="0.2">
      <c r="A61" s="118" t="s">
        <v>115</v>
      </c>
      <c r="B61" s="142">
        <v>3003.0645199999999</v>
      </c>
      <c r="C61" s="142">
        <v>2876.23333</v>
      </c>
      <c r="D61" s="142">
        <v>2802.51613</v>
      </c>
      <c r="E61" s="142">
        <v>2575.7096799999999</v>
      </c>
      <c r="F61" s="142">
        <v>2078.1538500000001</v>
      </c>
      <c r="G61" s="142">
        <v>0</v>
      </c>
      <c r="H61" s="142">
        <v>0</v>
      </c>
      <c r="I61" s="142">
        <v>0</v>
      </c>
      <c r="J61" s="142">
        <v>0</v>
      </c>
      <c r="K61" s="142">
        <v>0</v>
      </c>
      <c r="L61" s="142">
        <v>0</v>
      </c>
      <c r="M61" s="142">
        <v>0</v>
      </c>
      <c r="N61" s="142">
        <v>2743.5514699999999</v>
      </c>
      <c r="O61" s="55"/>
      <c r="P61" s="159"/>
      <c r="Q61" s="159"/>
      <c r="R61" s="165"/>
      <c r="S61" s="159"/>
      <c r="T61" s="159"/>
      <c r="U61" s="159"/>
      <c r="V61" s="169"/>
    </row>
    <row r="62" spans="1:29" s="1" customFormat="1" ht="12" x14ac:dyDescent="0.2">
      <c r="A62" s="118" t="s">
        <v>144</v>
      </c>
      <c r="B62" s="142">
        <v>5820.9354800000001</v>
      </c>
      <c r="C62" s="142">
        <v>5027.6666699999996</v>
      </c>
      <c r="D62" s="142">
        <v>4795.0645199999999</v>
      </c>
      <c r="E62" s="142">
        <v>4632.35484</v>
      </c>
      <c r="F62" s="142">
        <v>4989.2307700000001</v>
      </c>
      <c r="G62" s="142">
        <v>0</v>
      </c>
      <c r="H62" s="142">
        <v>0</v>
      </c>
      <c r="I62" s="142">
        <v>0</v>
      </c>
      <c r="J62" s="142">
        <v>0</v>
      </c>
      <c r="K62" s="142">
        <v>0</v>
      </c>
      <c r="L62" s="142">
        <v>0</v>
      </c>
      <c r="M62" s="142">
        <v>0</v>
      </c>
      <c r="N62" s="142">
        <v>5061.6838200000002</v>
      </c>
      <c r="O62" s="55"/>
      <c r="P62" s="159"/>
      <c r="Q62" s="159"/>
      <c r="R62" s="165"/>
      <c r="S62" s="165"/>
      <c r="T62" s="55"/>
      <c r="U62" s="55"/>
      <c r="V62" s="53"/>
    </row>
    <row r="63" spans="1:29" s="1" customFormat="1" ht="12" x14ac:dyDescent="0.2">
      <c r="A63" s="112"/>
      <c r="B63" s="7"/>
      <c r="C63" s="7"/>
      <c r="D63" s="7"/>
      <c r="E63" s="7"/>
      <c r="F63" s="5"/>
      <c r="G63" s="5"/>
      <c r="H63" s="5"/>
      <c r="I63" s="5"/>
      <c r="J63" s="5"/>
      <c r="K63" s="5"/>
      <c r="L63" s="55"/>
      <c r="M63" s="55"/>
      <c r="N63" s="55"/>
      <c r="O63" s="55"/>
      <c r="P63" s="159"/>
      <c r="Q63" s="159"/>
      <c r="R63" s="159"/>
      <c r="S63" s="55"/>
      <c r="T63" s="55"/>
      <c r="U63" s="55"/>
      <c r="V63" s="53"/>
    </row>
    <row r="64" spans="1:29" s="1" customFormat="1" ht="12" customHeight="1" x14ac:dyDescent="0.2">
      <c r="A64" s="210"/>
      <c r="B64" s="211"/>
      <c r="C64" s="211"/>
      <c r="D64" s="211"/>
      <c r="E64" s="211"/>
      <c r="F64" s="211"/>
      <c r="G64" s="211"/>
      <c r="H64" s="211"/>
      <c r="I64" s="211"/>
      <c r="J64" s="211"/>
      <c r="K64" s="211"/>
      <c r="L64" s="211"/>
      <c r="M64" s="211"/>
      <c r="N64" s="211"/>
      <c r="O64" s="211"/>
      <c r="P64" s="211"/>
      <c r="Q64" s="211"/>
      <c r="R64" s="211"/>
      <c r="S64" s="211"/>
      <c r="T64" s="211"/>
      <c r="U64" s="211"/>
      <c r="V64" s="212"/>
    </row>
    <row r="65" spans="1:28" s="1" customFormat="1" ht="12" x14ac:dyDescent="0.2">
      <c r="A65" s="112"/>
      <c r="B65" s="7"/>
      <c r="C65" s="7"/>
      <c r="D65" s="7"/>
      <c r="E65" s="7"/>
      <c r="F65" s="5"/>
      <c r="G65" s="5"/>
      <c r="H65" s="5"/>
      <c r="I65" s="5"/>
      <c r="J65" s="5"/>
      <c r="K65" s="5"/>
      <c r="L65" s="55"/>
      <c r="M65" s="55"/>
      <c r="N65" s="55"/>
      <c r="O65" s="55"/>
      <c r="P65" s="55"/>
      <c r="Q65" s="55"/>
      <c r="R65" s="55"/>
      <c r="S65" s="55"/>
      <c r="T65" s="55"/>
      <c r="U65" s="55"/>
      <c r="V65" s="53"/>
    </row>
    <row r="66" spans="1:28" s="1" customFormat="1" ht="24.75" customHeight="1" x14ac:dyDescent="0.2">
      <c r="A66" s="245" t="s">
        <v>951</v>
      </c>
      <c r="B66" s="246"/>
      <c r="C66" s="246"/>
      <c r="D66" s="246"/>
      <c r="E66" s="246"/>
      <c r="F66" s="246"/>
      <c r="G66" s="246"/>
      <c r="H66" s="246"/>
      <c r="I66" s="246"/>
      <c r="J66" s="246"/>
      <c r="K66" s="246"/>
      <c r="L66" s="246"/>
      <c r="M66" s="246"/>
      <c r="N66" s="246"/>
      <c r="O66" s="55"/>
      <c r="P66" s="55"/>
      <c r="Q66" s="166"/>
      <c r="R66" s="166"/>
      <c r="S66" s="166"/>
      <c r="T66" s="166"/>
      <c r="U66" s="166"/>
      <c r="V66" s="167"/>
      <c r="W66" s="168"/>
      <c r="X66" s="168"/>
      <c r="Y66" s="168"/>
      <c r="Z66" s="168"/>
      <c r="AA66" s="168"/>
    </row>
    <row r="67" spans="1:28" s="1" customFormat="1" ht="12" x14ac:dyDescent="0.2">
      <c r="A67" s="44" t="s">
        <v>148</v>
      </c>
      <c r="B67" s="121" t="s">
        <v>149</v>
      </c>
      <c r="C67" s="121" t="s">
        <v>150</v>
      </c>
      <c r="D67" s="121" t="s">
        <v>151</v>
      </c>
      <c r="E67" s="121" t="s">
        <v>152</v>
      </c>
      <c r="F67" s="121" t="s">
        <v>153</v>
      </c>
      <c r="G67" s="121" t="s">
        <v>154</v>
      </c>
      <c r="H67" s="121" t="s">
        <v>155</v>
      </c>
      <c r="I67" s="121" t="s">
        <v>156</v>
      </c>
      <c r="J67" s="121" t="s">
        <v>157</v>
      </c>
      <c r="K67" s="121" t="s">
        <v>159</v>
      </c>
      <c r="L67" s="121" t="s">
        <v>160</v>
      </c>
      <c r="M67" s="121" t="s">
        <v>161</v>
      </c>
      <c r="N67" s="121" t="s">
        <v>167</v>
      </c>
      <c r="O67" s="55"/>
      <c r="P67" s="166"/>
      <c r="Q67" s="166"/>
      <c r="R67" s="166"/>
      <c r="S67" s="166"/>
      <c r="T67" s="166"/>
      <c r="U67" s="166"/>
      <c r="V67" s="167"/>
      <c r="W67" s="168"/>
      <c r="X67" s="168"/>
      <c r="Y67" s="168"/>
      <c r="Z67" s="168"/>
      <c r="AA67" s="168"/>
      <c r="AB67" s="168"/>
    </row>
    <row r="68" spans="1:28" s="1" customFormat="1" ht="12.75" customHeight="1" x14ac:dyDescent="0.2">
      <c r="A68" s="115" t="s">
        <v>164</v>
      </c>
      <c r="B68" s="145">
        <v>112.92439</v>
      </c>
      <c r="C68" s="146">
        <v>121.27885000000001</v>
      </c>
      <c r="D68" s="145">
        <v>110.7914</v>
      </c>
      <c r="E68" s="146">
        <v>83.3001</v>
      </c>
      <c r="F68" s="145">
        <v>76.974509999999995</v>
      </c>
      <c r="G68" s="146">
        <v>0</v>
      </c>
      <c r="H68" s="146">
        <v>0</v>
      </c>
      <c r="I68" s="145">
        <v>0</v>
      </c>
      <c r="J68" s="146">
        <v>0</v>
      </c>
      <c r="K68" s="145">
        <v>0</v>
      </c>
      <c r="L68" s="145">
        <v>0</v>
      </c>
      <c r="M68" s="146">
        <v>0</v>
      </c>
      <c r="N68" s="145">
        <v>102.47593999999999</v>
      </c>
      <c r="O68" s="55"/>
      <c r="P68" s="55"/>
      <c r="Q68" s="166"/>
      <c r="R68" s="166"/>
      <c r="S68" s="166"/>
      <c r="T68" s="166"/>
      <c r="U68" s="166"/>
      <c r="V68" s="167"/>
      <c r="W68" s="168"/>
      <c r="X68" s="168"/>
      <c r="Y68" s="168"/>
      <c r="Z68" s="168"/>
      <c r="AA68" s="168"/>
    </row>
    <row r="69" spans="1:28" s="1" customFormat="1" ht="12" x14ac:dyDescent="0.2">
      <c r="A69" s="117" t="s">
        <v>82</v>
      </c>
      <c r="B69" s="147">
        <v>88.357579999999999</v>
      </c>
      <c r="C69" s="147">
        <v>91.814530000000005</v>
      </c>
      <c r="D69" s="147">
        <v>70.710070000000002</v>
      </c>
      <c r="E69" s="147">
        <v>50.951259999999998</v>
      </c>
      <c r="F69" s="147">
        <v>64.483469999999997</v>
      </c>
      <c r="G69" s="147">
        <v>0</v>
      </c>
      <c r="H69" s="147">
        <v>0</v>
      </c>
      <c r="I69" s="147">
        <v>0</v>
      </c>
      <c r="J69" s="147">
        <v>0</v>
      </c>
      <c r="K69" s="147">
        <v>0</v>
      </c>
      <c r="L69" s="147">
        <v>0</v>
      </c>
      <c r="M69" s="147">
        <v>0</v>
      </c>
      <c r="N69" s="147">
        <v>74.409689999999998</v>
      </c>
      <c r="O69" s="55"/>
      <c r="P69" s="55"/>
      <c r="Q69" s="55"/>
      <c r="R69" s="166"/>
      <c r="S69" s="166"/>
      <c r="T69" s="166"/>
      <c r="U69" s="166"/>
      <c r="V69" s="53"/>
    </row>
    <row r="70" spans="1:28" s="1" customFormat="1" ht="12" x14ac:dyDescent="0.2">
      <c r="A70" s="118" t="s">
        <v>115</v>
      </c>
      <c r="B70" s="147">
        <v>137.68794</v>
      </c>
      <c r="C70" s="147">
        <v>72.615380000000002</v>
      </c>
      <c r="D70" s="147">
        <v>82.492189999999994</v>
      </c>
      <c r="E70" s="147">
        <v>61.080539999999999</v>
      </c>
      <c r="F70" s="147">
        <v>60.753619999999998</v>
      </c>
      <c r="G70" s="147">
        <v>0</v>
      </c>
      <c r="H70" s="147">
        <v>0</v>
      </c>
      <c r="I70" s="147">
        <v>0</v>
      </c>
      <c r="J70" s="147">
        <v>0</v>
      </c>
      <c r="K70" s="147">
        <v>0</v>
      </c>
      <c r="L70" s="147">
        <v>0</v>
      </c>
      <c r="M70" s="147">
        <v>0</v>
      </c>
      <c r="N70" s="147">
        <v>85.986459999999994</v>
      </c>
      <c r="O70" s="55"/>
      <c r="P70" s="55"/>
      <c r="Q70" s="166"/>
      <c r="R70" s="166"/>
      <c r="S70" s="166"/>
      <c r="T70" s="166"/>
      <c r="U70" s="166"/>
      <c r="V70" s="167"/>
      <c r="W70" s="168"/>
    </row>
    <row r="71" spans="1:28" s="1" customFormat="1" ht="12" x14ac:dyDescent="0.2">
      <c r="A71" s="118" t="s">
        <v>144</v>
      </c>
      <c r="B71" s="147">
        <v>119.78822</v>
      </c>
      <c r="C71" s="147">
        <v>132.23167000000001</v>
      </c>
      <c r="D71" s="147">
        <v>123.3074</v>
      </c>
      <c r="E71" s="147">
        <v>94.641030000000001</v>
      </c>
      <c r="F71" s="147">
        <v>79.676450000000003</v>
      </c>
      <c r="G71" s="147">
        <v>0</v>
      </c>
      <c r="H71" s="147">
        <v>0</v>
      </c>
      <c r="I71" s="147">
        <v>0</v>
      </c>
      <c r="J71" s="147">
        <v>0</v>
      </c>
      <c r="K71" s="147">
        <v>0</v>
      </c>
      <c r="L71" s="147">
        <v>0</v>
      </c>
      <c r="M71" s="147">
        <v>0</v>
      </c>
      <c r="N71" s="147">
        <v>111.25608</v>
      </c>
      <c r="O71" s="55"/>
      <c r="P71" s="166"/>
      <c r="Q71" s="166"/>
      <c r="R71" s="166"/>
      <c r="S71" s="166"/>
      <c r="T71" s="166"/>
      <c r="U71" s="166"/>
      <c r="V71" s="167"/>
      <c r="W71" s="168"/>
      <c r="X71" s="168"/>
      <c r="Y71" s="168"/>
      <c r="Z71" s="168"/>
    </row>
    <row r="72" spans="1:28" s="1" customFormat="1" ht="12" x14ac:dyDescent="0.2">
      <c r="A72" s="115" t="s">
        <v>165</v>
      </c>
      <c r="B72" s="145">
        <v>75.887910000000005</v>
      </c>
      <c r="C72" s="146">
        <v>70.204639999999998</v>
      </c>
      <c r="D72" s="145">
        <v>67.614019999999996</v>
      </c>
      <c r="E72" s="146">
        <v>67.798280000000005</v>
      </c>
      <c r="F72" s="145">
        <v>72.362309999999994</v>
      </c>
      <c r="G72" s="146">
        <v>0</v>
      </c>
      <c r="H72" s="146">
        <v>0</v>
      </c>
      <c r="I72" s="145">
        <v>0</v>
      </c>
      <c r="J72" s="146">
        <v>0</v>
      </c>
      <c r="K72" s="145">
        <v>0</v>
      </c>
      <c r="L72" s="145">
        <v>0</v>
      </c>
      <c r="M72" s="146">
        <v>0</v>
      </c>
      <c r="N72" s="145">
        <v>70.874110000000002</v>
      </c>
      <c r="O72" s="55"/>
      <c r="P72" s="166"/>
      <c r="Q72" s="166"/>
      <c r="R72" s="159"/>
      <c r="S72" s="159"/>
      <c r="T72" s="159"/>
      <c r="U72" s="159"/>
      <c r="V72" s="53"/>
    </row>
    <row r="73" spans="1:28" s="1" customFormat="1" ht="12" x14ac:dyDescent="0.2">
      <c r="A73" s="117" t="s">
        <v>82</v>
      </c>
      <c r="B73" s="147">
        <v>78.703990000000005</v>
      </c>
      <c r="C73" s="147">
        <v>76.054100000000005</v>
      </c>
      <c r="D73" s="147">
        <v>74.110320000000002</v>
      </c>
      <c r="E73" s="147">
        <v>74.961320000000001</v>
      </c>
      <c r="F73" s="147">
        <v>71.105289999999997</v>
      </c>
      <c r="G73" s="147">
        <v>0</v>
      </c>
      <c r="H73" s="147">
        <v>0</v>
      </c>
      <c r="I73" s="147">
        <v>0</v>
      </c>
      <c r="J73" s="147">
        <v>0</v>
      </c>
      <c r="K73" s="147">
        <v>0</v>
      </c>
      <c r="L73" s="147">
        <v>0</v>
      </c>
      <c r="M73" s="147">
        <v>0</v>
      </c>
      <c r="N73" s="147">
        <v>75.744470000000007</v>
      </c>
      <c r="O73" s="55"/>
      <c r="P73" s="166"/>
      <c r="Q73" s="166"/>
      <c r="R73" s="166"/>
      <c r="S73" s="166"/>
      <c r="T73" s="166"/>
      <c r="U73" s="159"/>
      <c r="V73" s="53"/>
    </row>
    <row r="74" spans="1:28" s="1" customFormat="1" ht="12" customHeight="1" x14ac:dyDescent="0.2">
      <c r="A74" s="118" t="s">
        <v>115</v>
      </c>
      <c r="B74" s="147">
        <v>65.866569999999996</v>
      </c>
      <c r="C74" s="147">
        <v>53.306319999999999</v>
      </c>
      <c r="D74" s="147">
        <v>51.647260000000003</v>
      </c>
      <c r="E74" s="147">
        <v>52.731839999999998</v>
      </c>
      <c r="F74" s="147">
        <v>71.886049999999997</v>
      </c>
      <c r="G74" s="147">
        <v>0</v>
      </c>
      <c r="H74" s="147">
        <v>0</v>
      </c>
      <c r="I74" s="147">
        <v>0</v>
      </c>
      <c r="J74" s="147">
        <v>0</v>
      </c>
      <c r="K74" s="147">
        <v>0</v>
      </c>
      <c r="L74" s="147">
        <v>0</v>
      </c>
      <c r="M74" s="147">
        <v>0</v>
      </c>
      <c r="N74" s="147">
        <v>57.536529999999999</v>
      </c>
      <c r="O74" s="55"/>
      <c r="P74" s="166"/>
      <c r="Q74" s="55"/>
      <c r="R74" s="159"/>
      <c r="S74" s="159"/>
      <c r="T74" s="159"/>
      <c r="U74" s="159"/>
      <c r="V74" s="53"/>
    </row>
    <row r="75" spans="1:28" s="1" customFormat="1" ht="12" x14ac:dyDescent="0.2">
      <c r="A75" s="118" t="s">
        <v>144</v>
      </c>
      <c r="B75" s="147">
        <v>82.284030000000001</v>
      </c>
      <c r="C75" s="147">
        <v>72.591579999999993</v>
      </c>
      <c r="D75" s="147">
        <v>64.178219999999996</v>
      </c>
      <c r="E75" s="147">
        <v>58.978589999999997</v>
      </c>
      <c r="F75" s="147">
        <v>87.746750000000006</v>
      </c>
      <c r="G75" s="147">
        <v>0</v>
      </c>
      <c r="H75" s="147">
        <v>0</v>
      </c>
      <c r="I75" s="147">
        <v>0</v>
      </c>
      <c r="J75" s="147">
        <v>0</v>
      </c>
      <c r="K75" s="147">
        <v>0</v>
      </c>
      <c r="L75" s="147">
        <v>0</v>
      </c>
      <c r="M75" s="147">
        <v>0</v>
      </c>
      <c r="N75" s="147">
        <v>71.773719999999997</v>
      </c>
      <c r="O75" s="55"/>
      <c r="P75" s="166"/>
      <c r="Q75" s="166"/>
      <c r="R75" s="55"/>
      <c r="S75" s="55"/>
      <c r="T75" s="55"/>
      <c r="U75" s="55"/>
      <c r="V75" s="53"/>
    </row>
    <row r="76" spans="1:28" s="1" customFormat="1" ht="12" x14ac:dyDescent="0.2">
      <c r="A76" s="115" t="s">
        <v>166</v>
      </c>
      <c r="B76" s="145">
        <v>86.531559999999999</v>
      </c>
      <c r="C76" s="146">
        <v>84.643559999999994</v>
      </c>
      <c r="D76" s="145">
        <v>80.574089999999998</v>
      </c>
      <c r="E76" s="146">
        <v>72.856070000000003</v>
      </c>
      <c r="F76" s="145">
        <v>74.364410000000007</v>
      </c>
      <c r="G76" s="146">
        <v>0</v>
      </c>
      <c r="H76" s="146">
        <v>0</v>
      </c>
      <c r="I76" s="145">
        <v>0</v>
      </c>
      <c r="J76" s="146">
        <v>0</v>
      </c>
      <c r="K76" s="145">
        <v>0</v>
      </c>
      <c r="L76" s="145">
        <v>0</v>
      </c>
      <c r="M76" s="146">
        <v>0</v>
      </c>
      <c r="N76" s="145">
        <v>80.730080000000001</v>
      </c>
      <c r="O76" s="55"/>
      <c r="P76" s="55"/>
      <c r="Q76" s="55"/>
      <c r="R76" s="55"/>
      <c r="S76" s="55"/>
      <c r="T76" s="55"/>
      <c r="U76" s="55"/>
      <c r="V76" s="53"/>
    </row>
    <row r="77" spans="1:28" s="1" customFormat="1" ht="12" x14ac:dyDescent="0.2">
      <c r="A77" s="117" t="s">
        <v>82</v>
      </c>
      <c r="B77" s="147">
        <v>79.903480000000002</v>
      </c>
      <c r="C77" s="147">
        <v>77.74145</v>
      </c>
      <c r="D77" s="147">
        <v>73.722790000000003</v>
      </c>
      <c r="E77" s="147">
        <v>71.584040000000002</v>
      </c>
      <c r="F77" s="147">
        <v>70.263660000000002</v>
      </c>
      <c r="G77" s="147">
        <v>0</v>
      </c>
      <c r="H77" s="147">
        <v>0</v>
      </c>
      <c r="I77" s="147">
        <v>0</v>
      </c>
      <c r="J77" s="147">
        <v>0</v>
      </c>
      <c r="K77" s="147">
        <v>0</v>
      </c>
      <c r="L77" s="147">
        <v>0</v>
      </c>
      <c r="M77" s="147">
        <v>0</v>
      </c>
      <c r="N77" s="147">
        <v>75.581590000000006</v>
      </c>
      <c r="O77" s="55"/>
      <c r="P77" s="55"/>
      <c r="Q77" s="55"/>
      <c r="R77" s="55"/>
      <c r="S77" s="55"/>
      <c r="T77" s="55"/>
      <c r="U77" s="55"/>
      <c r="V77" s="53"/>
    </row>
    <row r="78" spans="1:28" s="1" customFormat="1" ht="12" x14ac:dyDescent="0.2">
      <c r="A78" s="118" t="s">
        <v>115</v>
      </c>
      <c r="B78" s="147">
        <v>70.62764</v>
      </c>
      <c r="C78" s="147">
        <v>54.50808</v>
      </c>
      <c r="D78" s="147">
        <v>53.766509999999997</v>
      </c>
      <c r="E78" s="147">
        <v>53.407170000000001</v>
      </c>
      <c r="F78" s="147">
        <v>70.716890000000006</v>
      </c>
      <c r="G78" s="147">
        <v>0</v>
      </c>
      <c r="H78" s="147">
        <v>0</v>
      </c>
      <c r="I78" s="147">
        <v>0</v>
      </c>
      <c r="J78" s="147">
        <v>0</v>
      </c>
      <c r="K78" s="147">
        <v>0</v>
      </c>
      <c r="L78" s="147">
        <v>0</v>
      </c>
      <c r="M78" s="147">
        <v>0</v>
      </c>
      <c r="N78" s="147">
        <v>59.597059999999999</v>
      </c>
      <c r="O78" s="55"/>
      <c r="P78" s="55"/>
      <c r="Q78" s="55"/>
      <c r="R78" s="55"/>
      <c r="S78" s="55"/>
      <c r="T78" s="55"/>
      <c r="U78" s="55"/>
      <c r="V78" s="53"/>
    </row>
    <row r="79" spans="1:28" s="1" customFormat="1" ht="12" x14ac:dyDescent="0.2">
      <c r="A79" s="118" t="s">
        <v>144</v>
      </c>
      <c r="B79" s="147">
        <v>112.32252</v>
      </c>
      <c r="C79" s="147">
        <v>121.63132</v>
      </c>
      <c r="D79" s="147">
        <v>113.89519</v>
      </c>
      <c r="E79" s="147">
        <v>88.449809999999999</v>
      </c>
      <c r="F79" s="147">
        <v>80.413160000000005</v>
      </c>
      <c r="G79" s="147">
        <v>0</v>
      </c>
      <c r="H79" s="147">
        <v>0</v>
      </c>
      <c r="I79" s="147">
        <v>0</v>
      </c>
      <c r="J79" s="147">
        <v>0</v>
      </c>
      <c r="K79" s="147">
        <v>0</v>
      </c>
      <c r="L79" s="147">
        <v>0</v>
      </c>
      <c r="M79" s="147">
        <v>0</v>
      </c>
      <c r="N79" s="147">
        <v>104.69352000000001</v>
      </c>
      <c r="O79" s="55"/>
      <c r="P79" s="55"/>
      <c r="Q79" s="55"/>
      <c r="R79" s="55"/>
      <c r="S79" s="55"/>
      <c r="T79" s="55"/>
      <c r="U79" s="55"/>
      <c r="V79" s="53"/>
    </row>
    <row r="80" spans="1:28" s="1" customFormat="1" ht="12" x14ac:dyDescent="0.2">
      <c r="A80" s="112"/>
      <c r="B80" s="7"/>
      <c r="C80" s="7"/>
      <c r="D80" s="7"/>
      <c r="E80" s="7"/>
      <c r="F80" s="5"/>
      <c r="G80" s="5"/>
      <c r="H80" s="5"/>
      <c r="I80" s="5"/>
      <c r="J80" s="5"/>
      <c r="K80" s="5"/>
      <c r="L80" s="55"/>
      <c r="M80" s="55"/>
      <c r="N80" s="55"/>
      <c r="O80" s="55"/>
      <c r="P80" s="55"/>
      <c r="Q80" s="55"/>
      <c r="R80" s="55"/>
      <c r="S80" s="55"/>
      <c r="T80" s="55"/>
      <c r="U80" s="55"/>
      <c r="V80" s="53"/>
    </row>
    <row r="81" spans="1:26" s="1" customFormat="1" ht="12" x14ac:dyDescent="0.2">
      <c r="A81" s="210"/>
      <c r="B81" s="211"/>
      <c r="C81" s="211"/>
      <c r="D81" s="211"/>
      <c r="E81" s="211"/>
      <c r="F81" s="211"/>
      <c r="G81" s="211"/>
      <c r="H81" s="211"/>
      <c r="I81" s="211"/>
      <c r="J81" s="211"/>
      <c r="K81" s="211"/>
      <c r="L81" s="211"/>
      <c r="M81" s="211"/>
      <c r="N81" s="211"/>
      <c r="O81" s="211"/>
      <c r="P81" s="211"/>
      <c r="Q81" s="211"/>
      <c r="R81" s="211"/>
      <c r="S81" s="211"/>
      <c r="T81" s="211"/>
      <c r="U81" s="211"/>
      <c r="V81" s="212"/>
    </row>
    <row r="82" spans="1:26" s="1" customFormat="1" ht="12" x14ac:dyDescent="0.2">
      <c r="A82" s="112"/>
      <c r="B82" s="7"/>
      <c r="C82" s="7"/>
      <c r="D82" s="7"/>
      <c r="E82" s="7"/>
      <c r="F82" s="5"/>
      <c r="G82" s="5"/>
      <c r="H82" s="5"/>
      <c r="I82" s="5"/>
      <c r="J82" s="5"/>
      <c r="K82" s="5"/>
      <c r="L82" s="55"/>
      <c r="M82" s="55"/>
      <c r="N82" s="55"/>
      <c r="O82" s="55"/>
      <c r="P82" s="55"/>
      <c r="Q82" s="55"/>
      <c r="R82" s="55"/>
      <c r="S82" s="166"/>
      <c r="T82" s="166"/>
      <c r="U82" s="166"/>
      <c r="V82" s="167"/>
    </row>
    <row r="83" spans="1:26" s="9" customFormat="1" ht="24.75" customHeight="1" x14ac:dyDescent="0.2">
      <c r="A83" s="247" t="s">
        <v>952</v>
      </c>
      <c r="B83" s="248"/>
      <c r="C83" s="248"/>
      <c r="D83" s="248"/>
      <c r="E83" s="248"/>
      <c r="F83" s="248"/>
      <c r="G83" s="248"/>
      <c r="H83" s="248"/>
      <c r="I83" s="248"/>
      <c r="J83" s="248"/>
      <c r="K83" s="248"/>
      <c r="L83" s="248"/>
      <c r="M83" s="248"/>
      <c r="N83" s="248"/>
      <c r="O83" s="55"/>
      <c r="P83" s="166"/>
      <c r="Q83" s="166"/>
      <c r="R83" s="166"/>
      <c r="S83" s="166"/>
      <c r="T83" s="166"/>
      <c r="U83" s="166"/>
      <c r="V83" s="167"/>
      <c r="W83" s="172"/>
      <c r="X83" s="172"/>
      <c r="Y83" s="172"/>
      <c r="Z83" s="172"/>
    </row>
    <row r="84" spans="1:26" s="1" customFormat="1" ht="12" x14ac:dyDescent="0.2">
      <c r="A84" s="44" t="s">
        <v>163</v>
      </c>
      <c r="B84" s="121" t="s">
        <v>149</v>
      </c>
      <c r="C84" s="121" t="s">
        <v>150</v>
      </c>
      <c r="D84" s="121" t="s">
        <v>151</v>
      </c>
      <c r="E84" s="121" t="s">
        <v>152</v>
      </c>
      <c r="F84" s="121" t="s">
        <v>153</v>
      </c>
      <c r="G84" s="121" t="s">
        <v>154</v>
      </c>
      <c r="H84" s="121" t="s">
        <v>155</v>
      </c>
      <c r="I84" s="121" t="s">
        <v>156</v>
      </c>
      <c r="J84" s="121" t="s">
        <v>157</v>
      </c>
      <c r="K84" s="121" t="s">
        <v>159</v>
      </c>
      <c r="L84" s="121" t="s">
        <v>160</v>
      </c>
      <c r="M84" s="121" t="s">
        <v>161</v>
      </c>
      <c r="N84" s="121" t="s">
        <v>167</v>
      </c>
      <c r="O84" s="55"/>
      <c r="P84" s="159"/>
      <c r="Q84" s="166"/>
      <c r="R84" s="166"/>
      <c r="S84" s="166"/>
      <c r="T84" s="166"/>
      <c r="U84" s="166"/>
      <c r="V84" s="167"/>
      <c r="W84" s="168"/>
      <c r="X84" s="168"/>
      <c r="Y84" s="168"/>
      <c r="Z84" s="168"/>
    </row>
    <row r="85" spans="1:26" s="1" customFormat="1" ht="12.75" customHeight="1" thickBot="1" x14ac:dyDescent="0.25">
      <c r="A85" s="107" t="s">
        <v>1</v>
      </c>
      <c r="B85" s="148">
        <v>18745.67742</v>
      </c>
      <c r="C85" s="149">
        <v>16865.8</v>
      </c>
      <c r="D85" s="148">
        <v>16120.12903</v>
      </c>
      <c r="E85" s="149">
        <v>15091.96774</v>
      </c>
      <c r="F85" s="148">
        <v>14087</v>
      </c>
      <c r="G85" s="149">
        <v>0</v>
      </c>
      <c r="H85" s="149">
        <v>0</v>
      </c>
      <c r="I85" s="148">
        <v>0</v>
      </c>
      <c r="J85" s="149">
        <v>0</v>
      </c>
      <c r="K85" s="148">
        <v>0</v>
      </c>
      <c r="L85" s="148">
        <v>0</v>
      </c>
      <c r="M85" s="149">
        <v>0</v>
      </c>
      <c r="N85" s="148">
        <v>16454.38235</v>
      </c>
      <c r="O85" s="55"/>
      <c r="P85" s="159"/>
      <c r="Q85" s="159"/>
      <c r="R85" s="159"/>
      <c r="S85" s="159"/>
      <c r="T85" s="165"/>
      <c r="U85" s="159"/>
      <c r="V85" s="169"/>
      <c r="W85" s="170"/>
      <c r="X85" s="170"/>
      <c r="Y85" s="170"/>
      <c r="Z85" s="170"/>
    </row>
    <row r="86" spans="1:26" s="1" customFormat="1" ht="12.75" thickTop="1" x14ac:dyDescent="0.2">
      <c r="A86" s="108" t="s">
        <v>138</v>
      </c>
      <c r="B86" s="150">
        <v>321.25806</v>
      </c>
      <c r="C86" s="150">
        <v>256.39999999999998</v>
      </c>
      <c r="D86" s="150">
        <v>276</v>
      </c>
      <c r="E86" s="150">
        <v>334.51612999999998</v>
      </c>
      <c r="F86" s="150">
        <v>527.69231000000002</v>
      </c>
      <c r="G86" s="150">
        <v>0</v>
      </c>
      <c r="H86" s="150">
        <v>0</v>
      </c>
      <c r="I86" s="150">
        <v>0</v>
      </c>
      <c r="J86" s="150">
        <v>0</v>
      </c>
      <c r="K86" s="150">
        <v>0</v>
      </c>
      <c r="L86" s="150">
        <v>0</v>
      </c>
      <c r="M86" s="150">
        <v>0</v>
      </c>
      <c r="N86" s="150">
        <v>319.38970999999998</v>
      </c>
      <c r="O86" s="55"/>
      <c r="P86" s="159"/>
      <c r="Q86" s="159"/>
      <c r="R86" s="159"/>
      <c r="S86" s="159"/>
      <c r="T86" s="159"/>
      <c r="U86" s="159"/>
      <c r="V86" s="169"/>
      <c r="W86" s="170"/>
      <c r="X86" s="170"/>
      <c r="Y86" s="170"/>
      <c r="Z86" s="170"/>
    </row>
    <row r="87" spans="1:26" s="1" customFormat="1" ht="12" x14ac:dyDescent="0.2">
      <c r="A87" s="109" t="s">
        <v>139</v>
      </c>
      <c r="B87" s="151">
        <v>18424.41935</v>
      </c>
      <c r="C87" s="151">
        <v>16609.400000000001</v>
      </c>
      <c r="D87" s="151">
        <v>15844.12903</v>
      </c>
      <c r="E87" s="151">
        <v>14757.45161</v>
      </c>
      <c r="F87" s="151">
        <v>13559.30769</v>
      </c>
      <c r="G87" s="151">
        <v>0</v>
      </c>
      <c r="H87" s="151">
        <v>0</v>
      </c>
      <c r="I87" s="151">
        <v>0</v>
      </c>
      <c r="J87" s="151">
        <v>0</v>
      </c>
      <c r="K87" s="151">
        <v>0</v>
      </c>
      <c r="L87" s="151">
        <v>0</v>
      </c>
      <c r="M87" s="151">
        <v>0</v>
      </c>
      <c r="N87" s="151">
        <v>16134.99265</v>
      </c>
      <c r="O87" s="55"/>
      <c r="P87" s="159"/>
      <c r="Q87" s="159"/>
      <c r="R87" s="159"/>
      <c r="S87" s="159"/>
      <c r="T87" s="159"/>
      <c r="U87" s="159"/>
      <c r="V87" s="169"/>
      <c r="W87" s="170"/>
      <c r="X87" s="170"/>
      <c r="Y87" s="170"/>
      <c r="Z87" s="170"/>
    </row>
    <row r="88" spans="1:26" s="3" customFormat="1" ht="23.25" customHeight="1" x14ac:dyDescent="0.2">
      <c r="A88" s="112"/>
      <c r="B88" s="7"/>
      <c r="C88" s="7"/>
      <c r="D88" s="7"/>
      <c r="E88" s="7"/>
      <c r="F88" s="5"/>
      <c r="G88" s="5"/>
      <c r="H88" s="5"/>
      <c r="I88" s="5"/>
      <c r="J88" s="5"/>
      <c r="K88" s="5"/>
      <c r="L88" s="55"/>
      <c r="M88" s="55"/>
      <c r="N88" s="55"/>
      <c r="O88" s="55"/>
      <c r="P88" s="159"/>
      <c r="Q88" s="159"/>
      <c r="R88" s="159"/>
      <c r="S88" s="159"/>
      <c r="T88" s="159"/>
      <c r="U88" s="159"/>
      <c r="V88" s="169"/>
      <c r="W88" s="171"/>
      <c r="X88" s="171"/>
      <c r="Y88" s="171"/>
    </row>
    <row r="89" spans="1:26" s="1" customFormat="1" ht="12.75" customHeight="1" x14ac:dyDescent="0.2">
      <c r="A89" s="210"/>
      <c r="B89" s="211"/>
      <c r="C89" s="211"/>
      <c r="D89" s="211"/>
      <c r="E89" s="211"/>
      <c r="F89" s="211"/>
      <c r="G89" s="211"/>
      <c r="H89" s="211"/>
      <c r="I89" s="211"/>
      <c r="J89" s="211"/>
      <c r="K89" s="211"/>
      <c r="L89" s="211"/>
      <c r="M89" s="211"/>
      <c r="N89" s="211"/>
      <c r="O89" s="211"/>
      <c r="P89" s="211"/>
      <c r="Q89" s="211"/>
      <c r="R89" s="211"/>
      <c r="S89" s="211"/>
      <c r="T89" s="211"/>
      <c r="U89" s="211"/>
      <c r="V89" s="212"/>
    </row>
    <row r="90" spans="1:26" s="1" customFormat="1" ht="12.75" customHeight="1" x14ac:dyDescent="0.2">
      <c r="A90" s="112"/>
      <c r="B90" s="7"/>
      <c r="C90" s="7"/>
      <c r="D90" s="7"/>
      <c r="E90" s="7"/>
      <c r="F90" s="5"/>
      <c r="G90" s="5"/>
      <c r="H90" s="5"/>
      <c r="I90" s="5"/>
      <c r="J90" s="5"/>
      <c r="K90" s="5"/>
      <c r="L90" s="55"/>
      <c r="M90" s="55"/>
      <c r="N90" s="55"/>
      <c r="O90" s="55"/>
      <c r="P90" s="55"/>
      <c r="Q90" s="55"/>
      <c r="R90" s="55"/>
      <c r="S90" s="55"/>
      <c r="T90" s="55"/>
      <c r="U90" s="55"/>
      <c r="V90" s="53"/>
    </row>
    <row r="91" spans="1:26" s="9" customFormat="1" ht="24.75" customHeight="1" x14ac:dyDescent="0.2">
      <c r="A91" s="247" t="s">
        <v>953</v>
      </c>
      <c r="B91" s="248"/>
      <c r="C91" s="248"/>
      <c r="D91" s="248"/>
      <c r="E91" s="248"/>
      <c r="F91" s="248"/>
      <c r="G91" s="248"/>
      <c r="H91" s="248"/>
      <c r="I91" s="248"/>
      <c r="J91" s="248"/>
      <c r="K91" s="248"/>
      <c r="L91" s="248"/>
      <c r="M91" s="248"/>
      <c r="N91" s="248"/>
      <c r="O91" s="55"/>
      <c r="P91" s="166"/>
      <c r="Q91" s="166"/>
      <c r="R91" s="166"/>
      <c r="S91" s="166"/>
      <c r="T91" s="166"/>
      <c r="U91" s="166"/>
      <c r="V91" s="167"/>
      <c r="W91" s="172"/>
      <c r="X91" s="172"/>
      <c r="Y91" s="172"/>
      <c r="Z91" s="172"/>
    </row>
    <row r="92" spans="1:26" s="1" customFormat="1" ht="12" x14ac:dyDescent="0.2">
      <c r="A92" s="44" t="s">
        <v>163</v>
      </c>
      <c r="B92" s="121" t="s">
        <v>149</v>
      </c>
      <c r="C92" s="121" t="s">
        <v>150</v>
      </c>
      <c r="D92" s="121" t="s">
        <v>151</v>
      </c>
      <c r="E92" s="121" t="s">
        <v>152</v>
      </c>
      <c r="F92" s="121" t="s">
        <v>153</v>
      </c>
      <c r="G92" s="121" t="s">
        <v>154</v>
      </c>
      <c r="H92" s="121" t="s">
        <v>155</v>
      </c>
      <c r="I92" s="121" t="s">
        <v>156</v>
      </c>
      <c r="J92" s="121" t="s">
        <v>157</v>
      </c>
      <c r="K92" s="121" t="s">
        <v>159</v>
      </c>
      <c r="L92" s="121" t="s">
        <v>160</v>
      </c>
      <c r="M92" s="121" t="s">
        <v>161</v>
      </c>
      <c r="N92" s="121" t="s">
        <v>167</v>
      </c>
      <c r="O92" s="55"/>
      <c r="P92" s="166"/>
      <c r="Q92" s="166"/>
      <c r="R92" s="166"/>
      <c r="S92" s="55"/>
      <c r="T92" s="55"/>
      <c r="U92" s="55"/>
      <c r="V92" s="53"/>
    </row>
    <row r="93" spans="1:26" s="1" customFormat="1" ht="12.75" customHeight="1" thickBot="1" x14ac:dyDescent="0.25">
      <c r="A93" s="107" t="s">
        <v>1</v>
      </c>
      <c r="B93" s="153">
        <v>86.531559999999999</v>
      </c>
      <c r="C93" s="154">
        <v>84.643559999999994</v>
      </c>
      <c r="D93" s="153">
        <v>80.574089999999998</v>
      </c>
      <c r="E93" s="154">
        <v>72.856070000000003</v>
      </c>
      <c r="F93" s="153">
        <v>74.364410000000007</v>
      </c>
      <c r="G93" s="154">
        <v>0</v>
      </c>
      <c r="H93" s="154">
        <v>0</v>
      </c>
      <c r="I93" s="153">
        <v>0</v>
      </c>
      <c r="J93" s="154">
        <v>0</v>
      </c>
      <c r="K93" s="153">
        <v>0</v>
      </c>
      <c r="L93" s="153">
        <v>0</v>
      </c>
      <c r="M93" s="154">
        <v>0</v>
      </c>
      <c r="N93" s="153">
        <v>80.730080000000001</v>
      </c>
      <c r="O93" s="55"/>
      <c r="P93" s="55"/>
      <c r="Q93" s="55"/>
      <c r="R93" s="55"/>
      <c r="S93" s="55"/>
      <c r="T93" s="55"/>
      <c r="U93" s="55"/>
      <c r="V93" s="53"/>
    </row>
    <row r="94" spans="1:26" s="1" customFormat="1" ht="12.75" thickTop="1" x14ac:dyDescent="0.2">
      <c r="A94" s="108" t="s">
        <v>138</v>
      </c>
      <c r="B94" s="155">
        <v>129.11493999999999</v>
      </c>
      <c r="C94" s="155">
        <v>81.1875</v>
      </c>
      <c r="D94" s="155">
        <v>229.34693999999999</v>
      </c>
      <c r="E94" s="155">
        <v>80.733329999999995</v>
      </c>
      <c r="F94" s="155">
        <v>31.14706</v>
      </c>
      <c r="G94" s="155">
        <v>0</v>
      </c>
      <c r="H94" s="155">
        <v>0</v>
      </c>
      <c r="I94" s="155">
        <v>0</v>
      </c>
      <c r="J94" s="155">
        <v>0</v>
      </c>
      <c r="K94" s="155">
        <v>0</v>
      </c>
      <c r="L94" s="155">
        <v>0</v>
      </c>
      <c r="M94" s="155">
        <v>0</v>
      </c>
      <c r="N94" s="155">
        <v>129.55224000000001</v>
      </c>
      <c r="O94" s="55"/>
      <c r="P94" s="55"/>
      <c r="Q94" s="55"/>
      <c r="R94" s="55"/>
      <c r="S94" s="55"/>
      <c r="T94" s="55"/>
      <c r="U94" s="55"/>
      <c r="V94" s="53"/>
    </row>
    <row r="95" spans="1:26" s="1" customFormat="1" ht="12" x14ac:dyDescent="0.2">
      <c r="A95" s="109" t="s">
        <v>139</v>
      </c>
      <c r="B95" s="152">
        <v>86.210970000000003</v>
      </c>
      <c r="C95" s="152">
        <v>84.649839999999998</v>
      </c>
      <c r="D95" s="152">
        <v>79.799059999999997</v>
      </c>
      <c r="E95" s="152">
        <v>72.843410000000006</v>
      </c>
      <c r="F95" s="152">
        <v>74.713099999999997</v>
      </c>
      <c r="G95" s="152">
        <v>0</v>
      </c>
      <c r="H95" s="152">
        <v>0</v>
      </c>
      <c r="I95" s="152">
        <v>0</v>
      </c>
      <c r="J95" s="152">
        <v>0</v>
      </c>
      <c r="K95" s="152">
        <v>0</v>
      </c>
      <c r="L95" s="152">
        <v>0</v>
      </c>
      <c r="M95" s="152">
        <v>0</v>
      </c>
      <c r="N95" s="152">
        <v>80.503540000000001</v>
      </c>
      <c r="O95" s="55"/>
      <c r="P95" s="55"/>
      <c r="Q95" s="55"/>
      <c r="R95" s="55"/>
      <c r="S95" s="55"/>
      <c r="T95" s="55"/>
      <c r="U95" s="55"/>
      <c r="V95" s="53"/>
    </row>
    <row r="96" spans="1:26" s="58" customFormat="1" x14ac:dyDescent="0.25">
      <c r="A96" s="119"/>
      <c r="B96" s="57"/>
      <c r="C96" s="57"/>
      <c r="D96" s="57"/>
      <c r="E96" s="57"/>
      <c r="F96" s="57"/>
      <c r="G96" s="57"/>
      <c r="H96" s="57"/>
      <c r="I96" s="57"/>
      <c r="J96" s="57"/>
      <c r="K96" s="57"/>
      <c r="L96" s="57"/>
      <c r="M96" s="57"/>
      <c r="N96" s="57"/>
      <c r="O96" s="57"/>
      <c r="P96" s="57"/>
      <c r="Q96" s="57"/>
      <c r="R96" s="57"/>
      <c r="S96" s="57"/>
      <c r="T96" s="57"/>
      <c r="U96" s="57"/>
      <c r="V96" s="120"/>
    </row>
    <row r="97" spans="1:22" s="58" customFormat="1" ht="15.75" thickBot="1" x14ac:dyDescent="0.3">
      <c r="A97" s="230"/>
      <c r="B97" s="231"/>
      <c r="C97" s="231"/>
      <c r="D97" s="231"/>
      <c r="E97" s="231"/>
      <c r="F97" s="231"/>
      <c r="G97" s="231"/>
      <c r="H97" s="231"/>
      <c r="I97" s="231"/>
      <c r="J97" s="231"/>
      <c r="K97" s="231"/>
      <c r="L97" s="231"/>
      <c r="M97" s="231"/>
      <c r="N97" s="231"/>
      <c r="O97" s="231"/>
      <c r="P97" s="231"/>
      <c r="Q97" s="231"/>
      <c r="R97" s="231"/>
      <c r="S97" s="231"/>
      <c r="T97" s="231"/>
      <c r="U97" s="231"/>
      <c r="V97" s="232"/>
    </row>
    <row r="98" spans="1:22" s="58" customFormat="1" x14ac:dyDescent="0.25">
      <c r="A98" s="91"/>
    </row>
    <row r="99" spans="1:22" x14ac:dyDescent="0.25">
      <c r="B99" s="157"/>
      <c r="C99" s="157"/>
      <c r="D99" s="157"/>
      <c r="E99" s="157"/>
      <c r="F99" s="157"/>
      <c r="G99" s="157"/>
      <c r="H99" s="157"/>
      <c r="I99" s="157"/>
      <c r="J99" s="157"/>
      <c r="K99" s="157"/>
      <c r="L99" s="157"/>
      <c r="M99" s="157"/>
      <c r="N99" s="157"/>
      <c r="O99" s="157"/>
    </row>
    <row r="100" spans="1:22" x14ac:dyDescent="0.25">
      <c r="B100" s="157"/>
      <c r="C100" s="157"/>
      <c r="D100" s="157"/>
      <c r="E100" s="157"/>
      <c r="F100" s="157"/>
      <c r="G100" s="157"/>
      <c r="H100" s="157"/>
      <c r="I100" s="157"/>
      <c r="J100" s="157"/>
      <c r="K100" s="157"/>
      <c r="L100" s="157"/>
      <c r="M100" s="157"/>
    </row>
    <row r="101" spans="1:22" x14ac:dyDescent="0.25">
      <c r="B101" s="158"/>
      <c r="C101" s="158"/>
      <c r="D101" s="158"/>
      <c r="E101" s="158"/>
      <c r="F101" s="158"/>
      <c r="G101" s="158"/>
      <c r="H101" s="158"/>
      <c r="I101" s="158"/>
      <c r="J101" s="158"/>
      <c r="K101" s="158"/>
      <c r="L101" s="157"/>
      <c r="M101" s="157"/>
    </row>
    <row r="102" spans="1:22" x14ac:dyDescent="0.25">
      <c r="B102" s="158"/>
      <c r="C102" s="158"/>
      <c r="D102" s="158"/>
      <c r="E102" s="158"/>
      <c r="F102" s="158"/>
      <c r="G102" s="158"/>
      <c r="H102" s="158"/>
      <c r="I102" s="158"/>
      <c r="J102" s="158"/>
      <c r="K102" s="158"/>
      <c r="L102" s="158"/>
      <c r="M102" s="158"/>
      <c r="P102" s="158"/>
    </row>
    <row r="103" spans="1:22" x14ac:dyDescent="0.25">
      <c r="B103" s="158"/>
      <c r="C103" s="158"/>
      <c r="D103" s="158"/>
      <c r="E103" s="158"/>
      <c r="F103" s="158"/>
      <c r="G103" s="158"/>
      <c r="H103" s="158"/>
      <c r="I103" s="158"/>
      <c r="J103" s="158"/>
      <c r="K103" s="158"/>
      <c r="L103" s="162"/>
      <c r="M103" s="158"/>
    </row>
    <row r="104" spans="1:22" x14ac:dyDescent="0.25">
      <c r="B104" s="158"/>
      <c r="C104" s="158"/>
      <c r="D104" s="158"/>
      <c r="E104" s="158"/>
      <c r="F104" s="158"/>
      <c r="G104" s="158"/>
      <c r="H104" s="158"/>
      <c r="I104" s="158"/>
      <c r="J104" s="158"/>
      <c r="K104" s="158"/>
      <c r="L104" s="158"/>
      <c r="P104" s="158"/>
    </row>
    <row r="105" spans="1:22" x14ac:dyDescent="0.25">
      <c r="B105" s="158"/>
      <c r="C105" s="158"/>
      <c r="D105" s="158"/>
      <c r="E105" s="158"/>
      <c r="F105" s="158"/>
      <c r="G105" s="158"/>
    </row>
    <row r="106" spans="1:22" x14ac:dyDescent="0.25">
      <c r="B106" s="158"/>
      <c r="C106" s="158"/>
      <c r="E106" s="158"/>
    </row>
    <row r="107" spans="1:22" x14ac:dyDescent="0.25">
      <c r="B107" s="158"/>
      <c r="C107" s="158"/>
    </row>
  </sheetData>
  <sheetProtection sheet="1" objects="1" scenarios="1"/>
  <mergeCells count="54">
    <mergeCell ref="O12:Q12"/>
    <mergeCell ref="M9:N9"/>
    <mergeCell ref="O9:Q9"/>
    <mergeCell ref="M8:Q8"/>
    <mergeCell ref="J29:L29"/>
    <mergeCell ref="O11:Q11"/>
    <mergeCell ref="A49:N49"/>
    <mergeCell ref="I18:V18"/>
    <mergeCell ref="A27:E27"/>
    <mergeCell ref="H27:L27"/>
    <mergeCell ref="N27:R27"/>
    <mergeCell ref="A36:E36"/>
    <mergeCell ref="P30:R30"/>
    <mergeCell ref="J30:L30"/>
    <mergeCell ref="J31:L31"/>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4:V4"/>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91"/>
  <sheetViews>
    <sheetView zoomScaleNormal="100" workbookViewId="0">
      <selection activeCell="A7" sqref="A7:AE7"/>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 min="32" max="16384" width="9.42578125" style="6"/>
  </cols>
  <sheetData>
    <row r="1" spans="1:31" s="12" customFormat="1" ht="26.25" x14ac:dyDescent="0.25">
      <c r="A1" s="206" t="s">
        <v>63</v>
      </c>
      <c r="B1" s="206"/>
      <c r="C1" s="206"/>
      <c r="D1" s="206"/>
      <c r="E1" s="38"/>
      <c r="F1" s="38"/>
      <c r="G1" s="38"/>
      <c r="H1" s="38"/>
      <c r="I1" s="38"/>
      <c r="J1" s="38"/>
      <c r="K1" s="38"/>
      <c r="L1" s="38"/>
      <c r="M1" s="38"/>
      <c r="N1" s="38"/>
      <c r="O1" s="38"/>
      <c r="P1" s="38"/>
      <c r="Q1" s="38"/>
      <c r="R1" s="38"/>
      <c r="S1" s="38"/>
      <c r="T1" s="38"/>
      <c r="U1" s="38"/>
      <c r="V1" s="38"/>
      <c r="W1" s="38"/>
      <c r="X1" s="38"/>
      <c r="Y1" s="38"/>
      <c r="Z1" s="38"/>
      <c r="AA1" s="38"/>
      <c r="AB1" s="38"/>
      <c r="AC1" s="38"/>
      <c r="AD1" s="38"/>
      <c r="AE1" s="38"/>
    </row>
    <row r="2" spans="1:31" s="12" customFormat="1" ht="74.25" customHeight="1" x14ac:dyDescent="0.25">
      <c r="A2" s="207" t="s">
        <v>64</v>
      </c>
      <c r="B2" s="207"/>
      <c r="C2" s="207"/>
      <c r="D2" s="207"/>
      <c r="E2" s="38"/>
      <c r="F2" s="38"/>
      <c r="G2" s="38"/>
      <c r="H2" s="38"/>
      <c r="I2" s="38"/>
      <c r="J2" s="38"/>
      <c r="K2" s="38"/>
      <c r="L2" s="38"/>
      <c r="M2" s="38"/>
      <c r="N2" s="38"/>
      <c r="O2" s="38"/>
      <c r="P2" s="38"/>
      <c r="Q2" s="38"/>
      <c r="R2" s="38"/>
      <c r="S2" s="38"/>
      <c r="T2" s="38"/>
      <c r="U2" s="38"/>
      <c r="V2" s="38"/>
      <c r="W2" s="38"/>
      <c r="X2" s="38"/>
      <c r="Y2" s="38"/>
      <c r="Z2" s="38"/>
      <c r="AA2" s="38"/>
      <c r="AB2" s="38"/>
      <c r="AC2" s="38"/>
      <c r="AD2" s="38"/>
      <c r="AE2" s="38"/>
    </row>
    <row r="3" spans="1:31" s="12" customFormat="1" ht="48.6" customHeight="1" x14ac:dyDescent="0.25">
      <c r="A3" s="205" t="s">
        <v>939</v>
      </c>
      <c r="B3" s="205"/>
      <c r="C3" s="205"/>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row>
    <row r="4" spans="1:31" s="9" customFormat="1" ht="30.75" customHeight="1" thickBot="1" x14ac:dyDescent="0.25">
      <c r="A4" s="268" t="s">
        <v>954</v>
      </c>
      <c r="B4" s="268"/>
      <c r="C4" s="268"/>
      <c r="D4" s="268"/>
      <c r="E4" s="268"/>
      <c r="F4" s="268"/>
      <c r="G4" s="268"/>
      <c r="H4" s="268"/>
      <c r="I4" s="268"/>
      <c r="J4" s="268"/>
      <c r="K4" s="268"/>
      <c r="L4" s="268"/>
      <c r="M4" s="268"/>
      <c r="N4" s="268"/>
      <c r="O4" s="268"/>
      <c r="P4" s="268"/>
      <c r="Q4" s="268"/>
      <c r="R4" s="268"/>
      <c r="S4" s="268"/>
      <c r="T4" s="268"/>
      <c r="U4" s="268"/>
      <c r="V4" s="268"/>
      <c r="W4" s="11"/>
      <c r="X4" s="11"/>
      <c r="Y4" s="11"/>
      <c r="Z4" s="11"/>
    </row>
    <row r="5" spans="1:31" s="42" customFormat="1" ht="36" customHeight="1" x14ac:dyDescent="0.2">
      <c r="A5" s="59" t="s">
        <v>169</v>
      </c>
      <c r="B5" s="13"/>
      <c r="C5" s="13"/>
      <c r="D5" s="13"/>
      <c r="E5" s="13"/>
      <c r="F5" s="13"/>
      <c r="G5" s="13"/>
      <c r="H5" s="13"/>
      <c r="I5" s="13" t="s">
        <v>170</v>
      </c>
      <c r="J5" s="269" t="s">
        <v>940</v>
      </c>
      <c r="K5" s="269"/>
      <c r="L5" s="269"/>
      <c r="M5" s="269"/>
      <c r="N5" s="270" t="s">
        <v>941</v>
      </c>
      <c r="O5" s="270"/>
      <c r="P5" s="270"/>
      <c r="Q5" s="270"/>
      <c r="R5" s="267" t="s">
        <v>942</v>
      </c>
      <c r="S5" s="267"/>
      <c r="T5" s="267"/>
      <c r="U5" s="267"/>
      <c r="V5" s="37" t="s">
        <v>943</v>
      </c>
      <c r="W5" s="267" t="s">
        <v>171</v>
      </c>
      <c r="X5" s="267"/>
      <c r="Y5" s="267"/>
      <c r="Z5" s="267"/>
      <c r="AA5" s="267"/>
      <c r="AB5" s="267"/>
      <c r="AC5" s="267"/>
      <c r="AD5" s="267"/>
      <c r="AE5" s="267"/>
    </row>
    <row r="6" spans="1:31" s="42" customFormat="1" ht="20.25" customHeight="1" x14ac:dyDescent="0.2">
      <c r="A6" s="60" t="s">
        <v>168</v>
      </c>
      <c r="B6" s="33"/>
      <c r="C6" s="33"/>
      <c r="D6" s="33"/>
      <c r="E6" s="33"/>
      <c r="F6" s="33"/>
      <c r="G6" s="33"/>
      <c r="H6" s="33"/>
      <c r="I6" s="34"/>
      <c r="J6" s="33"/>
      <c r="K6" s="33"/>
      <c r="L6" s="33"/>
      <c r="M6" s="33"/>
      <c r="N6" s="33"/>
      <c r="O6" s="33"/>
      <c r="P6" s="33"/>
      <c r="Q6" s="33"/>
      <c r="R6" s="35"/>
      <c r="S6" s="35"/>
      <c r="T6" s="35"/>
      <c r="U6" s="35"/>
      <c r="V6" s="37"/>
      <c r="W6" s="35"/>
      <c r="X6" s="35"/>
      <c r="Y6" s="35"/>
      <c r="Z6" s="35"/>
      <c r="AA6" s="35"/>
      <c r="AB6" s="35"/>
      <c r="AC6" s="35"/>
      <c r="AD6" s="35"/>
      <c r="AE6" s="35"/>
    </row>
    <row r="7" spans="1:31" s="42" customFormat="1" ht="48" customHeight="1" x14ac:dyDescent="0.25">
      <c r="A7" s="14" t="s">
        <v>172</v>
      </c>
      <c r="B7" s="15" t="s">
        <v>173</v>
      </c>
      <c r="C7" s="15" t="s">
        <v>174</v>
      </c>
      <c r="D7" s="15" t="s">
        <v>175</v>
      </c>
      <c r="E7" s="16" t="s">
        <v>176</v>
      </c>
      <c r="F7" s="15" t="s">
        <v>71</v>
      </c>
      <c r="G7" s="17" t="s">
        <v>177</v>
      </c>
      <c r="H7" s="18" t="s">
        <v>108</v>
      </c>
      <c r="I7" s="19" t="s">
        <v>944</v>
      </c>
      <c r="J7" s="20" t="s">
        <v>178</v>
      </c>
      <c r="K7" s="21" t="s">
        <v>179</v>
      </c>
      <c r="L7" s="22" t="s">
        <v>180</v>
      </c>
      <c r="M7" s="36" t="s">
        <v>181</v>
      </c>
      <c r="N7" s="20" t="s">
        <v>182</v>
      </c>
      <c r="O7" s="21" t="s">
        <v>183</v>
      </c>
      <c r="P7" s="22" t="s">
        <v>184</v>
      </c>
      <c r="Q7" s="23" t="s">
        <v>185</v>
      </c>
      <c r="R7" s="20" t="s">
        <v>186</v>
      </c>
      <c r="S7" s="21" t="s">
        <v>187</v>
      </c>
      <c r="T7" s="22" t="s">
        <v>188</v>
      </c>
      <c r="U7" s="36" t="s">
        <v>189</v>
      </c>
      <c r="V7" s="20" t="s">
        <v>190</v>
      </c>
      <c r="W7" s="21" t="s">
        <v>191</v>
      </c>
      <c r="X7" s="15" t="s">
        <v>192</v>
      </c>
      <c r="Y7" s="15" t="s">
        <v>106</v>
      </c>
      <c r="Z7" s="15" t="s">
        <v>193</v>
      </c>
      <c r="AA7" s="15" t="s">
        <v>102</v>
      </c>
      <c r="AB7" s="15" t="s">
        <v>194</v>
      </c>
      <c r="AC7" s="15" t="s">
        <v>116</v>
      </c>
      <c r="AD7" s="15" t="s">
        <v>195</v>
      </c>
      <c r="AE7" s="39" t="s">
        <v>120</v>
      </c>
    </row>
    <row r="8" spans="1:31" s="42" customFormat="1" ht="12.75" customHeight="1" x14ac:dyDescent="0.2">
      <c r="A8" s="24" t="s">
        <v>6</v>
      </c>
      <c r="B8" s="25" t="s">
        <v>196</v>
      </c>
      <c r="C8" s="25" t="s">
        <v>197</v>
      </c>
      <c r="D8" s="25" t="s">
        <v>198</v>
      </c>
      <c r="E8" s="25">
        <v>92301</v>
      </c>
      <c r="F8" s="25" t="s">
        <v>199</v>
      </c>
      <c r="G8" s="25" t="s">
        <v>200</v>
      </c>
      <c r="H8" s="25" t="s">
        <v>201</v>
      </c>
      <c r="I8" s="26">
        <v>64.632826747720401</v>
      </c>
      <c r="J8" s="27">
        <v>743.20689655172134</v>
      </c>
      <c r="K8" s="27">
        <v>109.98620689655165</v>
      </c>
      <c r="L8" s="27">
        <v>304.66896551724182</v>
      </c>
      <c r="M8" s="27">
        <v>441.21379310344958</v>
      </c>
      <c r="N8" s="27">
        <v>768.49655172414725</v>
      </c>
      <c r="O8" s="27">
        <v>555.22758620689524</v>
      </c>
      <c r="P8" s="27">
        <v>74.503448275862084</v>
      </c>
      <c r="Q8" s="27">
        <v>200.84827586206893</v>
      </c>
      <c r="R8" s="27">
        <v>457.54482758620878</v>
      </c>
      <c r="S8" s="27">
        <v>225.98620689655166</v>
      </c>
      <c r="T8" s="27">
        <v>152.46896551724134</v>
      </c>
      <c r="U8" s="27">
        <v>763.07586206896258</v>
      </c>
      <c r="V8" s="27">
        <v>937.73793103449793</v>
      </c>
      <c r="W8" s="28">
        <v>1455</v>
      </c>
      <c r="X8" s="25" t="s">
        <v>202</v>
      </c>
      <c r="Y8" s="25" t="s">
        <v>203</v>
      </c>
      <c r="Z8" s="25" t="s">
        <v>204</v>
      </c>
      <c r="AA8" s="29" t="s">
        <v>205</v>
      </c>
      <c r="AB8" s="25" t="s">
        <v>202</v>
      </c>
      <c r="AC8" s="25" t="s">
        <v>203</v>
      </c>
      <c r="AD8" s="25" t="s">
        <v>206</v>
      </c>
      <c r="AE8" s="40">
        <v>43789</v>
      </c>
    </row>
    <row r="9" spans="1:31" ht="15.75" x14ac:dyDescent="0.25">
      <c r="A9" s="24" t="s">
        <v>207</v>
      </c>
      <c r="B9" s="25" t="s">
        <v>208</v>
      </c>
      <c r="C9" s="25" t="s">
        <v>209</v>
      </c>
      <c r="D9" s="25" t="s">
        <v>210</v>
      </c>
      <c r="E9" s="30">
        <v>31815</v>
      </c>
      <c r="F9" s="25" t="s">
        <v>211</v>
      </c>
      <c r="G9" s="25" t="s">
        <v>200</v>
      </c>
      <c r="H9" s="25" t="s">
        <v>5</v>
      </c>
      <c r="I9" s="26">
        <v>46.759248719408099</v>
      </c>
      <c r="J9" s="27">
        <v>807.24137931035909</v>
      </c>
      <c r="K9" s="27">
        <v>274.72413793103487</v>
      </c>
      <c r="L9" s="27">
        <v>239.06206896551757</v>
      </c>
      <c r="M9" s="27">
        <v>205.74482758620704</v>
      </c>
      <c r="N9" s="27">
        <v>732.75172413794803</v>
      </c>
      <c r="O9" s="27">
        <v>793.84137931035752</v>
      </c>
      <c r="P9" s="27">
        <v>0</v>
      </c>
      <c r="Q9" s="27">
        <v>0.1793103448275862</v>
      </c>
      <c r="R9" s="27">
        <v>307.52413793103534</v>
      </c>
      <c r="S9" s="27">
        <v>187.7586206896552</v>
      </c>
      <c r="T9" s="27">
        <v>237.62068965517275</v>
      </c>
      <c r="U9" s="27">
        <v>793.86896551725397</v>
      </c>
      <c r="V9" s="27">
        <v>921.06206896556137</v>
      </c>
      <c r="W9" s="28">
        <v>1600</v>
      </c>
      <c r="X9" s="25" t="s">
        <v>202</v>
      </c>
      <c r="Y9" s="31" t="s">
        <v>203</v>
      </c>
      <c r="Z9" s="25" t="s">
        <v>204</v>
      </c>
      <c r="AA9" s="29" t="s">
        <v>212</v>
      </c>
      <c r="AB9" s="25" t="s">
        <v>202</v>
      </c>
      <c r="AC9" s="31" t="s">
        <v>203</v>
      </c>
      <c r="AD9" s="31" t="s">
        <v>204</v>
      </c>
      <c r="AE9" s="41">
        <v>43223</v>
      </c>
    </row>
    <row r="10" spans="1:31" ht="15.75" x14ac:dyDescent="0.25">
      <c r="A10" s="24" t="s">
        <v>22</v>
      </c>
      <c r="B10" s="25" t="s">
        <v>213</v>
      </c>
      <c r="C10" s="25" t="s">
        <v>214</v>
      </c>
      <c r="D10" s="25" t="s">
        <v>215</v>
      </c>
      <c r="E10" s="30">
        <v>78061</v>
      </c>
      <c r="F10" s="25" t="s">
        <v>216</v>
      </c>
      <c r="G10" s="25" t="s">
        <v>217</v>
      </c>
      <c r="H10" s="25" t="s">
        <v>201</v>
      </c>
      <c r="I10" s="26">
        <v>59.769946433605902</v>
      </c>
      <c r="J10" s="27">
        <v>990.8827586206985</v>
      </c>
      <c r="K10" s="27">
        <v>198.00000000000014</v>
      </c>
      <c r="L10" s="27">
        <v>158.74482758620715</v>
      </c>
      <c r="M10" s="27">
        <v>99.33793103448275</v>
      </c>
      <c r="N10" s="27">
        <v>471.03448275862314</v>
      </c>
      <c r="O10" s="27">
        <v>767.75862068966137</v>
      </c>
      <c r="P10" s="27">
        <v>44.875862068965517</v>
      </c>
      <c r="Q10" s="27">
        <v>163.29655172413834</v>
      </c>
      <c r="R10" s="27">
        <v>116.15862068965512</v>
      </c>
      <c r="S10" s="27">
        <v>118.20689655172414</v>
      </c>
      <c r="T10" s="27">
        <v>285.19310344827619</v>
      </c>
      <c r="U10" s="27">
        <v>927.4068965517306</v>
      </c>
      <c r="V10" s="27">
        <v>686.72413793105511</v>
      </c>
      <c r="W10" s="28">
        <v>1350</v>
      </c>
      <c r="X10" s="25" t="s">
        <v>202</v>
      </c>
      <c r="Y10" s="31" t="s">
        <v>203</v>
      </c>
      <c r="Z10" s="25" t="s">
        <v>204</v>
      </c>
      <c r="AA10" s="29" t="s">
        <v>218</v>
      </c>
      <c r="AB10" s="25" t="s">
        <v>202</v>
      </c>
      <c r="AC10" s="31" t="s">
        <v>203</v>
      </c>
      <c r="AD10" s="31" t="s">
        <v>204</v>
      </c>
      <c r="AE10" s="41">
        <v>43181</v>
      </c>
    </row>
    <row r="11" spans="1:31" ht="15.75" x14ac:dyDescent="0.25">
      <c r="A11" s="24" t="s">
        <v>219</v>
      </c>
      <c r="B11" s="25" t="s">
        <v>220</v>
      </c>
      <c r="C11" s="25" t="s">
        <v>221</v>
      </c>
      <c r="D11" s="25" t="s">
        <v>215</v>
      </c>
      <c r="E11" s="30">
        <v>78017</v>
      </c>
      <c r="F11" s="25" t="s">
        <v>216</v>
      </c>
      <c r="G11" s="25" t="s">
        <v>222</v>
      </c>
      <c r="H11" s="25" t="s">
        <v>201</v>
      </c>
      <c r="I11" s="26">
        <v>40.0219192729217</v>
      </c>
      <c r="J11" s="27">
        <v>1322.8965517242086</v>
      </c>
      <c r="K11" s="27">
        <v>8.2758620689655171E-2</v>
      </c>
      <c r="L11" s="27">
        <v>0</v>
      </c>
      <c r="M11" s="27">
        <v>0</v>
      </c>
      <c r="N11" s="27">
        <v>0</v>
      </c>
      <c r="O11" s="27">
        <v>345.02068965517697</v>
      </c>
      <c r="P11" s="27">
        <v>5.1310344827586194</v>
      </c>
      <c r="Q11" s="27">
        <v>972.82758620692823</v>
      </c>
      <c r="R11" s="27">
        <v>0</v>
      </c>
      <c r="S11" s="27">
        <v>0</v>
      </c>
      <c r="T11" s="27">
        <v>5.1310344827586194</v>
      </c>
      <c r="U11" s="27">
        <v>1317.8482758621401</v>
      </c>
      <c r="V11" s="27">
        <v>1251.2689655173078</v>
      </c>
      <c r="W11" s="28">
        <v>2400</v>
      </c>
      <c r="X11" s="25" t="s">
        <v>202</v>
      </c>
      <c r="Y11" s="31" t="s">
        <v>223</v>
      </c>
      <c r="Z11" s="25" t="s">
        <v>206</v>
      </c>
      <c r="AA11" s="29" t="s">
        <v>224</v>
      </c>
      <c r="AB11" s="25" t="s">
        <v>202</v>
      </c>
      <c r="AC11" s="31" t="s">
        <v>223</v>
      </c>
      <c r="AD11" s="31" t="s">
        <v>206</v>
      </c>
      <c r="AE11" s="41">
        <v>43782</v>
      </c>
    </row>
    <row r="12" spans="1:31" ht="15.75" x14ac:dyDescent="0.25">
      <c r="A12" s="24" t="s">
        <v>225</v>
      </c>
      <c r="B12" s="25" t="s">
        <v>226</v>
      </c>
      <c r="C12" s="25" t="s">
        <v>227</v>
      </c>
      <c r="D12" s="25" t="s">
        <v>228</v>
      </c>
      <c r="E12" s="30">
        <v>71483</v>
      </c>
      <c r="F12" s="25" t="s">
        <v>229</v>
      </c>
      <c r="G12" s="25" t="s">
        <v>230</v>
      </c>
      <c r="H12" s="25" t="s">
        <v>5</v>
      </c>
      <c r="I12" s="26">
        <v>113.481746599857</v>
      </c>
      <c r="J12" s="27">
        <v>1091.7793103448307</v>
      </c>
      <c r="K12" s="27">
        <v>110.86206896551725</v>
      </c>
      <c r="L12" s="27">
        <v>69.172413793103487</v>
      </c>
      <c r="M12" s="27">
        <v>35.937931034482737</v>
      </c>
      <c r="N12" s="27">
        <v>171.28965517241394</v>
      </c>
      <c r="O12" s="27">
        <v>1136.4620689655217</v>
      </c>
      <c r="P12" s="27">
        <v>0</v>
      </c>
      <c r="Q12" s="27">
        <v>0</v>
      </c>
      <c r="R12" s="27">
        <v>44.510344827586195</v>
      </c>
      <c r="S12" s="27">
        <v>32.337931034482743</v>
      </c>
      <c r="T12" s="27">
        <v>94.710344827586241</v>
      </c>
      <c r="U12" s="27">
        <v>1136.19310344828</v>
      </c>
      <c r="V12" s="27">
        <v>478.60689655172587</v>
      </c>
      <c r="W12" s="28">
        <v>1100</v>
      </c>
      <c r="X12" s="25" t="s">
        <v>202</v>
      </c>
      <c r="Y12" s="31" t="s">
        <v>203</v>
      </c>
      <c r="Z12" s="25" t="s">
        <v>204</v>
      </c>
      <c r="AA12" s="29" t="s">
        <v>231</v>
      </c>
      <c r="AB12" s="25" t="s">
        <v>232</v>
      </c>
      <c r="AC12" s="31"/>
      <c r="AD12" s="31"/>
      <c r="AE12" s="41"/>
    </row>
    <row r="13" spans="1:31" ht="15.75" x14ac:dyDescent="0.25">
      <c r="A13" s="24" t="s">
        <v>18</v>
      </c>
      <c r="B13" s="25" t="s">
        <v>233</v>
      </c>
      <c r="C13" s="25" t="s">
        <v>40</v>
      </c>
      <c r="D13" s="25" t="s">
        <v>234</v>
      </c>
      <c r="E13" s="30">
        <v>85131</v>
      </c>
      <c r="F13" s="25" t="s">
        <v>235</v>
      </c>
      <c r="G13" s="25" t="s">
        <v>230</v>
      </c>
      <c r="H13" s="25" t="s">
        <v>5</v>
      </c>
      <c r="I13" s="26">
        <v>71.241363840287093</v>
      </c>
      <c r="J13" s="27">
        <v>1005.6275862069014</v>
      </c>
      <c r="K13" s="27">
        <v>139.95172413793117</v>
      </c>
      <c r="L13" s="27">
        <v>86.331034482758739</v>
      </c>
      <c r="M13" s="27">
        <v>47.089655172413792</v>
      </c>
      <c r="N13" s="27">
        <v>271.75862068965563</v>
      </c>
      <c r="O13" s="27">
        <v>1007.1241379310374</v>
      </c>
      <c r="P13" s="27">
        <v>0</v>
      </c>
      <c r="Q13" s="27">
        <v>0.11724137931034483</v>
      </c>
      <c r="R13" s="27">
        <v>50.613793103448302</v>
      </c>
      <c r="S13" s="27">
        <v>44.303448275862074</v>
      </c>
      <c r="T13" s="27">
        <v>176.75172413793103</v>
      </c>
      <c r="U13" s="27">
        <v>1007.3310344827615</v>
      </c>
      <c r="V13" s="27">
        <v>457.20689655172856</v>
      </c>
      <c r="W13" s="28">
        <v>650</v>
      </c>
      <c r="X13" s="25" t="s">
        <v>202</v>
      </c>
      <c r="Y13" s="31" t="s">
        <v>203</v>
      </c>
      <c r="Z13" s="25" t="s">
        <v>204</v>
      </c>
      <c r="AA13" s="29" t="s">
        <v>236</v>
      </c>
      <c r="AB13" s="25" t="s">
        <v>232</v>
      </c>
      <c r="AC13" s="31"/>
      <c r="AD13" s="31"/>
      <c r="AE13" s="41"/>
    </row>
    <row r="14" spans="1:31" ht="15.75" x14ac:dyDescent="0.25">
      <c r="A14" s="24" t="s">
        <v>237</v>
      </c>
      <c r="B14" s="25" t="s">
        <v>238</v>
      </c>
      <c r="C14" s="25" t="s">
        <v>239</v>
      </c>
      <c r="D14" s="25" t="s">
        <v>228</v>
      </c>
      <c r="E14" s="30">
        <v>71342</v>
      </c>
      <c r="F14" s="25" t="s">
        <v>229</v>
      </c>
      <c r="G14" s="25" t="s">
        <v>200</v>
      </c>
      <c r="H14" s="25" t="s">
        <v>201</v>
      </c>
      <c r="I14" s="26">
        <v>41.550132882338701</v>
      </c>
      <c r="J14" s="27">
        <v>435.97931034482968</v>
      </c>
      <c r="K14" s="27">
        <v>364.04827586206915</v>
      </c>
      <c r="L14" s="27">
        <v>340.37931034482818</v>
      </c>
      <c r="M14" s="27">
        <v>85.386206896551755</v>
      </c>
      <c r="N14" s="27">
        <v>457.01379310344902</v>
      </c>
      <c r="O14" s="27">
        <v>523.93103448276202</v>
      </c>
      <c r="P14" s="27">
        <v>100.2896551724139</v>
      </c>
      <c r="Q14" s="27">
        <v>144.55862068965573</v>
      </c>
      <c r="R14" s="27">
        <v>204.24827586206888</v>
      </c>
      <c r="S14" s="27">
        <v>138.7655172413794</v>
      </c>
      <c r="T14" s="27">
        <v>214.01379310344868</v>
      </c>
      <c r="U14" s="27">
        <v>668.76551724138687</v>
      </c>
      <c r="V14" s="27">
        <v>519.11724137932606</v>
      </c>
      <c r="W14" s="28">
        <v>1170</v>
      </c>
      <c r="X14" s="25" t="s">
        <v>202</v>
      </c>
      <c r="Y14" s="31" t="s">
        <v>203</v>
      </c>
      <c r="Z14" s="25" t="s">
        <v>204</v>
      </c>
      <c r="AA14" s="29" t="s">
        <v>240</v>
      </c>
      <c r="AB14" s="25" t="s">
        <v>202</v>
      </c>
      <c r="AC14" s="31" t="s">
        <v>203</v>
      </c>
      <c r="AD14" s="31" t="s">
        <v>204</v>
      </c>
      <c r="AE14" s="41">
        <v>43370</v>
      </c>
    </row>
    <row r="15" spans="1:31" ht="15.75" x14ac:dyDescent="0.25">
      <c r="A15" s="24" t="s">
        <v>241</v>
      </c>
      <c r="B15" s="25" t="s">
        <v>242</v>
      </c>
      <c r="C15" s="25" t="s">
        <v>40</v>
      </c>
      <c r="D15" s="25" t="s">
        <v>234</v>
      </c>
      <c r="E15" s="30">
        <v>85131</v>
      </c>
      <c r="F15" s="25" t="s">
        <v>235</v>
      </c>
      <c r="G15" s="25" t="s">
        <v>200</v>
      </c>
      <c r="H15" s="25" t="s">
        <v>201</v>
      </c>
      <c r="I15" s="26">
        <v>71.040342298288493</v>
      </c>
      <c r="J15" s="27">
        <v>975.48275862069943</v>
      </c>
      <c r="K15" s="27">
        <v>77.310344827586221</v>
      </c>
      <c r="L15" s="27">
        <v>96.048275862068991</v>
      </c>
      <c r="M15" s="27">
        <v>69.46896551724133</v>
      </c>
      <c r="N15" s="27">
        <v>158.40000000000009</v>
      </c>
      <c r="O15" s="27">
        <v>346.01379310344839</v>
      </c>
      <c r="P15" s="27">
        <v>88.062068965517298</v>
      </c>
      <c r="Q15" s="27">
        <v>625.83448275862565</v>
      </c>
      <c r="R15" s="27">
        <v>73.862068965517238</v>
      </c>
      <c r="S15" s="27">
        <v>49.062068965517234</v>
      </c>
      <c r="T15" s="27">
        <v>123.15172413793094</v>
      </c>
      <c r="U15" s="27">
        <v>972.23448275863018</v>
      </c>
      <c r="V15" s="27">
        <v>460.5862068965576</v>
      </c>
      <c r="W15" s="28"/>
      <c r="X15" s="25" t="s">
        <v>202</v>
      </c>
      <c r="Y15" s="31" t="s">
        <v>203</v>
      </c>
      <c r="Z15" s="25" t="s">
        <v>204</v>
      </c>
      <c r="AA15" s="29" t="s">
        <v>243</v>
      </c>
      <c r="AB15" s="25" t="s">
        <v>202</v>
      </c>
      <c r="AC15" s="31" t="s">
        <v>203</v>
      </c>
      <c r="AD15" s="31" t="s">
        <v>204</v>
      </c>
      <c r="AE15" s="41">
        <v>43503</v>
      </c>
    </row>
    <row r="16" spans="1:31" ht="15.75" x14ac:dyDescent="0.25">
      <c r="A16" s="24" t="s">
        <v>32</v>
      </c>
      <c r="B16" s="25" t="s">
        <v>244</v>
      </c>
      <c r="C16" s="25" t="s">
        <v>245</v>
      </c>
      <c r="D16" s="25" t="s">
        <v>246</v>
      </c>
      <c r="E16" s="30">
        <v>39120</v>
      </c>
      <c r="F16" s="25" t="s">
        <v>229</v>
      </c>
      <c r="G16" s="25" t="s">
        <v>230</v>
      </c>
      <c r="H16" s="25" t="s">
        <v>201</v>
      </c>
      <c r="I16" s="26">
        <v>73.0928402832415</v>
      </c>
      <c r="J16" s="27">
        <v>915.38620689654874</v>
      </c>
      <c r="K16" s="27">
        <v>28.786206896551718</v>
      </c>
      <c r="L16" s="27">
        <v>48.551724137931039</v>
      </c>
      <c r="M16" s="27">
        <v>56.655172413793082</v>
      </c>
      <c r="N16" s="27">
        <v>134.3172413793103</v>
      </c>
      <c r="O16" s="27">
        <v>461.64137931034833</v>
      </c>
      <c r="P16" s="27">
        <v>3.7931034482758621</v>
      </c>
      <c r="Q16" s="27">
        <v>449.62758620689658</v>
      </c>
      <c r="R16" s="27">
        <v>84.103448275862007</v>
      </c>
      <c r="S16" s="27">
        <v>24.537931034482757</v>
      </c>
      <c r="T16" s="27">
        <v>29.468965517241383</v>
      </c>
      <c r="U16" s="27">
        <v>911.26896551723848</v>
      </c>
      <c r="V16" s="27">
        <v>636.13793103449041</v>
      </c>
      <c r="W16" s="28">
        <v>1100</v>
      </c>
      <c r="X16" s="25" t="s">
        <v>202</v>
      </c>
      <c r="Y16" s="31" t="s">
        <v>203</v>
      </c>
      <c r="Z16" s="25" t="s">
        <v>204</v>
      </c>
      <c r="AA16" s="29" t="s">
        <v>205</v>
      </c>
      <c r="AB16" s="25" t="s">
        <v>232</v>
      </c>
      <c r="AC16" s="31"/>
      <c r="AD16" s="31"/>
      <c r="AE16" s="41"/>
    </row>
    <row r="17" spans="1:31" ht="15.75" x14ac:dyDescent="0.25">
      <c r="A17" s="24" t="s">
        <v>247</v>
      </c>
      <c r="B17" s="25" t="s">
        <v>248</v>
      </c>
      <c r="C17" s="25" t="s">
        <v>249</v>
      </c>
      <c r="D17" s="25" t="s">
        <v>198</v>
      </c>
      <c r="E17" s="30">
        <v>92154</v>
      </c>
      <c r="F17" s="25" t="s">
        <v>250</v>
      </c>
      <c r="G17" s="25" t="s">
        <v>251</v>
      </c>
      <c r="H17" s="25" t="s">
        <v>201</v>
      </c>
      <c r="I17" s="26">
        <v>78.8788534342888</v>
      </c>
      <c r="J17" s="27">
        <v>784.40000000000293</v>
      </c>
      <c r="K17" s="27">
        <v>131.36551724137937</v>
      </c>
      <c r="L17" s="27">
        <v>44.89655172413795</v>
      </c>
      <c r="M17" s="27">
        <v>67.462068965517219</v>
      </c>
      <c r="N17" s="27">
        <v>197.40000000000023</v>
      </c>
      <c r="O17" s="27">
        <v>694.41379310345144</v>
      </c>
      <c r="P17" s="27">
        <v>20.882758620689653</v>
      </c>
      <c r="Q17" s="27">
        <v>115.42758620689655</v>
      </c>
      <c r="R17" s="27">
        <v>114.3310344827586</v>
      </c>
      <c r="S17" s="27">
        <v>44.068965517241388</v>
      </c>
      <c r="T17" s="27">
        <v>56.579310344827597</v>
      </c>
      <c r="U17" s="27">
        <v>813.14482758620977</v>
      </c>
      <c r="V17" s="27">
        <v>634.68275862069402</v>
      </c>
      <c r="W17" s="28">
        <v>750</v>
      </c>
      <c r="X17" s="25" t="s">
        <v>202</v>
      </c>
      <c r="Y17" s="31" t="s">
        <v>203</v>
      </c>
      <c r="Z17" s="25" t="s">
        <v>204</v>
      </c>
      <c r="AA17" s="29" t="s">
        <v>252</v>
      </c>
      <c r="AB17" s="25" t="s">
        <v>202</v>
      </c>
      <c r="AC17" s="31" t="s">
        <v>203</v>
      </c>
      <c r="AD17" s="31" t="s">
        <v>204</v>
      </c>
      <c r="AE17" s="41">
        <v>43490</v>
      </c>
    </row>
    <row r="18" spans="1:31" ht="15.75" x14ac:dyDescent="0.25">
      <c r="A18" s="24" t="s">
        <v>253</v>
      </c>
      <c r="B18" s="25" t="s">
        <v>254</v>
      </c>
      <c r="C18" s="25" t="s">
        <v>255</v>
      </c>
      <c r="D18" s="25" t="s">
        <v>256</v>
      </c>
      <c r="E18" s="30">
        <v>98421</v>
      </c>
      <c r="F18" s="25" t="s">
        <v>257</v>
      </c>
      <c r="G18" s="25" t="s">
        <v>217</v>
      </c>
      <c r="H18" s="25" t="s">
        <v>201</v>
      </c>
      <c r="I18" s="26">
        <v>90.672287802135997</v>
      </c>
      <c r="J18" s="27">
        <v>419.53793103448294</v>
      </c>
      <c r="K18" s="27">
        <v>141.76551724137931</v>
      </c>
      <c r="L18" s="27">
        <v>176.95862068965516</v>
      </c>
      <c r="M18" s="27">
        <v>201.34482758620709</v>
      </c>
      <c r="N18" s="27">
        <v>429.37241379310342</v>
      </c>
      <c r="O18" s="27">
        <v>348.24137931034488</v>
      </c>
      <c r="P18" s="27">
        <v>42.379310344827594</v>
      </c>
      <c r="Q18" s="27">
        <v>119.61379310344839</v>
      </c>
      <c r="R18" s="27">
        <v>273.04827586206903</v>
      </c>
      <c r="S18" s="27">
        <v>99.793103448275772</v>
      </c>
      <c r="T18" s="27">
        <v>94.882758620689515</v>
      </c>
      <c r="U18" s="27">
        <v>471.88275862068969</v>
      </c>
      <c r="V18" s="27">
        <v>620.06206896552385</v>
      </c>
      <c r="W18" s="28">
        <v>1181</v>
      </c>
      <c r="X18" s="25" t="s">
        <v>202</v>
      </c>
      <c r="Y18" s="31" t="s">
        <v>203</v>
      </c>
      <c r="Z18" s="25" t="s">
        <v>204</v>
      </c>
      <c r="AA18" s="29" t="s">
        <v>258</v>
      </c>
      <c r="AB18" s="25" t="s">
        <v>202</v>
      </c>
      <c r="AC18" s="31" t="s">
        <v>203</v>
      </c>
      <c r="AD18" s="31" t="s">
        <v>204</v>
      </c>
      <c r="AE18" s="41">
        <v>43209</v>
      </c>
    </row>
    <row r="19" spans="1:31" ht="15.75" x14ac:dyDescent="0.25">
      <c r="A19" s="24" t="s">
        <v>259</v>
      </c>
      <c r="B19" s="25" t="s">
        <v>260</v>
      </c>
      <c r="C19" s="25" t="s">
        <v>261</v>
      </c>
      <c r="D19" s="25" t="s">
        <v>215</v>
      </c>
      <c r="E19" s="30">
        <v>78566</v>
      </c>
      <c r="F19" s="25" t="s">
        <v>216</v>
      </c>
      <c r="G19" s="25" t="s">
        <v>262</v>
      </c>
      <c r="H19" s="25" t="s">
        <v>201</v>
      </c>
      <c r="I19" s="26">
        <v>12.0742653908036</v>
      </c>
      <c r="J19" s="27">
        <v>844.2896551724491</v>
      </c>
      <c r="K19" s="27">
        <v>47.5586206896552</v>
      </c>
      <c r="L19" s="27">
        <v>9.537931034482753</v>
      </c>
      <c r="M19" s="27">
        <v>37.882758620689664</v>
      </c>
      <c r="N19" s="27">
        <v>174.10344827586283</v>
      </c>
      <c r="O19" s="27">
        <v>763.2827586207211</v>
      </c>
      <c r="P19" s="27">
        <v>6.8965517241379309E-3</v>
      </c>
      <c r="Q19" s="27">
        <v>1.8758620689655174</v>
      </c>
      <c r="R19" s="27">
        <v>46.889655172413825</v>
      </c>
      <c r="S19" s="27">
        <v>43.600000000000009</v>
      </c>
      <c r="T19" s="27">
        <v>83.75172413793095</v>
      </c>
      <c r="U19" s="27">
        <v>765.02758620692816</v>
      </c>
      <c r="V19" s="27">
        <v>633.04827586210183</v>
      </c>
      <c r="W19" s="28">
        <v>800</v>
      </c>
      <c r="X19" s="25" t="s">
        <v>202</v>
      </c>
      <c r="Y19" s="31" t="s">
        <v>203</v>
      </c>
      <c r="Z19" s="25" t="s">
        <v>204</v>
      </c>
      <c r="AA19" s="29" t="s">
        <v>263</v>
      </c>
      <c r="AB19" s="25" t="s">
        <v>202</v>
      </c>
      <c r="AC19" s="31" t="s">
        <v>203</v>
      </c>
      <c r="AD19" s="31" t="s">
        <v>204</v>
      </c>
      <c r="AE19" s="41">
        <v>43496</v>
      </c>
    </row>
    <row r="20" spans="1:31" ht="15.75" x14ac:dyDescent="0.25">
      <c r="A20" s="24" t="s">
        <v>264</v>
      </c>
      <c r="B20" s="25" t="s">
        <v>265</v>
      </c>
      <c r="C20" s="25" t="s">
        <v>266</v>
      </c>
      <c r="D20" s="25" t="s">
        <v>267</v>
      </c>
      <c r="E20" s="30">
        <v>88081</v>
      </c>
      <c r="F20" s="25" t="s">
        <v>268</v>
      </c>
      <c r="G20" s="25" t="s">
        <v>200</v>
      </c>
      <c r="H20" s="25" t="s">
        <v>5</v>
      </c>
      <c r="I20" s="26">
        <v>50.532593123209203</v>
      </c>
      <c r="J20" s="27">
        <v>604.17931034483593</v>
      </c>
      <c r="K20" s="27">
        <v>239.87586206896594</v>
      </c>
      <c r="L20" s="27">
        <v>43.931034482758569</v>
      </c>
      <c r="M20" s="27">
        <v>29.262068965517226</v>
      </c>
      <c r="N20" s="27">
        <v>367.28965517241744</v>
      </c>
      <c r="O20" s="27">
        <v>549.71034482759273</v>
      </c>
      <c r="P20" s="27">
        <v>0</v>
      </c>
      <c r="Q20" s="27">
        <v>0.24827586206896551</v>
      </c>
      <c r="R20" s="27">
        <v>46.379310344827559</v>
      </c>
      <c r="S20" s="27">
        <v>62.248275862068986</v>
      </c>
      <c r="T20" s="27">
        <v>271.68965517241605</v>
      </c>
      <c r="U20" s="27">
        <v>536.93103448276383</v>
      </c>
      <c r="V20" s="27">
        <v>420.51724137931683</v>
      </c>
      <c r="W20" s="28"/>
      <c r="X20" s="25" t="s">
        <v>202</v>
      </c>
      <c r="Y20" s="31" t="s">
        <v>203</v>
      </c>
      <c r="Z20" s="25" t="s">
        <v>204</v>
      </c>
      <c r="AA20" s="29" t="s">
        <v>263</v>
      </c>
      <c r="AB20" s="25" t="s">
        <v>202</v>
      </c>
      <c r="AC20" s="31" t="s">
        <v>203</v>
      </c>
      <c r="AD20" s="31" t="s">
        <v>204</v>
      </c>
      <c r="AE20" s="41">
        <v>43496</v>
      </c>
    </row>
    <row r="21" spans="1:31" ht="15.75" x14ac:dyDescent="0.25">
      <c r="A21" s="24" t="s">
        <v>269</v>
      </c>
      <c r="B21" s="25" t="s">
        <v>270</v>
      </c>
      <c r="C21" s="25" t="s">
        <v>271</v>
      </c>
      <c r="D21" s="25" t="s">
        <v>215</v>
      </c>
      <c r="E21" s="30">
        <v>77301</v>
      </c>
      <c r="F21" s="25" t="s">
        <v>272</v>
      </c>
      <c r="G21" s="25" t="s">
        <v>217</v>
      </c>
      <c r="H21" s="25" t="s">
        <v>201</v>
      </c>
      <c r="I21" s="26">
        <v>22.7479986657772</v>
      </c>
      <c r="J21" s="27">
        <v>290.85517241379586</v>
      </c>
      <c r="K21" s="27">
        <v>325.29655172414311</v>
      </c>
      <c r="L21" s="27">
        <v>99.834482758620879</v>
      </c>
      <c r="M21" s="27">
        <v>158.66206896551813</v>
      </c>
      <c r="N21" s="27">
        <v>469.84137931035826</v>
      </c>
      <c r="O21" s="27">
        <v>273.31724137931292</v>
      </c>
      <c r="P21" s="27">
        <v>49.344827586206939</v>
      </c>
      <c r="Q21" s="27">
        <v>82.144827586206972</v>
      </c>
      <c r="R21" s="27">
        <v>241.33103448276145</v>
      </c>
      <c r="S21" s="27">
        <v>129.3241379310351</v>
      </c>
      <c r="T21" s="27">
        <v>152.02758620689798</v>
      </c>
      <c r="U21" s="27">
        <v>351.96551724138271</v>
      </c>
      <c r="V21" s="27">
        <v>503.95862068967068</v>
      </c>
      <c r="W21" s="28">
        <v>750</v>
      </c>
      <c r="X21" s="25" t="s">
        <v>202</v>
      </c>
      <c r="Y21" s="31" t="s">
        <v>203</v>
      </c>
      <c r="Z21" s="25" t="s">
        <v>204</v>
      </c>
      <c r="AA21" s="29" t="s">
        <v>273</v>
      </c>
      <c r="AB21" s="25" t="s">
        <v>202</v>
      </c>
      <c r="AC21" s="31" t="s">
        <v>203</v>
      </c>
      <c r="AD21" s="31" t="s">
        <v>204</v>
      </c>
      <c r="AE21" s="41">
        <v>43454</v>
      </c>
    </row>
    <row r="22" spans="1:31" ht="15.75" x14ac:dyDescent="0.25">
      <c r="A22" s="24" t="s">
        <v>274</v>
      </c>
      <c r="B22" s="25" t="s">
        <v>275</v>
      </c>
      <c r="C22" s="25" t="s">
        <v>276</v>
      </c>
      <c r="D22" s="25" t="s">
        <v>228</v>
      </c>
      <c r="E22" s="30">
        <v>71202</v>
      </c>
      <c r="F22" s="25" t="s">
        <v>229</v>
      </c>
      <c r="G22" s="25" t="s">
        <v>230</v>
      </c>
      <c r="H22" s="25" t="s">
        <v>5</v>
      </c>
      <c r="I22" s="26">
        <v>144.281075027996</v>
      </c>
      <c r="J22" s="27">
        <v>708.43448275861908</v>
      </c>
      <c r="K22" s="27">
        <v>87.896551724137936</v>
      </c>
      <c r="L22" s="27">
        <v>8.7310344827586199</v>
      </c>
      <c r="M22" s="27">
        <v>9.6551724137931033E-2</v>
      </c>
      <c r="N22" s="27">
        <v>61.800000000000033</v>
      </c>
      <c r="O22" s="27">
        <v>742.46896551723887</v>
      </c>
      <c r="P22" s="27">
        <v>0</v>
      </c>
      <c r="Q22" s="27">
        <v>0.8896551724137931</v>
      </c>
      <c r="R22" s="27">
        <v>2.3724137931034486</v>
      </c>
      <c r="S22" s="27">
        <v>3.6344827586206896</v>
      </c>
      <c r="T22" s="27">
        <v>55.793103448275886</v>
      </c>
      <c r="U22" s="27">
        <v>743.35862068965264</v>
      </c>
      <c r="V22" s="27">
        <v>478.227586206897</v>
      </c>
      <c r="W22" s="28"/>
      <c r="X22" s="25" t="s">
        <v>202</v>
      </c>
      <c r="Y22" s="31" t="s">
        <v>203</v>
      </c>
      <c r="Z22" s="25" t="s">
        <v>204</v>
      </c>
      <c r="AA22" s="29" t="s">
        <v>277</v>
      </c>
      <c r="AB22" s="25" t="s">
        <v>232</v>
      </c>
      <c r="AC22" s="31"/>
      <c r="AD22" s="31"/>
      <c r="AE22" s="41"/>
    </row>
    <row r="23" spans="1:31" ht="15.75" x14ac:dyDescent="0.25">
      <c r="A23" s="24" t="s">
        <v>24</v>
      </c>
      <c r="B23" s="25" t="s">
        <v>278</v>
      </c>
      <c r="C23" s="25" t="s">
        <v>279</v>
      </c>
      <c r="D23" s="25" t="s">
        <v>228</v>
      </c>
      <c r="E23" s="30">
        <v>71251</v>
      </c>
      <c r="F23" s="25" t="s">
        <v>229</v>
      </c>
      <c r="G23" s="25" t="s">
        <v>230</v>
      </c>
      <c r="H23" s="25" t="s">
        <v>201</v>
      </c>
      <c r="I23" s="26">
        <v>136.23093220339001</v>
      </c>
      <c r="J23" s="27">
        <v>733.35862068965321</v>
      </c>
      <c r="K23" s="27">
        <v>61.848275862068967</v>
      </c>
      <c r="L23" s="27">
        <v>3.6068965517241378</v>
      </c>
      <c r="M23" s="27">
        <v>0</v>
      </c>
      <c r="N23" s="27">
        <v>53.289655172413816</v>
      </c>
      <c r="O23" s="27">
        <v>592.73793103448133</v>
      </c>
      <c r="P23" s="27">
        <v>13.110344827586204</v>
      </c>
      <c r="Q23" s="27">
        <v>139.67586206896567</v>
      </c>
      <c r="R23" s="27">
        <v>1.5034482758620689</v>
      </c>
      <c r="S23" s="27">
        <v>5.1931034482758616</v>
      </c>
      <c r="T23" s="27">
        <v>59.503448275862091</v>
      </c>
      <c r="U23" s="27">
        <v>732.61379310344648</v>
      </c>
      <c r="V23" s="27">
        <v>457.35172413793083</v>
      </c>
      <c r="W23" s="28"/>
      <c r="X23" s="25" t="s">
        <v>202</v>
      </c>
      <c r="Y23" s="31" t="s">
        <v>203</v>
      </c>
      <c r="Z23" s="25" t="s">
        <v>204</v>
      </c>
      <c r="AA23" s="29" t="s">
        <v>280</v>
      </c>
      <c r="AB23" s="25" t="s">
        <v>232</v>
      </c>
      <c r="AC23" s="31"/>
      <c r="AD23" s="31"/>
      <c r="AE23" s="41"/>
    </row>
    <row r="24" spans="1:31" ht="15.75" x14ac:dyDescent="0.25">
      <c r="A24" s="24" t="s">
        <v>13</v>
      </c>
      <c r="B24" s="25" t="s">
        <v>281</v>
      </c>
      <c r="C24" s="25" t="s">
        <v>282</v>
      </c>
      <c r="D24" s="25" t="s">
        <v>215</v>
      </c>
      <c r="E24" s="30">
        <v>78580</v>
      </c>
      <c r="F24" s="25" t="s">
        <v>216</v>
      </c>
      <c r="G24" s="25" t="s">
        <v>230</v>
      </c>
      <c r="H24" s="25" t="s">
        <v>201</v>
      </c>
      <c r="I24" s="26">
        <v>21.647459727385399</v>
      </c>
      <c r="J24" s="27">
        <v>781.07586206899816</v>
      </c>
      <c r="K24" s="27">
        <v>5.6482758620689655</v>
      </c>
      <c r="L24" s="27">
        <v>1.7241379310344829</v>
      </c>
      <c r="M24" s="27">
        <v>6.8965517241379309E-2</v>
      </c>
      <c r="N24" s="27">
        <v>39.33103448275866</v>
      </c>
      <c r="O24" s="27">
        <v>450.54482758621856</v>
      </c>
      <c r="P24" s="27">
        <v>24.075862068965531</v>
      </c>
      <c r="Q24" s="27">
        <v>274.56551724138609</v>
      </c>
      <c r="R24" s="27">
        <v>10.689655172413786</v>
      </c>
      <c r="S24" s="27">
        <v>11.799999999999988</v>
      </c>
      <c r="T24" s="27">
        <v>41.034482758620676</v>
      </c>
      <c r="U24" s="27">
        <v>724.99310344830474</v>
      </c>
      <c r="V24" s="27">
        <v>593.44137931037369</v>
      </c>
      <c r="W24" s="28">
        <v>750</v>
      </c>
      <c r="X24" s="25" t="s">
        <v>202</v>
      </c>
      <c r="Y24" s="31" t="s">
        <v>203</v>
      </c>
      <c r="Z24" s="25" t="s">
        <v>204</v>
      </c>
      <c r="AA24" s="29" t="s">
        <v>283</v>
      </c>
      <c r="AB24" s="25" t="s">
        <v>202</v>
      </c>
      <c r="AC24" s="31" t="s">
        <v>203</v>
      </c>
      <c r="AD24" s="31" t="s">
        <v>204</v>
      </c>
      <c r="AE24" s="41">
        <v>43440</v>
      </c>
    </row>
    <row r="25" spans="1:31" ht="15.75" x14ac:dyDescent="0.25">
      <c r="A25" s="24" t="s">
        <v>49</v>
      </c>
      <c r="B25" s="25" t="s">
        <v>284</v>
      </c>
      <c r="C25" s="25" t="s">
        <v>285</v>
      </c>
      <c r="D25" s="25" t="s">
        <v>210</v>
      </c>
      <c r="E25" s="30">
        <v>31772</v>
      </c>
      <c r="F25" s="25" t="s">
        <v>211</v>
      </c>
      <c r="G25" s="25" t="s">
        <v>286</v>
      </c>
      <c r="H25" s="25" t="s">
        <v>201</v>
      </c>
      <c r="I25" s="26">
        <v>36.390413223140499</v>
      </c>
      <c r="J25" s="27">
        <v>395.40689655172815</v>
      </c>
      <c r="K25" s="27">
        <v>177.65517241379425</v>
      </c>
      <c r="L25" s="27">
        <v>113.84137931034498</v>
      </c>
      <c r="M25" s="27">
        <v>101.09655172413802</v>
      </c>
      <c r="N25" s="27">
        <v>251.71034482758881</v>
      </c>
      <c r="O25" s="27">
        <v>225.37241379310575</v>
      </c>
      <c r="P25" s="27">
        <v>101.47586206896555</v>
      </c>
      <c r="Q25" s="27">
        <v>209.44137931034521</v>
      </c>
      <c r="R25" s="27">
        <v>164.7034482758628</v>
      </c>
      <c r="S25" s="27">
        <v>83.806896551724265</v>
      </c>
      <c r="T25" s="27">
        <v>106.33793103448289</v>
      </c>
      <c r="U25" s="27">
        <v>433.1517241379351</v>
      </c>
      <c r="V25" s="27">
        <v>474.0068965517284</v>
      </c>
      <c r="W25" s="28"/>
      <c r="X25" s="25" t="s">
        <v>202</v>
      </c>
      <c r="Y25" s="31" t="s">
        <v>287</v>
      </c>
      <c r="Z25" s="25" t="s">
        <v>204</v>
      </c>
      <c r="AA25" s="29" t="s">
        <v>288</v>
      </c>
      <c r="AB25" s="25" t="s">
        <v>202</v>
      </c>
      <c r="AC25" s="31" t="s">
        <v>287</v>
      </c>
      <c r="AD25" s="31" t="s">
        <v>204</v>
      </c>
      <c r="AE25" s="41">
        <v>43265</v>
      </c>
    </row>
    <row r="26" spans="1:31" ht="15.75" x14ac:dyDescent="0.25">
      <c r="A26" s="24" t="s">
        <v>289</v>
      </c>
      <c r="B26" s="25" t="s">
        <v>290</v>
      </c>
      <c r="C26" s="25" t="s">
        <v>291</v>
      </c>
      <c r="D26" s="25" t="s">
        <v>215</v>
      </c>
      <c r="E26" s="30">
        <v>79925</v>
      </c>
      <c r="F26" s="25" t="s">
        <v>268</v>
      </c>
      <c r="G26" s="25" t="s">
        <v>262</v>
      </c>
      <c r="H26" s="25" t="s">
        <v>201</v>
      </c>
      <c r="I26" s="26">
        <v>11.949499346974299</v>
      </c>
      <c r="J26" s="27">
        <v>460.90344827586745</v>
      </c>
      <c r="K26" s="27">
        <v>184.09655172414111</v>
      </c>
      <c r="L26" s="27">
        <v>75.179310344828338</v>
      </c>
      <c r="M26" s="27">
        <v>39.675862068965614</v>
      </c>
      <c r="N26" s="27">
        <v>206.50344827586557</v>
      </c>
      <c r="O26" s="27">
        <v>239.85517241379614</v>
      </c>
      <c r="P26" s="27">
        <v>79.524137931034602</v>
      </c>
      <c r="Q26" s="27">
        <v>233.97241379310427</v>
      </c>
      <c r="R26" s="27">
        <v>68.910344827586854</v>
      </c>
      <c r="S26" s="27">
        <v>55.103448275862988</v>
      </c>
      <c r="T26" s="27">
        <v>161.99310344827737</v>
      </c>
      <c r="U26" s="27">
        <v>473.8482758620749</v>
      </c>
      <c r="V26" s="27">
        <v>398.24137931035494</v>
      </c>
      <c r="W26" s="28">
        <v>600</v>
      </c>
      <c r="X26" s="25" t="s">
        <v>202</v>
      </c>
      <c r="Y26" s="31" t="s">
        <v>203</v>
      </c>
      <c r="Z26" s="25" t="s">
        <v>204</v>
      </c>
      <c r="AA26" s="29" t="s">
        <v>292</v>
      </c>
      <c r="AB26" s="25" t="s">
        <v>202</v>
      </c>
      <c r="AC26" s="31" t="s">
        <v>203</v>
      </c>
      <c r="AD26" s="31" t="s">
        <v>204</v>
      </c>
      <c r="AE26" s="41">
        <v>43447</v>
      </c>
    </row>
    <row r="27" spans="1:31" ht="15.75" x14ac:dyDescent="0.25">
      <c r="A27" s="24" t="s">
        <v>293</v>
      </c>
      <c r="B27" s="25" t="s">
        <v>294</v>
      </c>
      <c r="C27" s="25" t="s">
        <v>295</v>
      </c>
      <c r="D27" s="25" t="s">
        <v>215</v>
      </c>
      <c r="E27" s="30">
        <v>77032</v>
      </c>
      <c r="F27" s="25" t="s">
        <v>272</v>
      </c>
      <c r="G27" s="25" t="s">
        <v>217</v>
      </c>
      <c r="H27" s="25" t="s">
        <v>201</v>
      </c>
      <c r="I27" s="26">
        <v>32.0937591561676</v>
      </c>
      <c r="J27" s="27">
        <v>348.99310344827705</v>
      </c>
      <c r="K27" s="27">
        <v>275.82068965517294</v>
      </c>
      <c r="L27" s="27">
        <v>77.531034482758699</v>
      </c>
      <c r="M27" s="27">
        <v>56.90344827586204</v>
      </c>
      <c r="N27" s="27">
        <v>301.6551724137945</v>
      </c>
      <c r="O27" s="27">
        <v>352.1931034482775</v>
      </c>
      <c r="P27" s="27">
        <v>23.510344827586209</v>
      </c>
      <c r="Q27" s="27">
        <v>81.889655172413811</v>
      </c>
      <c r="R27" s="27">
        <v>75.39310344827588</v>
      </c>
      <c r="S27" s="27">
        <v>100.58620689655176</v>
      </c>
      <c r="T27" s="27">
        <v>153.35862068965525</v>
      </c>
      <c r="U27" s="27">
        <v>429.91034482758863</v>
      </c>
      <c r="V27" s="27">
        <v>508.22758620690769</v>
      </c>
      <c r="W27" s="28">
        <v>750</v>
      </c>
      <c r="X27" s="25" t="s">
        <v>202</v>
      </c>
      <c r="Y27" s="31" t="s">
        <v>203</v>
      </c>
      <c r="Z27" s="25" t="s">
        <v>204</v>
      </c>
      <c r="AA27" s="29" t="s">
        <v>224</v>
      </c>
      <c r="AB27" s="25" t="s">
        <v>202</v>
      </c>
      <c r="AC27" s="31" t="s">
        <v>203</v>
      </c>
      <c r="AD27" s="31" t="s">
        <v>204</v>
      </c>
      <c r="AE27" s="41">
        <v>43475</v>
      </c>
    </row>
    <row r="28" spans="1:31" ht="15.75" x14ac:dyDescent="0.25">
      <c r="A28" s="24" t="s">
        <v>48</v>
      </c>
      <c r="B28" s="25" t="s">
        <v>296</v>
      </c>
      <c r="C28" s="25" t="s">
        <v>297</v>
      </c>
      <c r="D28" s="25" t="s">
        <v>228</v>
      </c>
      <c r="E28" s="30">
        <v>70576</v>
      </c>
      <c r="F28" s="25" t="s">
        <v>229</v>
      </c>
      <c r="G28" s="25" t="s">
        <v>200</v>
      </c>
      <c r="H28" s="25" t="s">
        <v>5</v>
      </c>
      <c r="I28" s="26">
        <v>84.554257095158604</v>
      </c>
      <c r="J28" s="27">
        <v>520.20689655172384</v>
      </c>
      <c r="K28" s="27">
        <v>109.88965517241388</v>
      </c>
      <c r="L28" s="27">
        <v>59.510344827586209</v>
      </c>
      <c r="M28" s="27">
        <v>11.910344827586208</v>
      </c>
      <c r="N28" s="27">
        <v>131.36551724137939</v>
      </c>
      <c r="O28" s="27">
        <v>570.15172413793209</v>
      </c>
      <c r="P28" s="27">
        <v>0</v>
      </c>
      <c r="Q28" s="27">
        <v>0</v>
      </c>
      <c r="R28" s="27">
        <v>28.041379310344837</v>
      </c>
      <c r="S28" s="27">
        <v>19.76551724137931</v>
      </c>
      <c r="T28" s="27">
        <v>83.441379310344828</v>
      </c>
      <c r="U28" s="27">
        <v>570.26896551724246</v>
      </c>
      <c r="V28" s="27">
        <v>349.2551724137947</v>
      </c>
      <c r="W28" s="28"/>
      <c r="X28" s="25" t="s">
        <v>202</v>
      </c>
      <c r="Y28" s="31" t="s">
        <v>203</v>
      </c>
      <c r="Z28" s="25" t="s">
        <v>204</v>
      </c>
      <c r="AA28" s="29" t="s">
        <v>298</v>
      </c>
      <c r="AB28" s="25" t="s">
        <v>202</v>
      </c>
      <c r="AC28" s="31" t="s">
        <v>203</v>
      </c>
      <c r="AD28" s="31" t="s">
        <v>204</v>
      </c>
      <c r="AE28" s="41">
        <v>43216</v>
      </c>
    </row>
    <row r="29" spans="1:31" ht="15.75" x14ac:dyDescent="0.25">
      <c r="A29" s="24" t="s">
        <v>299</v>
      </c>
      <c r="B29" s="25" t="s">
        <v>300</v>
      </c>
      <c r="C29" s="25" t="s">
        <v>301</v>
      </c>
      <c r="D29" s="25" t="s">
        <v>228</v>
      </c>
      <c r="E29" s="30">
        <v>70515</v>
      </c>
      <c r="F29" s="25" t="s">
        <v>229</v>
      </c>
      <c r="G29" s="25" t="s">
        <v>230</v>
      </c>
      <c r="H29" s="25" t="s">
        <v>201</v>
      </c>
      <c r="I29" s="26">
        <v>95.480704697986596</v>
      </c>
      <c r="J29" s="27">
        <v>637.48965517241368</v>
      </c>
      <c r="K29" s="27">
        <v>40.013793103448293</v>
      </c>
      <c r="L29" s="27">
        <v>8.1379310344827598</v>
      </c>
      <c r="M29" s="27">
        <v>1.8137931034482762</v>
      </c>
      <c r="N29" s="27">
        <v>0</v>
      </c>
      <c r="O29" s="27">
        <v>1.3793103448275862E-2</v>
      </c>
      <c r="P29" s="27">
        <v>59.386206896551705</v>
      </c>
      <c r="Q29" s="27">
        <v>628.05517241379334</v>
      </c>
      <c r="R29" s="27">
        <v>6.3724137931034486</v>
      </c>
      <c r="S29" s="27">
        <v>7.5448275862068988</v>
      </c>
      <c r="T29" s="27">
        <v>46.013793103448293</v>
      </c>
      <c r="U29" s="27">
        <v>627.5241379310346</v>
      </c>
      <c r="V29" s="27">
        <v>295.37931034482887</v>
      </c>
      <c r="W29" s="28">
        <v>700</v>
      </c>
      <c r="X29" s="25" t="s">
        <v>202</v>
      </c>
      <c r="Y29" s="31" t="s">
        <v>203</v>
      </c>
      <c r="Z29" s="25" t="s">
        <v>204</v>
      </c>
      <c r="AA29" s="29" t="s">
        <v>280</v>
      </c>
      <c r="AB29" s="25" t="s">
        <v>202</v>
      </c>
      <c r="AC29" s="31" t="s">
        <v>287</v>
      </c>
      <c r="AD29" s="31" t="s">
        <v>204</v>
      </c>
      <c r="AE29" s="41">
        <v>42047</v>
      </c>
    </row>
    <row r="30" spans="1:31" ht="15.75" x14ac:dyDescent="0.25">
      <c r="A30" s="24" t="s">
        <v>302</v>
      </c>
      <c r="B30" s="25" t="s">
        <v>303</v>
      </c>
      <c r="C30" s="25" t="s">
        <v>304</v>
      </c>
      <c r="D30" s="25" t="s">
        <v>198</v>
      </c>
      <c r="E30" s="30">
        <v>92231</v>
      </c>
      <c r="F30" s="25" t="s">
        <v>250</v>
      </c>
      <c r="G30" s="25" t="s">
        <v>217</v>
      </c>
      <c r="H30" s="25" t="s">
        <v>201</v>
      </c>
      <c r="I30" s="26">
        <v>73.606149341142</v>
      </c>
      <c r="J30" s="27">
        <v>584.85517241379694</v>
      </c>
      <c r="K30" s="27">
        <v>7.9103448275862069</v>
      </c>
      <c r="L30" s="27">
        <v>8.7586206896551726</v>
      </c>
      <c r="M30" s="27">
        <v>35.206896551724142</v>
      </c>
      <c r="N30" s="27">
        <v>69.420689655172396</v>
      </c>
      <c r="O30" s="27">
        <v>504.23448275862512</v>
      </c>
      <c r="P30" s="27">
        <v>2</v>
      </c>
      <c r="Q30" s="27">
        <v>61.075862068965556</v>
      </c>
      <c r="R30" s="27">
        <v>49.537931034482732</v>
      </c>
      <c r="S30" s="27">
        <v>8.2413793103448292</v>
      </c>
      <c r="T30" s="27">
        <v>13.648275862068962</v>
      </c>
      <c r="U30" s="27">
        <v>565.30344827586543</v>
      </c>
      <c r="V30" s="27">
        <v>477.7241379310388</v>
      </c>
      <c r="W30" s="28">
        <v>640</v>
      </c>
      <c r="X30" s="25" t="s">
        <v>202</v>
      </c>
      <c r="Y30" s="31" t="s">
        <v>203</v>
      </c>
      <c r="Z30" s="25" t="s">
        <v>204</v>
      </c>
      <c r="AA30" s="29" t="s">
        <v>305</v>
      </c>
      <c r="AB30" s="25" t="s">
        <v>202</v>
      </c>
      <c r="AC30" s="31" t="s">
        <v>203</v>
      </c>
      <c r="AD30" s="31" t="s">
        <v>204</v>
      </c>
      <c r="AE30" s="41">
        <v>43482</v>
      </c>
    </row>
    <row r="31" spans="1:31" ht="15.75" x14ac:dyDescent="0.25">
      <c r="A31" s="24" t="s">
        <v>306</v>
      </c>
      <c r="B31" s="25" t="s">
        <v>307</v>
      </c>
      <c r="C31" s="25" t="s">
        <v>50</v>
      </c>
      <c r="D31" s="25" t="s">
        <v>215</v>
      </c>
      <c r="E31" s="30">
        <v>76009</v>
      </c>
      <c r="F31" s="25" t="s">
        <v>308</v>
      </c>
      <c r="G31" s="25" t="s">
        <v>200</v>
      </c>
      <c r="H31" s="25" t="s">
        <v>201</v>
      </c>
      <c r="I31" s="26">
        <v>22.440909090909098</v>
      </c>
      <c r="J31" s="27">
        <v>319.80689655172989</v>
      </c>
      <c r="K31" s="27">
        <v>102.67586206896587</v>
      </c>
      <c r="L31" s="27">
        <v>115.88275862069011</v>
      </c>
      <c r="M31" s="27">
        <v>84.882758620689884</v>
      </c>
      <c r="N31" s="27">
        <v>292.28965517241676</v>
      </c>
      <c r="O31" s="27">
        <v>273.27586206896831</v>
      </c>
      <c r="P31" s="27">
        <v>28.455172413793122</v>
      </c>
      <c r="Q31" s="27">
        <v>29.227586206896643</v>
      </c>
      <c r="R31" s="27">
        <v>132.21379310344912</v>
      </c>
      <c r="S31" s="27">
        <v>73.993103448276116</v>
      </c>
      <c r="T31" s="27">
        <v>114.4965517241384</v>
      </c>
      <c r="U31" s="27">
        <v>302.54482758621077</v>
      </c>
      <c r="V31" s="27">
        <v>307.43448275862966</v>
      </c>
      <c r="W31" s="28"/>
      <c r="X31" s="25" t="s">
        <v>202</v>
      </c>
      <c r="Y31" s="31" t="s">
        <v>203</v>
      </c>
      <c r="Z31" s="25" t="s">
        <v>204</v>
      </c>
      <c r="AA31" s="29" t="s">
        <v>309</v>
      </c>
      <c r="AB31" s="25" t="s">
        <v>202</v>
      </c>
      <c r="AC31" s="31" t="s">
        <v>203</v>
      </c>
      <c r="AD31" s="31" t="s">
        <v>204</v>
      </c>
      <c r="AE31" s="41">
        <v>43510</v>
      </c>
    </row>
    <row r="32" spans="1:31" ht="15.75" x14ac:dyDescent="0.25">
      <c r="A32" s="24" t="s">
        <v>310</v>
      </c>
      <c r="B32" s="25" t="s">
        <v>311</v>
      </c>
      <c r="C32" s="25" t="s">
        <v>312</v>
      </c>
      <c r="D32" s="25" t="s">
        <v>313</v>
      </c>
      <c r="E32" s="30">
        <v>7105</v>
      </c>
      <c r="F32" s="25" t="s">
        <v>314</v>
      </c>
      <c r="G32" s="25" t="s">
        <v>230</v>
      </c>
      <c r="H32" s="25" t="s">
        <v>5</v>
      </c>
      <c r="I32" s="26">
        <v>96.365708622398401</v>
      </c>
      <c r="J32" s="27">
        <v>15.731034482758627</v>
      </c>
      <c r="K32" s="27">
        <v>21.082758620689663</v>
      </c>
      <c r="L32" s="27">
        <v>357.36551724137945</v>
      </c>
      <c r="M32" s="27">
        <v>222.20000000000002</v>
      </c>
      <c r="N32" s="27">
        <v>356.76551724137971</v>
      </c>
      <c r="O32" s="27">
        <v>258.4413793103451</v>
      </c>
      <c r="P32" s="27">
        <v>1</v>
      </c>
      <c r="Q32" s="27">
        <v>0.17241379310344829</v>
      </c>
      <c r="R32" s="27">
        <v>203.00689655172437</v>
      </c>
      <c r="S32" s="27">
        <v>74.262068965517244</v>
      </c>
      <c r="T32" s="27">
        <v>84.296551724137885</v>
      </c>
      <c r="U32" s="27">
        <v>254.81379310344829</v>
      </c>
      <c r="V32" s="27">
        <v>322.75862068965711</v>
      </c>
      <c r="W32" s="28"/>
      <c r="X32" s="25" t="s">
        <v>202</v>
      </c>
      <c r="Y32" s="31" t="s">
        <v>203</v>
      </c>
      <c r="Z32" s="25" t="s">
        <v>204</v>
      </c>
      <c r="AA32" s="29" t="s">
        <v>240</v>
      </c>
      <c r="AB32" s="25" t="s">
        <v>202</v>
      </c>
      <c r="AC32" s="31" t="s">
        <v>203</v>
      </c>
      <c r="AD32" s="31" t="s">
        <v>204</v>
      </c>
      <c r="AE32" s="41">
        <v>43370</v>
      </c>
    </row>
    <row r="33" spans="1:31" ht="15.75" x14ac:dyDescent="0.25">
      <c r="A33" s="24" t="s">
        <v>315</v>
      </c>
      <c r="B33" s="25" t="s">
        <v>316</v>
      </c>
      <c r="C33" s="25" t="s">
        <v>317</v>
      </c>
      <c r="D33" s="25" t="s">
        <v>318</v>
      </c>
      <c r="E33" s="30">
        <v>23901</v>
      </c>
      <c r="F33" s="25" t="s">
        <v>319</v>
      </c>
      <c r="G33" s="25" t="s">
        <v>200</v>
      </c>
      <c r="H33" s="25" t="s">
        <v>5</v>
      </c>
      <c r="I33" s="26">
        <v>65.619986403806905</v>
      </c>
      <c r="J33" s="27">
        <v>149.04827586206903</v>
      </c>
      <c r="K33" s="27">
        <v>206.29655172413823</v>
      </c>
      <c r="L33" s="27">
        <v>124.848275862069</v>
      </c>
      <c r="M33" s="27">
        <v>127.29655172413786</v>
      </c>
      <c r="N33" s="27">
        <v>360.35172413793134</v>
      </c>
      <c r="O33" s="27">
        <v>246.13793103448288</v>
      </c>
      <c r="P33" s="27">
        <v>1</v>
      </c>
      <c r="Q33" s="27">
        <v>0</v>
      </c>
      <c r="R33" s="27">
        <v>150.22758620689658</v>
      </c>
      <c r="S33" s="27">
        <v>103.28965517241373</v>
      </c>
      <c r="T33" s="27">
        <v>107.68275862068967</v>
      </c>
      <c r="U33" s="27">
        <v>246.28965517241392</v>
      </c>
      <c r="V33" s="27">
        <v>299.72413793103613</v>
      </c>
      <c r="W33" s="28">
        <v>500</v>
      </c>
      <c r="X33" s="25" t="s">
        <v>202</v>
      </c>
      <c r="Y33" s="31" t="s">
        <v>203</v>
      </c>
      <c r="Z33" s="25" t="s">
        <v>204</v>
      </c>
      <c r="AA33" s="29" t="s">
        <v>218</v>
      </c>
      <c r="AB33" s="25" t="s">
        <v>202</v>
      </c>
      <c r="AC33" s="31" t="s">
        <v>203</v>
      </c>
      <c r="AD33" s="31" t="s">
        <v>204</v>
      </c>
      <c r="AE33" s="41">
        <v>43167</v>
      </c>
    </row>
    <row r="34" spans="1:31" ht="15.75" x14ac:dyDescent="0.25">
      <c r="A34" s="24" t="s">
        <v>320</v>
      </c>
      <c r="B34" s="25" t="s">
        <v>321</v>
      </c>
      <c r="C34" s="25" t="s">
        <v>322</v>
      </c>
      <c r="D34" s="25" t="s">
        <v>323</v>
      </c>
      <c r="E34" s="30">
        <v>33194</v>
      </c>
      <c r="F34" s="25" t="s">
        <v>36</v>
      </c>
      <c r="G34" s="25" t="s">
        <v>262</v>
      </c>
      <c r="H34" s="25" t="s">
        <v>5</v>
      </c>
      <c r="I34" s="26">
        <v>23.5227089492072</v>
      </c>
      <c r="J34" s="27">
        <v>150.11034482758649</v>
      </c>
      <c r="K34" s="27">
        <v>75.95172413793108</v>
      </c>
      <c r="L34" s="27">
        <v>191.50344827586326</v>
      </c>
      <c r="M34" s="27">
        <v>186.98620689655277</v>
      </c>
      <c r="N34" s="27">
        <v>372.67586206897107</v>
      </c>
      <c r="O34" s="27">
        <v>231.87586206896799</v>
      </c>
      <c r="P34" s="27">
        <v>0</v>
      </c>
      <c r="Q34" s="27">
        <v>0</v>
      </c>
      <c r="R34" s="27">
        <v>185.08275862069047</v>
      </c>
      <c r="S34" s="27">
        <v>92.696551724138004</v>
      </c>
      <c r="T34" s="27">
        <v>95.206896551724228</v>
      </c>
      <c r="U34" s="27">
        <v>231.56551724138183</v>
      </c>
      <c r="V34" s="27">
        <v>419.26896551725645</v>
      </c>
      <c r="W34" s="28">
        <v>450</v>
      </c>
      <c r="X34" s="25" t="s">
        <v>202</v>
      </c>
      <c r="Y34" s="31" t="s">
        <v>203</v>
      </c>
      <c r="Z34" s="25" t="s">
        <v>206</v>
      </c>
      <c r="AA34" s="29" t="s">
        <v>309</v>
      </c>
      <c r="AB34" s="25" t="s">
        <v>202</v>
      </c>
      <c r="AC34" s="31" t="s">
        <v>203</v>
      </c>
      <c r="AD34" s="31" t="s">
        <v>204</v>
      </c>
      <c r="AE34" s="41">
        <v>43510</v>
      </c>
    </row>
    <row r="35" spans="1:31" ht="15.75" x14ac:dyDescent="0.25">
      <c r="A35" s="24" t="s">
        <v>324</v>
      </c>
      <c r="B35" s="25" t="s">
        <v>325</v>
      </c>
      <c r="C35" s="25" t="s">
        <v>51</v>
      </c>
      <c r="D35" s="25" t="s">
        <v>326</v>
      </c>
      <c r="E35" s="30">
        <v>80010</v>
      </c>
      <c r="F35" s="25" t="s">
        <v>327</v>
      </c>
      <c r="G35" s="25" t="s">
        <v>217</v>
      </c>
      <c r="H35" s="25" t="s">
        <v>201</v>
      </c>
      <c r="I35" s="26">
        <v>86.632699619771898</v>
      </c>
      <c r="J35" s="27">
        <v>298.39310344827589</v>
      </c>
      <c r="K35" s="27">
        <v>64.993103448275875</v>
      </c>
      <c r="L35" s="27">
        <v>144.14482758620673</v>
      </c>
      <c r="M35" s="27">
        <v>85.841379310344806</v>
      </c>
      <c r="N35" s="27">
        <v>259.58620689655237</v>
      </c>
      <c r="O35" s="27">
        <v>302.53793103448294</v>
      </c>
      <c r="P35" s="27">
        <v>6.2620689655172406</v>
      </c>
      <c r="Q35" s="27">
        <v>24.986206896551717</v>
      </c>
      <c r="R35" s="27">
        <v>126.32413793103449</v>
      </c>
      <c r="S35" s="27">
        <v>85.510344827586152</v>
      </c>
      <c r="T35" s="27">
        <v>53.351724137931015</v>
      </c>
      <c r="U35" s="27">
        <v>328.18620689655194</v>
      </c>
      <c r="V35" s="27">
        <v>343.75862068965739</v>
      </c>
      <c r="W35" s="28">
        <v>525</v>
      </c>
      <c r="X35" s="25" t="s">
        <v>202</v>
      </c>
      <c r="Y35" s="31" t="s">
        <v>203</v>
      </c>
      <c r="Z35" s="25" t="s">
        <v>204</v>
      </c>
      <c r="AA35" s="29" t="s">
        <v>328</v>
      </c>
      <c r="AB35" s="25" t="s">
        <v>202</v>
      </c>
      <c r="AC35" s="31" t="s">
        <v>203</v>
      </c>
      <c r="AD35" s="31" t="s">
        <v>204</v>
      </c>
      <c r="AE35" s="41">
        <v>43377</v>
      </c>
    </row>
    <row r="36" spans="1:31" ht="15.75" x14ac:dyDescent="0.25">
      <c r="A36" s="24" t="s">
        <v>329</v>
      </c>
      <c r="B36" s="25" t="s">
        <v>330</v>
      </c>
      <c r="C36" s="25" t="s">
        <v>331</v>
      </c>
      <c r="D36" s="25" t="s">
        <v>210</v>
      </c>
      <c r="E36" s="30">
        <v>31537</v>
      </c>
      <c r="F36" s="25" t="s">
        <v>211</v>
      </c>
      <c r="G36" s="25" t="s">
        <v>200</v>
      </c>
      <c r="H36" s="25" t="s">
        <v>5</v>
      </c>
      <c r="I36" s="26">
        <v>69.763118440779607</v>
      </c>
      <c r="J36" s="27">
        <v>391.69655172413934</v>
      </c>
      <c r="K36" s="27">
        <v>125.64827586206901</v>
      </c>
      <c r="L36" s="27">
        <v>19.158620689655166</v>
      </c>
      <c r="M36" s="27">
        <v>6.7586206896551717</v>
      </c>
      <c r="N36" s="27">
        <v>164.20000000000041</v>
      </c>
      <c r="O36" s="27">
        <v>378.62068965517381</v>
      </c>
      <c r="P36" s="27">
        <v>0</v>
      </c>
      <c r="Q36" s="27">
        <v>0.44137931034482758</v>
      </c>
      <c r="R36" s="27">
        <v>26.868965517241364</v>
      </c>
      <c r="S36" s="27">
        <v>43.71724137931033</v>
      </c>
      <c r="T36" s="27">
        <v>94.413793103448327</v>
      </c>
      <c r="U36" s="27">
        <v>378.26206896551861</v>
      </c>
      <c r="V36" s="27">
        <v>251.04827586206946</v>
      </c>
      <c r="W36" s="28">
        <v>544</v>
      </c>
      <c r="X36" s="25" t="s">
        <v>202</v>
      </c>
      <c r="Y36" s="31" t="s">
        <v>203</v>
      </c>
      <c r="Z36" s="25" t="s">
        <v>204</v>
      </c>
      <c r="AA36" s="29" t="s">
        <v>332</v>
      </c>
      <c r="AB36" s="25" t="s">
        <v>202</v>
      </c>
      <c r="AC36" s="31" t="s">
        <v>203</v>
      </c>
      <c r="AD36" s="31" t="s">
        <v>204</v>
      </c>
      <c r="AE36" s="41">
        <v>42817</v>
      </c>
    </row>
    <row r="37" spans="1:31" ht="15.75" x14ac:dyDescent="0.25">
      <c r="A37" s="24" t="s">
        <v>9</v>
      </c>
      <c r="B37" s="25" t="s">
        <v>333</v>
      </c>
      <c r="C37" s="25" t="s">
        <v>334</v>
      </c>
      <c r="D37" s="25" t="s">
        <v>323</v>
      </c>
      <c r="E37" s="30">
        <v>33073</v>
      </c>
      <c r="F37" s="25" t="s">
        <v>36</v>
      </c>
      <c r="G37" s="25" t="s">
        <v>217</v>
      </c>
      <c r="H37" s="25" t="s">
        <v>201</v>
      </c>
      <c r="I37" s="26">
        <v>36.425178147268397</v>
      </c>
      <c r="J37" s="27">
        <v>477.38620689655431</v>
      </c>
      <c r="K37" s="27">
        <v>40.710344827586219</v>
      </c>
      <c r="L37" s="27">
        <v>0.14482758620689656</v>
      </c>
      <c r="M37" s="27">
        <v>0</v>
      </c>
      <c r="N37" s="27">
        <v>82.689655172413765</v>
      </c>
      <c r="O37" s="27">
        <v>347.52413793103528</v>
      </c>
      <c r="P37" s="27">
        <v>5.5862068965517242</v>
      </c>
      <c r="Q37" s="27">
        <v>82.441379310344729</v>
      </c>
      <c r="R37" s="27">
        <v>1.7448275862068967</v>
      </c>
      <c r="S37" s="27">
        <v>21.65517241379311</v>
      </c>
      <c r="T37" s="27">
        <v>65.855172413793113</v>
      </c>
      <c r="U37" s="27">
        <v>428.9862068965536</v>
      </c>
      <c r="V37" s="27">
        <v>263.26206896551889</v>
      </c>
      <c r="W37" s="28">
        <v>700</v>
      </c>
      <c r="X37" s="25" t="s">
        <v>202</v>
      </c>
      <c r="Y37" s="31" t="s">
        <v>203</v>
      </c>
      <c r="Z37" s="25" t="s">
        <v>204</v>
      </c>
      <c r="AA37" s="29" t="s">
        <v>335</v>
      </c>
      <c r="AB37" s="25" t="s">
        <v>202</v>
      </c>
      <c r="AC37" s="31" t="s">
        <v>203</v>
      </c>
      <c r="AD37" s="31" t="s">
        <v>204</v>
      </c>
      <c r="AE37" s="41">
        <v>43405</v>
      </c>
    </row>
    <row r="38" spans="1:31" ht="15.75" x14ac:dyDescent="0.25">
      <c r="A38" s="24" t="s">
        <v>12</v>
      </c>
      <c r="B38" s="25" t="s">
        <v>336</v>
      </c>
      <c r="C38" s="25" t="s">
        <v>337</v>
      </c>
      <c r="D38" s="25" t="s">
        <v>228</v>
      </c>
      <c r="E38" s="30">
        <v>71430</v>
      </c>
      <c r="F38" s="25" t="s">
        <v>229</v>
      </c>
      <c r="G38" s="25" t="s">
        <v>230</v>
      </c>
      <c r="H38" s="25" t="s">
        <v>5</v>
      </c>
      <c r="I38" s="26">
        <v>20.744</v>
      </c>
      <c r="J38" s="27">
        <v>335.60689655172649</v>
      </c>
      <c r="K38" s="27">
        <v>100.95172413793091</v>
      </c>
      <c r="L38" s="27">
        <v>56.310344827586185</v>
      </c>
      <c r="M38" s="27">
        <v>18.372413793103441</v>
      </c>
      <c r="N38" s="27">
        <v>165.96551724137902</v>
      </c>
      <c r="O38" s="27">
        <v>345.2758620689691</v>
      </c>
      <c r="P38" s="27">
        <v>0</v>
      </c>
      <c r="Q38" s="27">
        <v>0</v>
      </c>
      <c r="R38" s="27">
        <v>33.144827586206929</v>
      </c>
      <c r="S38" s="27">
        <v>28.558620689655168</v>
      </c>
      <c r="T38" s="27">
        <v>103.95172413793081</v>
      </c>
      <c r="U38" s="27">
        <v>345.58620689655527</v>
      </c>
      <c r="V38" s="27">
        <v>501.71724137931812</v>
      </c>
      <c r="W38" s="28">
        <v>625</v>
      </c>
      <c r="X38" s="25" t="s">
        <v>202</v>
      </c>
      <c r="Y38" s="31" t="s">
        <v>203</v>
      </c>
      <c r="Z38" s="25" t="s">
        <v>204</v>
      </c>
      <c r="AA38" s="29" t="s">
        <v>338</v>
      </c>
      <c r="AB38" s="25" t="s">
        <v>202</v>
      </c>
      <c r="AC38" s="31" t="s">
        <v>339</v>
      </c>
      <c r="AD38" s="31" t="s">
        <v>340</v>
      </c>
      <c r="AE38" s="41">
        <v>39190</v>
      </c>
    </row>
    <row r="39" spans="1:31" ht="15.75" x14ac:dyDescent="0.25">
      <c r="A39" s="24" t="s">
        <v>341</v>
      </c>
      <c r="B39" s="25" t="s">
        <v>342</v>
      </c>
      <c r="C39" s="25" t="s">
        <v>343</v>
      </c>
      <c r="D39" s="25" t="s">
        <v>344</v>
      </c>
      <c r="E39" s="30">
        <v>17402</v>
      </c>
      <c r="F39" s="25" t="s">
        <v>345</v>
      </c>
      <c r="G39" s="25" t="s">
        <v>230</v>
      </c>
      <c r="H39" s="25" t="s">
        <v>201</v>
      </c>
      <c r="I39" s="26">
        <v>55.540038436899401</v>
      </c>
      <c r="J39" s="27">
        <v>147.8758620689656</v>
      </c>
      <c r="K39" s="27">
        <v>130.46896551724146</v>
      </c>
      <c r="L39" s="27">
        <v>115.97241379310351</v>
      </c>
      <c r="M39" s="27">
        <v>95.441379310344814</v>
      </c>
      <c r="N39" s="27">
        <v>298.84137931034621</v>
      </c>
      <c r="O39" s="27">
        <v>154.57241379310349</v>
      </c>
      <c r="P39" s="27">
        <v>16.606896551724141</v>
      </c>
      <c r="Q39" s="27">
        <v>19.737931034482752</v>
      </c>
      <c r="R39" s="27">
        <v>151.57241379310386</v>
      </c>
      <c r="S39" s="27">
        <v>83.848275862068988</v>
      </c>
      <c r="T39" s="27">
        <v>77.620689655172356</v>
      </c>
      <c r="U39" s="27">
        <v>176.71724137931071</v>
      </c>
      <c r="V39" s="27">
        <v>345.70344827586416</v>
      </c>
      <c r="W39" s="28"/>
      <c r="X39" s="25" t="s">
        <v>202</v>
      </c>
      <c r="Y39" s="31" t="s">
        <v>287</v>
      </c>
      <c r="Z39" s="25" t="s">
        <v>204</v>
      </c>
      <c r="AA39" s="29" t="s">
        <v>346</v>
      </c>
      <c r="AB39" s="25" t="s">
        <v>202</v>
      </c>
      <c r="AC39" s="31" t="s">
        <v>287</v>
      </c>
      <c r="AD39" s="31" t="s">
        <v>204</v>
      </c>
      <c r="AE39" s="41">
        <v>43391</v>
      </c>
    </row>
    <row r="40" spans="1:31" ht="15.75" x14ac:dyDescent="0.25">
      <c r="A40" s="24" t="s">
        <v>21</v>
      </c>
      <c r="B40" s="25" t="s">
        <v>347</v>
      </c>
      <c r="C40" s="25" t="s">
        <v>42</v>
      </c>
      <c r="D40" s="25" t="s">
        <v>215</v>
      </c>
      <c r="E40" s="30">
        <v>76574</v>
      </c>
      <c r="F40" s="25" t="s">
        <v>216</v>
      </c>
      <c r="G40" s="25" t="s">
        <v>222</v>
      </c>
      <c r="H40" s="25" t="s">
        <v>11</v>
      </c>
      <c r="I40" s="26">
        <v>83.735099337748295</v>
      </c>
      <c r="J40" s="27">
        <v>484.28965517241284</v>
      </c>
      <c r="K40" s="27">
        <v>3.5517241379310347</v>
      </c>
      <c r="L40" s="27">
        <v>0</v>
      </c>
      <c r="M40" s="27">
        <v>0</v>
      </c>
      <c r="N40" s="27">
        <v>0</v>
      </c>
      <c r="O40" s="27">
        <v>1.1448275862068966</v>
      </c>
      <c r="P40" s="27">
        <v>12.751724137931037</v>
      </c>
      <c r="Q40" s="27">
        <v>473.94482758620597</v>
      </c>
      <c r="R40" s="27">
        <v>0</v>
      </c>
      <c r="S40" s="27">
        <v>0.14482758620689656</v>
      </c>
      <c r="T40" s="27">
        <v>12.606896551724139</v>
      </c>
      <c r="U40" s="27">
        <v>475.0896551724129</v>
      </c>
      <c r="V40" s="27">
        <v>269.11724137930992</v>
      </c>
      <c r="W40" s="28"/>
      <c r="X40" s="25" t="s">
        <v>202</v>
      </c>
      <c r="Y40" s="31" t="s">
        <v>223</v>
      </c>
      <c r="Z40" s="25" t="s">
        <v>206</v>
      </c>
      <c r="AA40" s="29" t="s">
        <v>348</v>
      </c>
      <c r="AB40" s="25" t="s">
        <v>232</v>
      </c>
      <c r="AC40" s="31"/>
      <c r="AD40" s="31"/>
      <c r="AE40" s="41"/>
    </row>
    <row r="41" spans="1:31" ht="15.75" x14ac:dyDescent="0.25">
      <c r="A41" s="24" t="s">
        <v>349</v>
      </c>
      <c r="B41" s="25" t="s">
        <v>233</v>
      </c>
      <c r="C41" s="25" t="s">
        <v>40</v>
      </c>
      <c r="D41" s="25" t="s">
        <v>234</v>
      </c>
      <c r="E41" s="30">
        <v>85131</v>
      </c>
      <c r="F41" s="25" t="s">
        <v>235</v>
      </c>
      <c r="G41" s="25" t="s">
        <v>230</v>
      </c>
      <c r="H41" s="25" t="s">
        <v>5</v>
      </c>
      <c r="I41" s="26">
        <v>73.253856041131101</v>
      </c>
      <c r="J41" s="27">
        <v>346.09655172414335</v>
      </c>
      <c r="K41" s="27">
        <v>70.924137931034508</v>
      </c>
      <c r="L41" s="27">
        <v>36.137931034482769</v>
      </c>
      <c r="M41" s="27">
        <v>24.862068965517221</v>
      </c>
      <c r="N41" s="27">
        <v>123.48275862068986</v>
      </c>
      <c r="O41" s="27">
        <v>354.53793103448766</v>
      </c>
      <c r="P41" s="27">
        <v>0</v>
      </c>
      <c r="Q41" s="27">
        <v>0</v>
      </c>
      <c r="R41" s="27">
        <v>27.882758620689636</v>
      </c>
      <c r="S41" s="27">
        <v>17.731034482758606</v>
      </c>
      <c r="T41" s="27">
        <v>77.786206896551747</v>
      </c>
      <c r="U41" s="27">
        <v>354.62068965517727</v>
      </c>
      <c r="V41" s="27">
        <v>238.49655172413907</v>
      </c>
      <c r="W41" s="28">
        <v>650</v>
      </c>
      <c r="X41" s="25" t="s">
        <v>232</v>
      </c>
      <c r="Y41" s="31"/>
      <c r="Z41" s="25"/>
      <c r="AA41" s="29" t="s">
        <v>350</v>
      </c>
      <c r="AB41" s="25" t="s">
        <v>232</v>
      </c>
      <c r="AC41" s="31"/>
      <c r="AD41" s="31"/>
      <c r="AE41" s="41"/>
    </row>
    <row r="42" spans="1:31" ht="15.75" x14ac:dyDescent="0.25">
      <c r="A42" s="24" t="s">
        <v>351</v>
      </c>
      <c r="B42" s="25" t="s">
        <v>352</v>
      </c>
      <c r="C42" s="25" t="s">
        <v>271</v>
      </c>
      <c r="D42" s="25" t="s">
        <v>215</v>
      </c>
      <c r="E42" s="30">
        <v>77301</v>
      </c>
      <c r="F42" s="25" t="s">
        <v>272</v>
      </c>
      <c r="G42" s="25" t="s">
        <v>230</v>
      </c>
      <c r="H42" s="25" t="s">
        <v>201</v>
      </c>
      <c r="I42" s="26">
        <v>70.173197492162998</v>
      </c>
      <c r="J42" s="27">
        <v>383.04827586206846</v>
      </c>
      <c r="K42" s="27">
        <v>52.689655172413786</v>
      </c>
      <c r="L42" s="27">
        <v>12.50344827586207</v>
      </c>
      <c r="M42" s="27">
        <v>14.537931034482762</v>
      </c>
      <c r="N42" s="27">
        <v>56.186206896551731</v>
      </c>
      <c r="O42" s="27">
        <v>231.5379310344828</v>
      </c>
      <c r="P42" s="27">
        <v>20.089655172413796</v>
      </c>
      <c r="Q42" s="27">
        <v>154.96551724137944</v>
      </c>
      <c r="R42" s="27">
        <v>17.579310344827583</v>
      </c>
      <c r="S42" s="27">
        <v>8.0137931034482772</v>
      </c>
      <c r="T42" s="27">
        <v>53.07586206896552</v>
      </c>
      <c r="U42" s="27">
        <v>384.11034482758555</v>
      </c>
      <c r="V42" s="27">
        <v>315.56551724138018</v>
      </c>
      <c r="W42" s="28"/>
      <c r="X42" s="25" t="s">
        <v>202</v>
      </c>
      <c r="Y42" s="31" t="s">
        <v>203</v>
      </c>
      <c r="Z42" s="25" t="s">
        <v>204</v>
      </c>
      <c r="AA42" s="29" t="s">
        <v>353</v>
      </c>
      <c r="AB42" s="25" t="s">
        <v>202</v>
      </c>
      <c r="AC42" s="31" t="s">
        <v>203</v>
      </c>
      <c r="AD42" s="31" t="s">
        <v>204</v>
      </c>
      <c r="AE42" s="41">
        <v>43420</v>
      </c>
    </row>
    <row r="43" spans="1:31" ht="15.75" x14ac:dyDescent="0.25">
      <c r="A43" s="24" t="s">
        <v>8</v>
      </c>
      <c r="B43" s="25" t="s">
        <v>354</v>
      </c>
      <c r="C43" s="25" t="s">
        <v>355</v>
      </c>
      <c r="D43" s="25" t="s">
        <v>228</v>
      </c>
      <c r="E43" s="30">
        <v>71465</v>
      </c>
      <c r="F43" s="25" t="s">
        <v>229</v>
      </c>
      <c r="G43" s="25" t="s">
        <v>230</v>
      </c>
      <c r="H43" s="25" t="s">
        <v>201</v>
      </c>
      <c r="I43" s="26">
        <v>13.4566473988439</v>
      </c>
      <c r="J43" s="27">
        <v>318.57241379310875</v>
      </c>
      <c r="K43" s="27">
        <v>54.80689655172408</v>
      </c>
      <c r="L43" s="27">
        <v>56.751724137931113</v>
      </c>
      <c r="M43" s="27">
        <v>24.593103448275865</v>
      </c>
      <c r="N43" s="27">
        <v>125.45517241379328</v>
      </c>
      <c r="O43" s="27">
        <v>329.26896551724775</v>
      </c>
      <c r="P43" s="27">
        <v>0</v>
      </c>
      <c r="Q43" s="27">
        <v>0</v>
      </c>
      <c r="R43" s="27">
        <v>51.944827586206898</v>
      </c>
      <c r="S43" s="27">
        <v>26.482758620689637</v>
      </c>
      <c r="T43" s="27">
        <v>46.958620689655199</v>
      </c>
      <c r="U43" s="27">
        <v>329.3379310344892</v>
      </c>
      <c r="V43" s="27">
        <v>450.81379310346227</v>
      </c>
      <c r="W43" s="28">
        <v>550</v>
      </c>
      <c r="X43" s="25" t="s">
        <v>202</v>
      </c>
      <c r="Y43" s="31" t="s">
        <v>203</v>
      </c>
      <c r="Z43" s="25" t="s">
        <v>204</v>
      </c>
      <c r="AA43" s="29" t="s">
        <v>353</v>
      </c>
      <c r="AB43" s="25" t="s">
        <v>232</v>
      </c>
      <c r="AC43" s="31"/>
      <c r="AD43" s="31"/>
      <c r="AE43" s="41"/>
    </row>
    <row r="44" spans="1:31" ht="15.75" x14ac:dyDescent="0.25">
      <c r="A44" s="24" t="s">
        <v>356</v>
      </c>
      <c r="B44" s="25" t="s">
        <v>357</v>
      </c>
      <c r="C44" s="25" t="s">
        <v>358</v>
      </c>
      <c r="D44" s="25" t="s">
        <v>359</v>
      </c>
      <c r="E44" s="30">
        <v>14020</v>
      </c>
      <c r="F44" s="25" t="s">
        <v>360</v>
      </c>
      <c r="G44" s="25" t="s">
        <v>262</v>
      </c>
      <c r="H44" s="25" t="s">
        <v>201</v>
      </c>
      <c r="I44" s="26">
        <v>90.170387779083399</v>
      </c>
      <c r="J44" s="27">
        <v>166.6827586206897</v>
      </c>
      <c r="K44" s="27">
        <v>99.731034482758545</v>
      </c>
      <c r="L44" s="27">
        <v>72.558620689655143</v>
      </c>
      <c r="M44" s="27">
        <v>97.158620689655123</v>
      </c>
      <c r="N44" s="27">
        <v>247.61379310344816</v>
      </c>
      <c r="O44" s="27">
        <v>134.60000000000019</v>
      </c>
      <c r="P44" s="27">
        <v>19.751724137931042</v>
      </c>
      <c r="Q44" s="27">
        <v>34.165517241379312</v>
      </c>
      <c r="R44" s="27">
        <v>161.24827586206911</v>
      </c>
      <c r="S44" s="27">
        <v>39.351724137931043</v>
      </c>
      <c r="T44" s="27">
        <v>67.213793103448253</v>
      </c>
      <c r="U44" s="27">
        <v>168.3172413793105</v>
      </c>
      <c r="V44" s="27">
        <v>312.5931034482777</v>
      </c>
      <c r="W44" s="28">
        <v>400</v>
      </c>
      <c r="X44" s="25" t="s">
        <v>202</v>
      </c>
      <c r="Y44" s="31" t="s">
        <v>203</v>
      </c>
      <c r="Z44" s="25" t="s">
        <v>204</v>
      </c>
      <c r="AA44" s="29" t="s">
        <v>361</v>
      </c>
      <c r="AB44" s="25" t="s">
        <v>202</v>
      </c>
      <c r="AC44" s="31" t="s">
        <v>203</v>
      </c>
      <c r="AD44" s="31" t="s">
        <v>204</v>
      </c>
      <c r="AE44" s="41">
        <v>43181</v>
      </c>
    </row>
    <row r="45" spans="1:31" ht="15.75" x14ac:dyDescent="0.25">
      <c r="A45" s="24" t="s">
        <v>20</v>
      </c>
      <c r="B45" s="25" t="s">
        <v>362</v>
      </c>
      <c r="C45" s="25" t="s">
        <v>363</v>
      </c>
      <c r="D45" s="25" t="s">
        <v>323</v>
      </c>
      <c r="E45" s="30">
        <v>33471</v>
      </c>
      <c r="F45" s="25" t="s">
        <v>36</v>
      </c>
      <c r="G45" s="25" t="s">
        <v>230</v>
      </c>
      <c r="H45" s="25" t="s">
        <v>201</v>
      </c>
      <c r="I45" s="26">
        <v>55.744525547445299</v>
      </c>
      <c r="J45" s="27">
        <v>1.7793103448275862</v>
      </c>
      <c r="K45" s="27">
        <v>55.924137931034494</v>
      </c>
      <c r="L45" s="27">
        <v>191.06206896551717</v>
      </c>
      <c r="M45" s="27">
        <v>177.86206896551741</v>
      </c>
      <c r="N45" s="27">
        <v>285.13793103448324</v>
      </c>
      <c r="O45" s="27">
        <v>76.131034482758636</v>
      </c>
      <c r="P45" s="27">
        <v>39.227586206896568</v>
      </c>
      <c r="Q45" s="27">
        <v>26.131034482758626</v>
      </c>
      <c r="R45" s="27">
        <v>180.49655172413796</v>
      </c>
      <c r="S45" s="27">
        <v>77.296551724137942</v>
      </c>
      <c r="T45" s="27">
        <v>66.531034482758614</v>
      </c>
      <c r="U45" s="27">
        <v>102.30344827586204</v>
      </c>
      <c r="V45" s="27">
        <v>267.61379310344955</v>
      </c>
      <c r="W45" s="28"/>
      <c r="X45" s="25" t="s">
        <v>202</v>
      </c>
      <c r="Y45" s="31" t="s">
        <v>339</v>
      </c>
      <c r="Z45" s="25" t="s">
        <v>364</v>
      </c>
      <c r="AA45" s="29" t="s">
        <v>365</v>
      </c>
      <c r="AB45" s="25" t="s">
        <v>202</v>
      </c>
      <c r="AC45" s="31" t="s">
        <v>339</v>
      </c>
      <c r="AD45" s="31" t="s">
        <v>364</v>
      </c>
      <c r="AE45" s="41">
        <v>43174</v>
      </c>
    </row>
    <row r="46" spans="1:31" ht="15.75" x14ac:dyDescent="0.25">
      <c r="A46" s="24" t="s">
        <v>17</v>
      </c>
      <c r="B46" s="25" t="s">
        <v>366</v>
      </c>
      <c r="C46" s="25" t="s">
        <v>367</v>
      </c>
      <c r="D46" s="25" t="s">
        <v>215</v>
      </c>
      <c r="E46" s="30">
        <v>78046</v>
      </c>
      <c r="F46" s="25" t="s">
        <v>216</v>
      </c>
      <c r="G46" s="25" t="s">
        <v>251</v>
      </c>
      <c r="H46" s="25" t="s">
        <v>5</v>
      </c>
      <c r="I46" s="26">
        <v>29.0333089311859</v>
      </c>
      <c r="J46" s="27">
        <v>378.61379310345927</v>
      </c>
      <c r="K46" s="27">
        <v>19.358620689655176</v>
      </c>
      <c r="L46" s="27">
        <v>5.068965517241379</v>
      </c>
      <c r="M46" s="27">
        <v>8.5448275862068961</v>
      </c>
      <c r="N46" s="27">
        <v>62.682758620689633</v>
      </c>
      <c r="O46" s="27">
        <v>348.78620689656213</v>
      </c>
      <c r="P46" s="27">
        <v>0</v>
      </c>
      <c r="Q46" s="27">
        <v>0.11724137931034483</v>
      </c>
      <c r="R46" s="27">
        <v>6.7931034482758648</v>
      </c>
      <c r="S46" s="27">
        <v>9.1034482758620658</v>
      </c>
      <c r="T46" s="27">
        <v>47.151724137931055</v>
      </c>
      <c r="U46" s="27">
        <v>348.53793103449323</v>
      </c>
      <c r="V46" s="27">
        <v>334.53103448276789</v>
      </c>
      <c r="W46" s="28">
        <v>275</v>
      </c>
      <c r="X46" s="25" t="s">
        <v>202</v>
      </c>
      <c r="Y46" s="31" t="s">
        <v>287</v>
      </c>
      <c r="Z46" s="25" t="s">
        <v>204</v>
      </c>
      <c r="AA46" s="29" t="s">
        <v>365</v>
      </c>
      <c r="AB46" s="25" t="s">
        <v>202</v>
      </c>
      <c r="AC46" s="31" t="s">
        <v>287</v>
      </c>
      <c r="AD46" s="31" t="s">
        <v>204</v>
      </c>
      <c r="AE46" s="41">
        <v>43174</v>
      </c>
    </row>
    <row r="47" spans="1:31" ht="15.75" x14ac:dyDescent="0.25">
      <c r="A47" s="24" t="s">
        <v>368</v>
      </c>
      <c r="B47" s="25" t="s">
        <v>369</v>
      </c>
      <c r="C47" s="25" t="s">
        <v>370</v>
      </c>
      <c r="D47" s="25" t="s">
        <v>228</v>
      </c>
      <c r="E47" s="30">
        <v>71334</v>
      </c>
      <c r="F47" s="25" t="s">
        <v>229</v>
      </c>
      <c r="G47" s="25" t="s">
        <v>230</v>
      </c>
      <c r="H47" s="25" t="s">
        <v>5</v>
      </c>
      <c r="I47" s="26">
        <v>105.53214638971301</v>
      </c>
      <c r="J47" s="27">
        <v>379.70344827586212</v>
      </c>
      <c r="K47" s="27">
        <v>26.04137931034483</v>
      </c>
      <c r="L47" s="27">
        <v>2.0551724137931036</v>
      </c>
      <c r="M47" s="27">
        <v>1.8482758620689657</v>
      </c>
      <c r="N47" s="27">
        <v>28.999999999999996</v>
      </c>
      <c r="O47" s="27">
        <v>380.64827586206911</v>
      </c>
      <c r="P47" s="27">
        <v>0</v>
      </c>
      <c r="Q47" s="27">
        <v>0</v>
      </c>
      <c r="R47" s="27">
        <v>1.9172413793103451</v>
      </c>
      <c r="S47" s="27">
        <v>0.81379310344827582</v>
      </c>
      <c r="T47" s="27">
        <v>26.26896551724138</v>
      </c>
      <c r="U47" s="27">
        <v>380.64827586206911</v>
      </c>
      <c r="V47" s="27">
        <v>286.23448275862108</v>
      </c>
      <c r="W47" s="28"/>
      <c r="X47" s="25" t="s">
        <v>202</v>
      </c>
      <c r="Y47" s="31" t="s">
        <v>339</v>
      </c>
      <c r="Z47" s="25" t="s">
        <v>364</v>
      </c>
      <c r="AA47" s="29" t="s">
        <v>283</v>
      </c>
      <c r="AB47" s="25" t="s">
        <v>202</v>
      </c>
      <c r="AC47" s="31" t="s">
        <v>339</v>
      </c>
      <c r="AD47" s="31" t="s">
        <v>371</v>
      </c>
      <c r="AE47" s="41">
        <v>43538</v>
      </c>
    </row>
    <row r="48" spans="1:31" ht="15.75" x14ac:dyDescent="0.25">
      <c r="A48" s="24" t="s">
        <v>372</v>
      </c>
      <c r="B48" s="25" t="s">
        <v>373</v>
      </c>
      <c r="C48" s="25" t="s">
        <v>374</v>
      </c>
      <c r="D48" s="25" t="s">
        <v>215</v>
      </c>
      <c r="E48" s="30">
        <v>77351</v>
      </c>
      <c r="F48" s="25" t="s">
        <v>272</v>
      </c>
      <c r="G48" s="25" t="s">
        <v>230</v>
      </c>
      <c r="H48" s="25" t="s">
        <v>5</v>
      </c>
      <c r="I48" s="26">
        <v>79.290613718411507</v>
      </c>
      <c r="J48" s="27">
        <v>369.56551724137904</v>
      </c>
      <c r="K48" s="27">
        <v>25.993103448275857</v>
      </c>
      <c r="L48" s="27">
        <v>7.1931034482758633</v>
      </c>
      <c r="M48" s="27">
        <v>6.4482758620689644</v>
      </c>
      <c r="N48" s="27">
        <v>32.744827586206902</v>
      </c>
      <c r="O48" s="27">
        <v>376.45517241379258</v>
      </c>
      <c r="P48" s="27">
        <v>0</v>
      </c>
      <c r="Q48" s="27">
        <v>0</v>
      </c>
      <c r="R48" s="27">
        <v>6.6482758620689655</v>
      </c>
      <c r="S48" s="27">
        <v>4.5034482758620697</v>
      </c>
      <c r="T48" s="27">
        <v>22.420689655172414</v>
      </c>
      <c r="U48" s="27">
        <v>375.62758620689607</v>
      </c>
      <c r="V48" s="27">
        <v>197.19999999999942</v>
      </c>
      <c r="W48" s="28"/>
      <c r="X48" s="25" t="s">
        <v>202</v>
      </c>
      <c r="Y48" s="31" t="s">
        <v>339</v>
      </c>
      <c r="Z48" s="25" t="s">
        <v>364</v>
      </c>
      <c r="AA48" s="29" t="s">
        <v>224</v>
      </c>
      <c r="AB48" s="25" t="s">
        <v>202</v>
      </c>
      <c r="AC48" s="31" t="s">
        <v>339</v>
      </c>
      <c r="AD48" s="31" t="s">
        <v>364</v>
      </c>
      <c r="AE48" s="41">
        <v>43475</v>
      </c>
    </row>
    <row r="49" spans="1:31" ht="15.75" x14ac:dyDescent="0.25">
      <c r="A49" s="24" t="s">
        <v>375</v>
      </c>
      <c r="B49" s="25" t="s">
        <v>376</v>
      </c>
      <c r="C49" s="25" t="s">
        <v>45</v>
      </c>
      <c r="D49" s="25" t="s">
        <v>215</v>
      </c>
      <c r="E49" s="30">
        <v>76837</v>
      </c>
      <c r="F49" s="25" t="s">
        <v>308</v>
      </c>
      <c r="G49" s="25" t="s">
        <v>286</v>
      </c>
      <c r="H49" s="25" t="s">
        <v>5</v>
      </c>
      <c r="I49" s="26">
        <v>64.652582159624401</v>
      </c>
      <c r="J49" s="27">
        <v>326.09655172413812</v>
      </c>
      <c r="K49" s="27">
        <v>52.40689655172411</v>
      </c>
      <c r="L49" s="27">
        <v>15.096551724137932</v>
      </c>
      <c r="M49" s="27">
        <v>12.186206896551724</v>
      </c>
      <c r="N49" s="27">
        <v>98.344827586206932</v>
      </c>
      <c r="O49" s="27">
        <v>307.28965517241397</v>
      </c>
      <c r="P49" s="27">
        <v>0</v>
      </c>
      <c r="Q49" s="27">
        <v>0.15172413793103448</v>
      </c>
      <c r="R49" s="27">
        <v>31.096551724137928</v>
      </c>
      <c r="S49" s="27">
        <v>12.648275862068965</v>
      </c>
      <c r="T49" s="27">
        <v>54.337931034482708</v>
      </c>
      <c r="U49" s="27">
        <v>307.70344827586223</v>
      </c>
      <c r="V49" s="27">
        <v>156.65517241379345</v>
      </c>
      <c r="W49" s="28"/>
      <c r="X49" s="25" t="s">
        <v>202</v>
      </c>
      <c r="Y49" s="31" t="s">
        <v>339</v>
      </c>
      <c r="Z49" s="25" t="s">
        <v>364</v>
      </c>
      <c r="AA49" s="29" t="s">
        <v>273</v>
      </c>
      <c r="AB49" s="25" t="s">
        <v>232</v>
      </c>
      <c r="AC49" s="31"/>
      <c r="AD49" s="31"/>
      <c r="AE49" s="41"/>
    </row>
    <row r="50" spans="1:31" ht="15.75" x14ac:dyDescent="0.25">
      <c r="A50" s="24" t="s">
        <v>377</v>
      </c>
      <c r="B50" s="25" t="s">
        <v>378</v>
      </c>
      <c r="C50" s="25" t="s">
        <v>379</v>
      </c>
      <c r="D50" s="25" t="s">
        <v>234</v>
      </c>
      <c r="E50" s="30">
        <v>85132</v>
      </c>
      <c r="F50" s="25" t="s">
        <v>235</v>
      </c>
      <c r="G50" s="25" t="s">
        <v>262</v>
      </c>
      <c r="H50" s="25" t="s">
        <v>5</v>
      </c>
      <c r="I50" s="26">
        <v>10.3628462791961</v>
      </c>
      <c r="J50" s="27">
        <v>290.76551724138648</v>
      </c>
      <c r="K50" s="27">
        <v>72.813793103448688</v>
      </c>
      <c r="L50" s="27">
        <v>3.0275862068965274</v>
      </c>
      <c r="M50" s="27">
        <v>1.7724137931034507</v>
      </c>
      <c r="N50" s="27">
        <v>101.20000000000101</v>
      </c>
      <c r="O50" s="27">
        <v>267.17931034483405</v>
      </c>
      <c r="P50" s="27">
        <v>0</v>
      </c>
      <c r="Q50" s="27">
        <v>0</v>
      </c>
      <c r="R50" s="27">
        <v>6.0275862068965171</v>
      </c>
      <c r="S50" s="27">
        <v>9.0344827586206602</v>
      </c>
      <c r="T50" s="27">
        <v>86.117241379310983</v>
      </c>
      <c r="U50" s="27">
        <v>267.20000000000641</v>
      </c>
      <c r="V50" s="27">
        <v>256.13103448276678</v>
      </c>
      <c r="W50" s="28">
        <v>374</v>
      </c>
      <c r="X50" s="25" t="s">
        <v>202</v>
      </c>
      <c r="Y50" s="31" t="s">
        <v>203</v>
      </c>
      <c r="Z50" s="25" t="s">
        <v>204</v>
      </c>
      <c r="AA50" s="29" t="s">
        <v>380</v>
      </c>
      <c r="AB50" s="25" t="s">
        <v>202</v>
      </c>
      <c r="AC50" s="31" t="s">
        <v>203</v>
      </c>
      <c r="AD50" s="31" t="s">
        <v>204</v>
      </c>
      <c r="AE50" s="41">
        <v>43202</v>
      </c>
    </row>
    <row r="51" spans="1:31" ht="15.75" x14ac:dyDescent="0.25">
      <c r="A51" s="24" t="s">
        <v>62</v>
      </c>
      <c r="B51" s="25" t="s">
        <v>381</v>
      </c>
      <c r="C51" s="25" t="s">
        <v>382</v>
      </c>
      <c r="D51" s="25" t="s">
        <v>198</v>
      </c>
      <c r="E51" s="30">
        <v>93301</v>
      </c>
      <c r="F51" s="25" t="s">
        <v>383</v>
      </c>
      <c r="G51" s="25" t="s">
        <v>217</v>
      </c>
      <c r="H51" s="25" t="s">
        <v>201</v>
      </c>
      <c r="I51" s="26">
        <v>28.8675352877307</v>
      </c>
      <c r="J51" s="27">
        <v>83.331034482758696</v>
      </c>
      <c r="K51" s="27">
        <v>108.20000000000037</v>
      </c>
      <c r="L51" s="27">
        <v>65.268965517241369</v>
      </c>
      <c r="M51" s="27">
        <v>88.82068965517243</v>
      </c>
      <c r="N51" s="27">
        <v>237.28965517241483</v>
      </c>
      <c r="O51" s="27">
        <v>29.358620689655194</v>
      </c>
      <c r="P51" s="27">
        <v>14.558620689655172</v>
      </c>
      <c r="Q51" s="27">
        <v>64.413793103448214</v>
      </c>
      <c r="R51" s="27">
        <v>177.91034482758673</v>
      </c>
      <c r="S51" s="27">
        <v>43.027586206896565</v>
      </c>
      <c r="T51" s="27">
        <v>27.468965517241383</v>
      </c>
      <c r="U51" s="27">
        <v>97.213793103448324</v>
      </c>
      <c r="V51" s="27">
        <v>253.80689655172557</v>
      </c>
      <c r="W51" s="28">
        <v>320</v>
      </c>
      <c r="X51" s="25" t="s">
        <v>202</v>
      </c>
      <c r="Y51" s="31" t="s">
        <v>203</v>
      </c>
      <c r="Z51" s="25" t="s">
        <v>204</v>
      </c>
      <c r="AA51" s="29" t="s">
        <v>236</v>
      </c>
      <c r="AB51" s="25" t="s">
        <v>202</v>
      </c>
      <c r="AC51" s="31" t="s">
        <v>203</v>
      </c>
      <c r="AD51" s="31" t="s">
        <v>204</v>
      </c>
      <c r="AE51" s="41">
        <v>43279</v>
      </c>
    </row>
    <row r="52" spans="1:31" ht="15.75" x14ac:dyDescent="0.25">
      <c r="A52" s="24" t="s">
        <v>384</v>
      </c>
      <c r="B52" s="25" t="s">
        <v>385</v>
      </c>
      <c r="C52" s="25" t="s">
        <v>386</v>
      </c>
      <c r="D52" s="25" t="s">
        <v>215</v>
      </c>
      <c r="E52" s="30">
        <v>76642</v>
      </c>
      <c r="F52" s="25" t="s">
        <v>216</v>
      </c>
      <c r="G52" s="25" t="s">
        <v>286</v>
      </c>
      <c r="H52" s="25" t="s">
        <v>5</v>
      </c>
      <c r="I52" s="26">
        <v>101.024390243902</v>
      </c>
      <c r="J52" s="27">
        <v>294.61379310344682</v>
      </c>
      <c r="K52" s="27">
        <v>33.165517241379291</v>
      </c>
      <c r="L52" s="27">
        <v>0.28965517241379313</v>
      </c>
      <c r="M52" s="27">
        <v>0.16551724137931037</v>
      </c>
      <c r="N52" s="27">
        <v>49.648275862068971</v>
      </c>
      <c r="O52" s="27">
        <v>278.51034482758553</v>
      </c>
      <c r="P52" s="27">
        <v>0</v>
      </c>
      <c r="Q52" s="27">
        <v>7.586206896551724E-2</v>
      </c>
      <c r="R52" s="27">
        <v>0.82068965517241399</v>
      </c>
      <c r="S52" s="27">
        <v>1.2827586206896555</v>
      </c>
      <c r="T52" s="27">
        <v>47.572413793103465</v>
      </c>
      <c r="U52" s="27">
        <v>278.55862068965445</v>
      </c>
      <c r="V52" s="27">
        <v>185.20689655172387</v>
      </c>
      <c r="W52" s="28"/>
      <c r="X52" s="25" t="s">
        <v>202</v>
      </c>
      <c r="Y52" s="31" t="s">
        <v>339</v>
      </c>
      <c r="Z52" s="25" t="s">
        <v>364</v>
      </c>
      <c r="AA52" s="29" t="s">
        <v>283</v>
      </c>
      <c r="AB52" s="25" t="s">
        <v>202</v>
      </c>
      <c r="AC52" s="31" t="s">
        <v>339</v>
      </c>
      <c r="AD52" s="31" t="s">
        <v>387</v>
      </c>
      <c r="AE52" s="41">
        <v>41389</v>
      </c>
    </row>
    <row r="53" spans="1:31" ht="15.75" x14ac:dyDescent="0.25">
      <c r="A53" s="24" t="s">
        <v>388</v>
      </c>
      <c r="B53" s="25" t="s">
        <v>389</v>
      </c>
      <c r="C53" s="25" t="s">
        <v>390</v>
      </c>
      <c r="D53" s="25" t="s">
        <v>35</v>
      </c>
      <c r="E53" s="30">
        <v>2360</v>
      </c>
      <c r="F53" s="25" t="s">
        <v>391</v>
      </c>
      <c r="G53" s="25" t="s">
        <v>230</v>
      </c>
      <c r="H53" s="25" t="s">
        <v>5</v>
      </c>
      <c r="I53" s="26">
        <v>78.488403819918105</v>
      </c>
      <c r="J53" s="27">
        <v>146.85517241379327</v>
      </c>
      <c r="K53" s="27">
        <v>40.958620689655184</v>
      </c>
      <c r="L53" s="27">
        <v>59.006896551724125</v>
      </c>
      <c r="M53" s="27">
        <v>63.427586206896535</v>
      </c>
      <c r="N53" s="27">
        <v>135.78620689655173</v>
      </c>
      <c r="O53" s="27">
        <v>174.42758620689662</v>
      </c>
      <c r="P53" s="27">
        <v>3.4482758620689655E-2</v>
      </c>
      <c r="Q53" s="27">
        <v>0</v>
      </c>
      <c r="R53" s="27">
        <v>69.075862068965506</v>
      </c>
      <c r="S53" s="27">
        <v>27.503448275862066</v>
      </c>
      <c r="T53" s="27">
        <v>39.24137931034484</v>
      </c>
      <c r="U53" s="27">
        <v>174.42758620689662</v>
      </c>
      <c r="V53" s="27">
        <v>165.68965517241421</v>
      </c>
      <c r="W53" s="28"/>
      <c r="X53" s="25" t="s">
        <v>202</v>
      </c>
      <c r="Y53" s="31" t="s">
        <v>339</v>
      </c>
      <c r="Z53" s="25" t="s">
        <v>364</v>
      </c>
      <c r="AA53" s="29" t="s">
        <v>288</v>
      </c>
      <c r="AB53" s="25" t="s">
        <v>202</v>
      </c>
      <c r="AC53" s="31" t="s">
        <v>339</v>
      </c>
      <c r="AD53" s="31" t="s">
        <v>364</v>
      </c>
      <c r="AE53" s="41">
        <v>43265</v>
      </c>
    </row>
    <row r="54" spans="1:31" ht="15.75" x14ac:dyDescent="0.25">
      <c r="A54" s="24" t="s">
        <v>23</v>
      </c>
      <c r="B54" s="25" t="s">
        <v>392</v>
      </c>
      <c r="C54" s="25" t="s">
        <v>393</v>
      </c>
      <c r="D54" s="25" t="s">
        <v>394</v>
      </c>
      <c r="E54" s="30">
        <v>55330</v>
      </c>
      <c r="F54" s="25" t="s">
        <v>395</v>
      </c>
      <c r="G54" s="25" t="s">
        <v>230</v>
      </c>
      <c r="H54" s="25" t="s">
        <v>201</v>
      </c>
      <c r="I54" s="26">
        <v>48.312780269058301</v>
      </c>
      <c r="J54" s="27">
        <v>31.372413793103451</v>
      </c>
      <c r="K54" s="27">
        <v>39.344827586206897</v>
      </c>
      <c r="L54" s="27">
        <v>208.04137931034504</v>
      </c>
      <c r="M54" s="27">
        <v>26.482758620689648</v>
      </c>
      <c r="N54" s="27">
        <v>185.37931034482776</v>
      </c>
      <c r="O54" s="27">
        <v>105.01379310344845</v>
      </c>
      <c r="P54" s="27">
        <v>8.5034482758620697</v>
      </c>
      <c r="Q54" s="27">
        <v>6.3448275862068959</v>
      </c>
      <c r="R54" s="27">
        <v>80.786206896551761</v>
      </c>
      <c r="S54" s="27">
        <v>57.006896551724139</v>
      </c>
      <c r="T54" s="27">
        <v>55.413793103448292</v>
      </c>
      <c r="U54" s="27">
        <v>112.03448275862084</v>
      </c>
      <c r="V54" s="27">
        <v>200.37931034482833</v>
      </c>
      <c r="W54" s="28">
        <v>300</v>
      </c>
      <c r="X54" s="25" t="s">
        <v>202</v>
      </c>
      <c r="Y54" s="31" t="s">
        <v>339</v>
      </c>
      <c r="Z54" s="25" t="s">
        <v>364</v>
      </c>
      <c r="AA54" s="29" t="s">
        <v>353</v>
      </c>
      <c r="AB54" s="25" t="s">
        <v>202</v>
      </c>
      <c r="AC54" s="31" t="s">
        <v>339</v>
      </c>
      <c r="AD54" s="31" t="s">
        <v>364</v>
      </c>
      <c r="AE54" s="41">
        <v>43420</v>
      </c>
    </row>
    <row r="55" spans="1:31" ht="15.75" x14ac:dyDescent="0.25">
      <c r="A55" s="24" t="s">
        <v>396</v>
      </c>
      <c r="B55" s="25" t="s">
        <v>397</v>
      </c>
      <c r="C55" s="25" t="s">
        <v>398</v>
      </c>
      <c r="D55" s="25" t="s">
        <v>313</v>
      </c>
      <c r="E55" s="30">
        <v>7032</v>
      </c>
      <c r="F55" s="25" t="s">
        <v>399</v>
      </c>
      <c r="G55" s="25" t="s">
        <v>230</v>
      </c>
      <c r="H55" s="25" t="s">
        <v>201</v>
      </c>
      <c r="I55" s="26">
        <v>53.562700964630203</v>
      </c>
      <c r="J55" s="27">
        <v>87.64137931034476</v>
      </c>
      <c r="K55" s="27">
        <v>54.57931034482759</v>
      </c>
      <c r="L55" s="27">
        <v>85.344827586206932</v>
      </c>
      <c r="M55" s="27">
        <v>62.020689655172397</v>
      </c>
      <c r="N55" s="27">
        <v>171.66206896551742</v>
      </c>
      <c r="O55" s="27">
        <v>88.965517241379231</v>
      </c>
      <c r="P55" s="27">
        <v>20.779310344827582</v>
      </c>
      <c r="Q55" s="27">
        <v>8.1793103448275843</v>
      </c>
      <c r="R55" s="27">
        <v>85.062068965517241</v>
      </c>
      <c r="S55" s="27">
        <v>41.731034482758595</v>
      </c>
      <c r="T55" s="27">
        <v>65.806896551724137</v>
      </c>
      <c r="U55" s="27">
        <v>96.986206896551664</v>
      </c>
      <c r="V55" s="27">
        <v>171.04827586206989</v>
      </c>
      <c r="W55" s="28"/>
      <c r="X55" s="25" t="s">
        <v>202</v>
      </c>
      <c r="Y55" s="31" t="s">
        <v>287</v>
      </c>
      <c r="Z55" s="25" t="s">
        <v>204</v>
      </c>
      <c r="AA55" s="29" t="s">
        <v>212</v>
      </c>
      <c r="AB55" s="25" t="s">
        <v>202</v>
      </c>
      <c r="AC55" s="31" t="s">
        <v>287</v>
      </c>
      <c r="AD55" s="31" t="s">
        <v>204</v>
      </c>
      <c r="AE55" s="41">
        <v>43328</v>
      </c>
    </row>
    <row r="56" spans="1:31" ht="15.75" x14ac:dyDescent="0.25">
      <c r="A56" s="24" t="s">
        <v>400</v>
      </c>
      <c r="B56" s="25" t="s">
        <v>401</v>
      </c>
      <c r="C56" s="25" t="s">
        <v>402</v>
      </c>
      <c r="D56" s="25" t="s">
        <v>267</v>
      </c>
      <c r="E56" s="30">
        <v>87016</v>
      </c>
      <c r="F56" s="25" t="s">
        <v>268</v>
      </c>
      <c r="G56" s="25" t="s">
        <v>230</v>
      </c>
      <c r="H56" s="25" t="s">
        <v>5</v>
      </c>
      <c r="I56" s="26">
        <v>27.423076923076898</v>
      </c>
      <c r="J56" s="27">
        <v>178.48965517241425</v>
      </c>
      <c r="K56" s="27">
        <v>67.537931034482597</v>
      </c>
      <c r="L56" s="27">
        <v>19.92413793103448</v>
      </c>
      <c r="M56" s="27">
        <v>18.103448275862071</v>
      </c>
      <c r="N56" s="27">
        <v>117.52413793103432</v>
      </c>
      <c r="O56" s="27">
        <v>166.53103448275897</v>
      </c>
      <c r="P56" s="27">
        <v>0</v>
      </c>
      <c r="Q56" s="27">
        <v>0</v>
      </c>
      <c r="R56" s="27">
        <v>21.131034482758619</v>
      </c>
      <c r="S56" s="27">
        <v>26.813793103448265</v>
      </c>
      <c r="T56" s="27">
        <v>70.517241379310107</v>
      </c>
      <c r="U56" s="27">
        <v>165.5931034482762</v>
      </c>
      <c r="V56" s="27">
        <v>254.47586206896651</v>
      </c>
      <c r="W56" s="28">
        <v>714</v>
      </c>
      <c r="X56" s="25" t="s">
        <v>202</v>
      </c>
      <c r="Y56" s="31" t="s">
        <v>203</v>
      </c>
      <c r="Z56" s="25" t="s">
        <v>204</v>
      </c>
      <c r="AA56" s="29" t="s">
        <v>205</v>
      </c>
      <c r="AB56" s="25" t="s">
        <v>202</v>
      </c>
      <c r="AC56" s="31" t="s">
        <v>203</v>
      </c>
      <c r="AD56" s="31" t="s">
        <v>387</v>
      </c>
      <c r="AE56" s="41">
        <v>43671</v>
      </c>
    </row>
    <row r="57" spans="1:31" ht="15.75" x14ac:dyDescent="0.25">
      <c r="A57" s="24" t="s">
        <v>10</v>
      </c>
      <c r="B57" s="25" t="s">
        <v>403</v>
      </c>
      <c r="C57" s="25" t="s">
        <v>37</v>
      </c>
      <c r="D57" s="25" t="s">
        <v>228</v>
      </c>
      <c r="E57" s="30">
        <v>71303</v>
      </c>
      <c r="F57" s="25" t="s">
        <v>229</v>
      </c>
      <c r="G57" s="25" t="s">
        <v>404</v>
      </c>
      <c r="H57" s="25" t="s">
        <v>5</v>
      </c>
      <c r="I57" s="26">
        <v>2.9544955739263998</v>
      </c>
      <c r="J57" s="27">
        <v>135.34482758621405</v>
      </c>
      <c r="K57" s="27">
        <v>52.131034482759837</v>
      </c>
      <c r="L57" s="27">
        <v>53.475862068966563</v>
      </c>
      <c r="M57" s="27">
        <v>38.765517241379591</v>
      </c>
      <c r="N57" s="27">
        <v>137.02068965517867</v>
      </c>
      <c r="O57" s="27">
        <v>142.68965517242242</v>
      </c>
      <c r="P57" s="27">
        <v>0</v>
      </c>
      <c r="Q57" s="27">
        <v>6.8965517241379309E-3</v>
      </c>
      <c r="R57" s="27">
        <v>54.62068965517301</v>
      </c>
      <c r="S57" s="27">
        <v>29.951724137931315</v>
      </c>
      <c r="T57" s="27">
        <v>51.68275862069094</v>
      </c>
      <c r="U57" s="27">
        <v>143.46206896552613</v>
      </c>
      <c r="V57" s="27">
        <v>277.43448275865859</v>
      </c>
      <c r="W57" s="28">
        <v>1170</v>
      </c>
      <c r="X57" s="25" t="s">
        <v>232</v>
      </c>
      <c r="Y57" s="31"/>
      <c r="Z57" s="25"/>
      <c r="AA57" s="29"/>
      <c r="AB57" s="25" t="s">
        <v>232</v>
      </c>
      <c r="AC57" s="31"/>
      <c r="AD57" s="31"/>
      <c r="AE57" s="41"/>
    </row>
    <row r="58" spans="1:31" ht="15.75" x14ac:dyDescent="0.25">
      <c r="A58" s="24" t="s">
        <v>405</v>
      </c>
      <c r="B58" s="25" t="s">
        <v>406</v>
      </c>
      <c r="C58" s="25" t="s">
        <v>407</v>
      </c>
      <c r="D58" s="25" t="s">
        <v>318</v>
      </c>
      <c r="E58" s="30">
        <v>22427</v>
      </c>
      <c r="F58" s="25" t="s">
        <v>319</v>
      </c>
      <c r="G58" s="25" t="s">
        <v>200</v>
      </c>
      <c r="H58" s="25" t="s">
        <v>201</v>
      </c>
      <c r="I58" s="26">
        <v>62.558252427184499</v>
      </c>
      <c r="J58" s="27">
        <v>70.786206896551803</v>
      </c>
      <c r="K58" s="27">
        <v>91.620689655172441</v>
      </c>
      <c r="L58" s="27">
        <v>47.303448275862067</v>
      </c>
      <c r="M58" s="27">
        <v>58.172413793103445</v>
      </c>
      <c r="N58" s="27">
        <v>145.1172413793104</v>
      </c>
      <c r="O58" s="27">
        <v>84.634482758620777</v>
      </c>
      <c r="P58" s="27">
        <v>7.7999999999999989</v>
      </c>
      <c r="Q58" s="27">
        <v>30.331034482758618</v>
      </c>
      <c r="R58" s="27">
        <v>61.034482758620683</v>
      </c>
      <c r="S58" s="27">
        <v>44.241379310344819</v>
      </c>
      <c r="T58" s="27">
        <v>47.255172413793105</v>
      </c>
      <c r="U58" s="27">
        <v>115.35172413793106</v>
      </c>
      <c r="V58" s="27">
        <v>137.72413793103456</v>
      </c>
      <c r="W58" s="28">
        <v>224</v>
      </c>
      <c r="X58" s="25" t="s">
        <v>202</v>
      </c>
      <c r="Y58" s="31" t="s">
        <v>203</v>
      </c>
      <c r="Z58" s="25" t="s">
        <v>204</v>
      </c>
      <c r="AA58" s="29" t="s">
        <v>408</v>
      </c>
      <c r="AB58" s="25" t="s">
        <v>202</v>
      </c>
      <c r="AC58" s="31" t="s">
        <v>203</v>
      </c>
      <c r="AD58" s="31" t="s">
        <v>387</v>
      </c>
      <c r="AE58" s="41">
        <v>43454</v>
      </c>
    </row>
    <row r="59" spans="1:31" ht="15.75" x14ac:dyDescent="0.25">
      <c r="A59" s="24" t="s">
        <v>409</v>
      </c>
      <c r="B59" s="25" t="s">
        <v>410</v>
      </c>
      <c r="C59" s="25" t="s">
        <v>411</v>
      </c>
      <c r="D59" s="25" t="s">
        <v>323</v>
      </c>
      <c r="E59" s="30">
        <v>32063</v>
      </c>
      <c r="F59" s="25" t="s">
        <v>36</v>
      </c>
      <c r="G59" s="25" t="s">
        <v>230</v>
      </c>
      <c r="H59" s="25" t="s">
        <v>201</v>
      </c>
      <c r="I59" s="26">
        <v>38.646486486486502</v>
      </c>
      <c r="J59" s="27">
        <v>50.165517241379291</v>
      </c>
      <c r="K59" s="27">
        <v>82.151724137931026</v>
      </c>
      <c r="L59" s="27">
        <v>79.096551724137925</v>
      </c>
      <c r="M59" s="27">
        <v>42.248275862068965</v>
      </c>
      <c r="N59" s="27">
        <v>146.40689655172426</v>
      </c>
      <c r="O59" s="27">
        <v>87.772413793103425</v>
      </c>
      <c r="P59" s="27">
        <v>15.951724137931031</v>
      </c>
      <c r="Q59" s="27">
        <v>3.5310344827586202</v>
      </c>
      <c r="R59" s="27">
        <v>71.696551724137905</v>
      </c>
      <c r="S59" s="27">
        <v>37.855172413793085</v>
      </c>
      <c r="T59" s="27">
        <v>52.813793103448226</v>
      </c>
      <c r="U59" s="27">
        <v>91.296551724137885</v>
      </c>
      <c r="V59" s="27">
        <v>121.69655172413773</v>
      </c>
      <c r="W59" s="28"/>
      <c r="X59" s="25" t="s">
        <v>202</v>
      </c>
      <c r="Y59" s="31" t="s">
        <v>339</v>
      </c>
      <c r="Z59" s="25" t="s">
        <v>364</v>
      </c>
      <c r="AA59" s="29" t="s">
        <v>412</v>
      </c>
      <c r="AB59" s="25" t="s">
        <v>202</v>
      </c>
      <c r="AC59" s="31" t="s">
        <v>339</v>
      </c>
      <c r="AD59" s="31" t="s">
        <v>364</v>
      </c>
      <c r="AE59" s="41">
        <v>43252</v>
      </c>
    </row>
    <row r="60" spans="1:31" ht="15.75" x14ac:dyDescent="0.25">
      <c r="A60" s="24" t="s">
        <v>413</v>
      </c>
      <c r="B60" s="25" t="s">
        <v>414</v>
      </c>
      <c r="C60" s="25" t="s">
        <v>415</v>
      </c>
      <c r="D60" s="25" t="s">
        <v>416</v>
      </c>
      <c r="E60" s="30">
        <v>60098</v>
      </c>
      <c r="F60" s="25" t="s">
        <v>43</v>
      </c>
      <c r="G60" s="25" t="s">
        <v>286</v>
      </c>
      <c r="H60" s="25" t="s">
        <v>201</v>
      </c>
      <c r="I60" s="26">
        <v>25.062426383981201</v>
      </c>
      <c r="J60" s="27">
        <v>109.1379310344827</v>
      </c>
      <c r="K60" s="27">
        <v>29.779310344827604</v>
      </c>
      <c r="L60" s="27">
        <v>62.268965517241426</v>
      </c>
      <c r="M60" s="27">
        <v>51.172413793103395</v>
      </c>
      <c r="N60" s="27">
        <v>130.54482758620705</v>
      </c>
      <c r="O60" s="27">
        <v>92.834482758620666</v>
      </c>
      <c r="P60" s="27">
        <v>6.1655172413793116</v>
      </c>
      <c r="Q60" s="27">
        <v>22.81379310344828</v>
      </c>
      <c r="R60" s="27">
        <v>59.868965517241378</v>
      </c>
      <c r="S60" s="27">
        <v>39.103448275862071</v>
      </c>
      <c r="T60" s="27">
        <v>38.731034482758588</v>
      </c>
      <c r="U60" s="27">
        <v>114.65517241379307</v>
      </c>
      <c r="V60" s="27">
        <v>160.59310344827696</v>
      </c>
      <c r="W60" s="28"/>
      <c r="X60" s="25" t="s">
        <v>202</v>
      </c>
      <c r="Y60" s="31" t="s">
        <v>339</v>
      </c>
      <c r="Z60" s="25" t="s">
        <v>364</v>
      </c>
      <c r="AA60" s="29" t="s">
        <v>288</v>
      </c>
      <c r="AB60" s="25" t="s">
        <v>202</v>
      </c>
      <c r="AC60" s="31" t="s">
        <v>339</v>
      </c>
      <c r="AD60" s="31" t="s">
        <v>364</v>
      </c>
      <c r="AE60" s="41">
        <v>43265</v>
      </c>
    </row>
    <row r="61" spans="1:31" ht="15.75" x14ac:dyDescent="0.25">
      <c r="A61" s="24" t="s">
        <v>417</v>
      </c>
      <c r="B61" s="25" t="s">
        <v>418</v>
      </c>
      <c r="C61" s="25" t="s">
        <v>331</v>
      </c>
      <c r="D61" s="25" t="s">
        <v>210</v>
      </c>
      <c r="E61" s="30">
        <v>31537</v>
      </c>
      <c r="F61" s="25" t="s">
        <v>211</v>
      </c>
      <c r="G61" s="25" t="s">
        <v>200</v>
      </c>
      <c r="H61" s="25" t="s">
        <v>5</v>
      </c>
      <c r="I61" s="26">
        <v>38.035677879714598</v>
      </c>
      <c r="J61" s="27">
        <v>32.627586206896545</v>
      </c>
      <c r="K61" s="27">
        <v>22.22758620689655</v>
      </c>
      <c r="L61" s="27">
        <v>118.90344827586215</v>
      </c>
      <c r="M61" s="27">
        <v>69.95862068965522</v>
      </c>
      <c r="N61" s="27">
        <v>189.35862068965608</v>
      </c>
      <c r="O61" s="27">
        <v>54.35862068965519</v>
      </c>
      <c r="P61" s="27">
        <v>0</v>
      </c>
      <c r="Q61" s="27">
        <v>0</v>
      </c>
      <c r="R61" s="27">
        <v>115.37931034482773</v>
      </c>
      <c r="S61" s="27">
        <v>47.675862068965493</v>
      </c>
      <c r="T61" s="27">
        <v>26.365517241379312</v>
      </c>
      <c r="U61" s="27">
        <v>54.296551724137942</v>
      </c>
      <c r="V61" s="27">
        <v>139.87586206896603</v>
      </c>
      <c r="W61" s="28">
        <v>338</v>
      </c>
      <c r="X61" s="25" t="s">
        <v>202</v>
      </c>
      <c r="Y61" s="31" t="s">
        <v>203</v>
      </c>
      <c r="Z61" s="25" t="s">
        <v>204</v>
      </c>
      <c r="AA61" s="29" t="s">
        <v>332</v>
      </c>
      <c r="AB61" s="25" t="s">
        <v>232</v>
      </c>
      <c r="AC61" s="31"/>
      <c r="AD61" s="31"/>
      <c r="AE61" s="41"/>
    </row>
    <row r="62" spans="1:31" ht="15.75" x14ac:dyDescent="0.25">
      <c r="A62" s="24" t="s">
        <v>19</v>
      </c>
      <c r="B62" s="25" t="s">
        <v>419</v>
      </c>
      <c r="C62" s="25" t="s">
        <v>367</v>
      </c>
      <c r="D62" s="25" t="s">
        <v>215</v>
      </c>
      <c r="E62" s="30">
        <v>78041</v>
      </c>
      <c r="F62" s="25" t="s">
        <v>216</v>
      </c>
      <c r="G62" s="25" t="s">
        <v>200</v>
      </c>
      <c r="H62" s="25" t="s">
        <v>201</v>
      </c>
      <c r="I62" s="26">
        <v>27.855123674911699</v>
      </c>
      <c r="J62" s="27">
        <v>227.19310344827667</v>
      </c>
      <c r="K62" s="27">
        <v>3.9172413793103447</v>
      </c>
      <c r="L62" s="27">
        <v>3.0206896551724136</v>
      </c>
      <c r="M62" s="27">
        <v>6.7103448275862041</v>
      </c>
      <c r="N62" s="27">
        <v>0.43448275862068975</v>
      </c>
      <c r="O62" s="27">
        <v>0.24137931034482762</v>
      </c>
      <c r="P62" s="27">
        <v>19.765517241379296</v>
      </c>
      <c r="Q62" s="27">
        <v>220.40000000000077</v>
      </c>
      <c r="R62" s="27">
        <v>4.9379310344827578</v>
      </c>
      <c r="S62" s="27">
        <v>1.9793103448275864</v>
      </c>
      <c r="T62" s="27">
        <v>13.64827586206896</v>
      </c>
      <c r="U62" s="27">
        <v>220.27586206896632</v>
      </c>
      <c r="V62" s="27">
        <v>119.13103448275885</v>
      </c>
      <c r="W62" s="28"/>
      <c r="X62" s="25" t="s">
        <v>202</v>
      </c>
      <c r="Y62" s="31" t="s">
        <v>339</v>
      </c>
      <c r="Z62" s="25" t="s">
        <v>364</v>
      </c>
      <c r="AA62" s="29" t="s">
        <v>420</v>
      </c>
      <c r="AB62" s="25" t="s">
        <v>202</v>
      </c>
      <c r="AC62" s="31" t="s">
        <v>339</v>
      </c>
      <c r="AD62" s="31" t="s">
        <v>364</v>
      </c>
      <c r="AE62" s="41">
        <v>43258</v>
      </c>
    </row>
    <row r="63" spans="1:31" ht="15.75" x14ac:dyDescent="0.25">
      <c r="A63" s="24" t="s">
        <v>421</v>
      </c>
      <c r="B63" s="25" t="s">
        <v>422</v>
      </c>
      <c r="C63" s="25" t="s">
        <v>423</v>
      </c>
      <c r="D63" s="25" t="s">
        <v>55</v>
      </c>
      <c r="E63" s="30">
        <v>35901</v>
      </c>
      <c r="F63" s="25" t="s">
        <v>229</v>
      </c>
      <c r="G63" s="25" t="s">
        <v>286</v>
      </c>
      <c r="H63" s="25" t="s">
        <v>5</v>
      </c>
      <c r="I63" s="26">
        <v>22.6465798045603</v>
      </c>
      <c r="J63" s="27">
        <v>96.089655172413387</v>
      </c>
      <c r="K63" s="27">
        <v>45.503448275861913</v>
      </c>
      <c r="L63" s="27">
        <v>49.020689655172411</v>
      </c>
      <c r="M63" s="27">
        <v>44.482758620689587</v>
      </c>
      <c r="N63" s="27">
        <v>118.08275862068889</v>
      </c>
      <c r="O63" s="27">
        <v>116.51034482758543</v>
      </c>
      <c r="P63" s="27">
        <v>0.4</v>
      </c>
      <c r="Q63" s="27">
        <v>0.10344827586206896</v>
      </c>
      <c r="R63" s="27">
        <v>64.537931034482682</v>
      </c>
      <c r="S63" s="27">
        <v>27.289655172413745</v>
      </c>
      <c r="T63" s="27">
        <v>26.834482758620648</v>
      </c>
      <c r="U63" s="27">
        <v>116.43448275861992</v>
      </c>
      <c r="V63" s="27">
        <v>195.72413793103615</v>
      </c>
      <c r="W63" s="28"/>
      <c r="X63" s="25" t="s">
        <v>202</v>
      </c>
      <c r="Y63" s="31" t="s">
        <v>339</v>
      </c>
      <c r="Z63" s="25" t="s">
        <v>364</v>
      </c>
      <c r="AA63" s="29" t="s">
        <v>424</v>
      </c>
      <c r="AB63" s="25" t="s">
        <v>202</v>
      </c>
      <c r="AC63" s="31" t="s">
        <v>339</v>
      </c>
      <c r="AD63" s="31" t="s">
        <v>364</v>
      </c>
      <c r="AE63" s="41">
        <v>43300</v>
      </c>
    </row>
    <row r="64" spans="1:31" ht="15.75" x14ac:dyDescent="0.25">
      <c r="A64" s="24" t="s">
        <v>425</v>
      </c>
      <c r="B64" s="25" t="s">
        <v>426</v>
      </c>
      <c r="C64" s="25" t="s">
        <v>27</v>
      </c>
      <c r="D64" s="25" t="s">
        <v>313</v>
      </c>
      <c r="E64" s="30">
        <v>7201</v>
      </c>
      <c r="F64" s="25" t="s">
        <v>314</v>
      </c>
      <c r="G64" s="25" t="s">
        <v>217</v>
      </c>
      <c r="H64" s="25" t="s">
        <v>201</v>
      </c>
      <c r="I64" s="26">
        <v>42.2696025778733</v>
      </c>
      <c r="J64" s="27">
        <v>177.97241379310401</v>
      </c>
      <c r="K64" s="27">
        <v>55.048275862068962</v>
      </c>
      <c r="L64" s="27">
        <v>0.97241379310344833</v>
      </c>
      <c r="M64" s="27">
        <v>0.13793103448275862</v>
      </c>
      <c r="N64" s="27">
        <v>61.662068965517257</v>
      </c>
      <c r="O64" s="27">
        <v>143.22758620689686</v>
      </c>
      <c r="P64" s="27">
        <v>3.0758620689655167</v>
      </c>
      <c r="Q64" s="27">
        <v>26.165517241379352</v>
      </c>
      <c r="R64" s="27">
        <v>8.2344827586206879</v>
      </c>
      <c r="S64" s="27">
        <v>14.90344827586207</v>
      </c>
      <c r="T64" s="27">
        <v>41.696551724137919</v>
      </c>
      <c r="U64" s="27">
        <v>169.29655172413848</v>
      </c>
      <c r="V64" s="27">
        <v>138.96551724137959</v>
      </c>
      <c r="W64" s="28">
        <v>285</v>
      </c>
      <c r="X64" s="25" t="s">
        <v>202</v>
      </c>
      <c r="Y64" s="31" t="s">
        <v>203</v>
      </c>
      <c r="Z64" s="25" t="s">
        <v>204</v>
      </c>
      <c r="AA64" s="29" t="s">
        <v>277</v>
      </c>
      <c r="AB64" s="25" t="s">
        <v>202</v>
      </c>
      <c r="AC64" s="31" t="s">
        <v>203</v>
      </c>
      <c r="AD64" s="31" t="s">
        <v>204</v>
      </c>
      <c r="AE64" s="41">
        <v>43385</v>
      </c>
    </row>
    <row r="65" spans="1:31" ht="15.75" x14ac:dyDescent="0.25">
      <c r="A65" s="24" t="s">
        <v>39</v>
      </c>
      <c r="B65" s="25" t="s">
        <v>427</v>
      </c>
      <c r="C65" s="25" t="s">
        <v>428</v>
      </c>
      <c r="D65" s="25" t="s">
        <v>429</v>
      </c>
      <c r="E65" s="30">
        <v>74447</v>
      </c>
      <c r="F65" s="25" t="s">
        <v>308</v>
      </c>
      <c r="G65" s="25" t="s">
        <v>230</v>
      </c>
      <c r="H65" s="25" t="s">
        <v>5</v>
      </c>
      <c r="I65" s="26">
        <v>45.5095890410959</v>
      </c>
      <c r="J65" s="27">
        <v>125.57241379310342</v>
      </c>
      <c r="K65" s="27">
        <v>45.875862068965482</v>
      </c>
      <c r="L65" s="27">
        <v>25.517241379310349</v>
      </c>
      <c r="M65" s="27">
        <v>24.889655172413779</v>
      </c>
      <c r="N65" s="27">
        <v>105.61379310344836</v>
      </c>
      <c r="O65" s="27">
        <v>116.24137931034483</v>
      </c>
      <c r="P65" s="27">
        <v>0</v>
      </c>
      <c r="Q65" s="27">
        <v>0</v>
      </c>
      <c r="R65" s="27">
        <v>42.234482758620658</v>
      </c>
      <c r="S65" s="27">
        <v>26.972413793103456</v>
      </c>
      <c r="T65" s="27">
        <v>36.710344827586198</v>
      </c>
      <c r="U65" s="27">
        <v>115.93793103448274</v>
      </c>
      <c r="V65" s="27">
        <v>108.06896551724161</v>
      </c>
      <c r="W65" s="28"/>
      <c r="X65" s="25" t="s">
        <v>202</v>
      </c>
      <c r="Y65" s="31" t="s">
        <v>203</v>
      </c>
      <c r="Z65" s="25" t="s">
        <v>204</v>
      </c>
      <c r="AA65" s="29" t="s">
        <v>430</v>
      </c>
      <c r="AB65" s="25" t="s">
        <v>202</v>
      </c>
      <c r="AC65" s="31" t="s">
        <v>203</v>
      </c>
      <c r="AD65" s="31" t="s">
        <v>204</v>
      </c>
      <c r="AE65" s="41">
        <v>43377</v>
      </c>
    </row>
    <row r="66" spans="1:31" ht="15.75" x14ac:dyDescent="0.25">
      <c r="A66" s="24" t="s">
        <v>431</v>
      </c>
      <c r="B66" s="25" t="s">
        <v>432</v>
      </c>
      <c r="C66" s="25" t="s">
        <v>51</v>
      </c>
      <c r="D66" s="25" t="s">
        <v>326</v>
      </c>
      <c r="E66" s="30">
        <v>80010</v>
      </c>
      <c r="F66" s="25" t="s">
        <v>327</v>
      </c>
      <c r="G66" s="25" t="s">
        <v>217</v>
      </c>
      <c r="H66" s="25" t="s">
        <v>201</v>
      </c>
      <c r="I66" s="26">
        <v>92.650095602294499</v>
      </c>
      <c r="J66" s="27">
        <v>181.01379310344791</v>
      </c>
      <c r="K66" s="27">
        <v>6.2827586206896546</v>
      </c>
      <c r="L66" s="27">
        <v>12.089655172413794</v>
      </c>
      <c r="M66" s="27">
        <v>10.889655172413791</v>
      </c>
      <c r="N66" s="27">
        <v>13.924137931034481</v>
      </c>
      <c r="O66" s="27">
        <v>152.00689655172411</v>
      </c>
      <c r="P66" s="27">
        <v>14.110344827586209</v>
      </c>
      <c r="Q66" s="27">
        <v>30.234482758620686</v>
      </c>
      <c r="R66" s="27">
        <v>16.489655172413791</v>
      </c>
      <c r="S66" s="27">
        <v>5.4413793103448285</v>
      </c>
      <c r="T66" s="27">
        <v>5.8827586206896534</v>
      </c>
      <c r="U66" s="27">
        <v>182.46206896551689</v>
      </c>
      <c r="V66" s="27">
        <v>133.55862068965507</v>
      </c>
      <c r="W66" s="28">
        <v>432</v>
      </c>
      <c r="X66" s="25" t="s">
        <v>202</v>
      </c>
      <c r="Y66" s="31" t="s">
        <v>203</v>
      </c>
      <c r="Z66" s="25" t="s">
        <v>204</v>
      </c>
      <c r="AA66" s="29" t="s">
        <v>328</v>
      </c>
      <c r="AB66" s="25" t="s">
        <v>232</v>
      </c>
      <c r="AC66" s="31"/>
      <c r="AD66" s="31"/>
      <c r="AE66" s="41"/>
    </row>
    <row r="67" spans="1:31" ht="15.75" x14ac:dyDescent="0.25">
      <c r="A67" s="24" t="s">
        <v>58</v>
      </c>
      <c r="B67" s="25" t="s">
        <v>433</v>
      </c>
      <c r="C67" s="25" t="s">
        <v>434</v>
      </c>
      <c r="D67" s="25" t="s">
        <v>313</v>
      </c>
      <c r="E67" s="30">
        <v>7601</v>
      </c>
      <c r="F67" s="25" t="s">
        <v>399</v>
      </c>
      <c r="G67" s="25" t="s">
        <v>286</v>
      </c>
      <c r="H67" s="25" t="s">
        <v>201</v>
      </c>
      <c r="I67" s="26">
        <v>60.302120141342797</v>
      </c>
      <c r="J67" s="27">
        <v>79.855172413793127</v>
      </c>
      <c r="K67" s="27">
        <v>34.393103448275859</v>
      </c>
      <c r="L67" s="27">
        <v>55.462068965517219</v>
      </c>
      <c r="M67" s="27">
        <v>37.206896551724142</v>
      </c>
      <c r="N67" s="27">
        <v>115.06896551724134</v>
      </c>
      <c r="O67" s="27">
        <v>68.365517241379294</v>
      </c>
      <c r="P67" s="27">
        <v>9.8620689655172438</v>
      </c>
      <c r="Q67" s="27">
        <v>13.620689655172416</v>
      </c>
      <c r="R67" s="27">
        <v>43.331034482758625</v>
      </c>
      <c r="S67" s="27">
        <v>31.068965517241381</v>
      </c>
      <c r="T67" s="27">
        <v>50.14482758620688</v>
      </c>
      <c r="U67" s="27">
        <v>82.372413793103419</v>
      </c>
      <c r="V67" s="27">
        <v>127.81379310344825</v>
      </c>
      <c r="W67" s="28"/>
      <c r="X67" s="25" t="s">
        <v>202</v>
      </c>
      <c r="Y67" s="31" t="s">
        <v>339</v>
      </c>
      <c r="Z67" s="25" t="s">
        <v>364</v>
      </c>
      <c r="AA67" s="29" t="s">
        <v>218</v>
      </c>
      <c r="AB67" s="25" t="s">
        <v>202</v>
      </c>
      <c r="AC67" s="31" t="s">
        <v>339</v>
      </c>
      <c r="AD67" s="31" t="s">
        <v>364</v>
      </c>
      <c r="AE67" s="41">
        <v>43154</v>
      </c>
    </row>
    <row r="68" spans="1:31" ht="15.75" x14ac:dyDescent="0.25">
      <c r="A68" s="24" t="s">
        <v>15</v>
      </c>
      <c r="B68" s="25" t="s">
        <v>378</v>
      </c>
      <c r="C68" s="25" t="s">
        <v>379</v>
      </c>
      <c r="D68" s="25" t="s">
        <v>234</v>
      </c>
      <c r="E68" s="30">
        <v>85232</v>
      </c>
      <c r="F68" s="25" t="s">
        <v>235</v>
      </c>
      <c r="G68" s="25" t="s">
        <v>404</v>
      </c>
      <c r="H68" s="25" t="s">
        <v>5</v>
      </c>
      <c r="I68" s="26">
        <v>1.97093142272262</v>
      </c>
      <c r="J68" s="27">
        <v>114.67586206897347</v>
      </c>
      <c r="K68" s="27">
        <v>52.62758620690056</v>
      </c>
      <c r="L68" s="27">
        <v>20.52413793103457</v>
      </c>
      <c r="M68" s="27">
        <v>11.641379310344714</v>
      </c>
      <c r="N68" s="27">
        <v>85.5448275862136</v>
      </c>
      <c r="O68" s="27">
        <v>95.917241379316948</v>
      </c>
      <c r="P68" s="27">
        <v>6.7862068965516826</v>
      </c>
      <c r="Q68" s="27">
        <v>11.220689655172306</v>
      </c>
      <c r="R68" s="27">
        <v>18.62068965517237</v>
      </c>
      <c r="S68" s="27">
        <v>16.075862068965282</v>
      </c>
      <c r="T68" s="27">
        <v>57.324137931037484</v>
      </c>
      <c r="U68" s="27">
        <v>107.44827586207695</v>
      </c>
      <c r="V68" s="27">
        <v>172.95862068967435</v>
      </c>
      <c r="W68" s="28">
        <v>374</v>
      </c>
      <c r="X68" s="25" t="s">
        <v>232</v>
      </c>
      <c r="Y68" s="31"/>
      <c r="Z68" s="25"/>
      <c r="AA68" s="29"/>
      <c r="AB68" s="25" t="s">
        <v>232</v>
      </c>
      <c r="AC68" s="31"/>
      <c r="AD68" s="31"/>
      <c r="AE68" s="41"/>
    </row>
    <row r="69" spans="1:31" ht="15.75" x14ac:dyDescent="0.25">
      <c r="A69" s="24" t="s">
        <v>435</v>
      </c>
      <c r="B69" s="25" t="s">
        <v>436</v>
      </c>
      <c r="C69" s="25" t="s">
        <v>56</v>
      </c>
      <c r="D69" s="25" t="s">
        <v>437</v>
      </c>
      <c r="E69" s="30">
        <v>89015</v>
      </c>
      <c r="F69" s="25" t="s">
        <v>438</v>
      </c>
      <c r="G69" s="25" t="s">
        <v>286</v>
      </c>
      <c r="H69" s="25" t="s">
        <v>201</v>
      </c>
      <c r="I69" s="26">
        <v>36.492138364779898</v>
      </c>
      <c r="J69" s="27">
        <v>54.496551724138044</v>
      </c>
      <c r="K69" s="27">
        <v>41.834482758620645</v>
      </c>
      <c r="L69" s="27">
        <v>52.579310344827569</v>
      </c>
      <c r="M69" s="27">
        <v>45.455172413793093</v>
      </c>
      <c r="N69" s="27">
        <v>99.668965517241261</v>
      </c>
      <c r="O69" s="27">
        <v>69.144827586207029</v>
      </c>
      <c r="P69" s="27">
        <v>18.193103448275867</v>
      </c>
      <c r="Q69" s="27">
        <v>7.358620689655166</v>
      </c>
      <c r="R69" s="27">
        <v>42.634482758620685</v>
      </c>
      <c r="S69" s="27">
        <v>35.710344827586191</v>
      </c>
      <c r="T69" s="27">
        <v>39.462068965517226</v>
      </c>
      <c r="U69" s="27">
        <v>76.558620689655385</v>
      </c>
      <c r="V69" s="27">
        <v>108.94482758620694</v>
      </c>
      <c r="W69" s="28"/>
      <c r="X69" s="25" t="s">
        <v>202</v>
      </c>
      <c r="Y69" s="31" t="s">
        <v>339</v>
      </c>
      <c r="Z69" s="25" t="s">
        <v>364</v>
      </c>
      <c r="AA69" s="29" t="s">
        <v>424</v>
      </c>
      <c r="AB69" s="25" t="s">
        <v>202</v>
      </c>
      <c r="AC69" s="31" t="s">
        <v>339</v>
      </c>
      <c r="AD69" s="31" t="s">
        <v>364</v>
      </c>
      <c r="AE69" s="41">
        <v>43300</v>
      </c>
    </row>
    <row r="70" spans="1:31" ht="15.75" x14ac:dyDescent="0.25">
      <c r="A70" s="24" t="s">
        <v>439</v>
      </c>
      <c r="B70" s="25" t="s">
        <v>440</v>
      </c>
      <c r="C70" s="25" t="s">
        <v>441</v>
      </c>
      <c r="D70" s="25" t="s">
        <v>344</v>
      </c>
      <c r="E70" s="30">
        <v>18428</v>
      </c>
      <c r="F70" s="25" t="s">
        <v>345</v>
      </c>
      <c r="G70" s="25" t="s">
        <v>230</v>
      </c>
      <c r="H70" s="25" t="s">
        <v>5</v>
      </c>
      <c r="I70" s="26">
        <v>52.109461966604798</v>
      </c>
      <c r="J70" s="27">
        <v>76.599999999999994</v>
      </c>
      <c r="K70" s="27">
        <v>24.289655172413802</v>
      </c>
      <c r="L70" s="27">
        <v>53.068965517241381</v>
      </c>
      <c r="M70" s="27">
        <v>37.18620689655171</v>
      </c>
      <c r="N70" s="27">
        <v>111.05517241379304</v>
      </c>
      <c r="O70" s="27">
        <v>80.062068965517227</v>
      </c>
      <c r="P70" s="27">
        <v>2.7586206896551724E-2</v>
      </c>
      <c r="Q70" s="27">
        <v>0</v>
      </c>
      <c r="R70" s="27">
        <v>52.413793103448278</v>
      </c>
      <c r="S70" s="27">
        <v>21.248275862068976</v>
      </c>
      <c r="T70" s="27">
        <v>35.144827586206901</v>
      </c>
      <c r="U70" s="27">
        <v>82.337931034482736</v>
      </c>
      <c r="V70" s="27">
        <v>108.57931034482756</v>
      </c>
      <c r="W70" s="28"/>
      <c r="X70" s="25" t="s">
        <v>202</v>
      </c>
      <c r="Y70" s="31" t="s">
        <v>287</v>
      </c>
      <c r="Z70" s="25" t="s">
        <v>204</v>
      </c>
      <c r="AA70" s="29" t="s">
        <v>298</v>
      </c>
      <c r="AB70" s="25" t="s">
        <v>202</v>
      </c>
      <c r="AC70" s="31" t="s">
        <v>287</v>
      </c>
      <c r="AD70" s="31" t="s">
        <v>204</v>
      </c>
      <c r="AE70" s="41">
        <v>43146</v>
      </c>
    </row>
    <row r="71" spans="1:31" ht="15.75" x14ac:dyDescent="0.25">
      <c r="A71" s="24" t="s">
        <v>38</v>
      </c>
      <c r="B71" s="25" t="s">
        <v>442</v>
      </c>
      <c r="C71" s="25" t="s">
        <v>443</v>
      </c>
      <c r="D71" s="25" t="s">
        <v>437</v>
      </c>
      <c r="E71" s="30">
        <v>89060</v>
      </c>
      <c r="F71" s="25" t="s">
        <v>438</v>
      </c>
      <c r="G71" s="25" t="s">
        <v>286</v>
      </c>
      <c r="H71" s="25" t="s">
        <v>201</v>
      </c>
      <c r="I71" s="26">
        <v>70.322666666666706</v>
      </c>
      <c r="J71" s="27">
        <v>87.537931034482781</v>
      </c>
      <c r="K71" s="27">
        <v>22.462068965517254</v>
      </c>
      <c r="L71" s="27">
        <v>49.12413793103449</v>
      </c>
      <c r="M71" s="27">
        <v>31.227586206896564</v>
      </c>
      <c r="N71" s="27">
        <v>85.248275862068866</v>
      </c>
      <c r="O71" s="27">
        <v>33.593103448275876</v>
      </c>
      <c r="P71" s="27">
        <v>11.510344827586207</v>
      </c>
      <c r="Q71" s="27">
        <v>60.000000000000014</v>
      </c>
      <c r="R71" s="27">
        <v>46.668965517241382</v>
      </c>
      <c r="S71" s="27">
        <v>23.379310344827584</v>
      </c>
      <c r="T71" s="27">
        <v>26.42068965517241</v>
      </c>
      <c r="U71" s="27">
        <v>93.882758620689742</v>
      </c>
      <c r="V71" s="27">
        <v>107.57931034482745</v>
      </c>
      <c r="W71" s="28"/>
      <c r="X71" s="25" t="s">
        <v>202</v>
      </c>
      <c r="Y71" s="31" t="s">
        <v>287</v>
      </c>
      <c r="Z71" s="25" t="s">
        <v>204</v>
      </c>
      <c r="AA71" s="29" t="s">
        <v>444</v>
      </c>
      <c r="AB71" s="25" t="s">
        <v>202</v>
      </c>
      <c r="AC71" s="31" t="s">
        <v>287</v>
      </c>
      <c r="AD71" s="31" t="s">
        <v>204</v>
      </c>
      <c r="AE71" s="41">
        <v>43307</v>
      </c>
    </row>
    <row r="72" spans="1:31" ht="15.75" x14ac:dyDescent="0.25">
      <c r="A72" s="24" t="s">
        <v>29</v>
      </c>
      <c r="B72" s="25" t="s">
        <v>445</v>
      </c>
      <c r="C72" s="25" t="s">
        <v>446</v>
      </c>
      <c r="D72" s="25" t="s">
        <v>215</v>
      </c>
      <c r="E72" s="30">
        <v>78118</v>
      </c>
      <c r="F72" s="25" t="s">
        <v>216</v>
      </c>
      <c r="G72" s="25" t="s">
        <v>222</v>
      </c>
      <c r="H72" s="25" t="s">
        <v>5</v>
      </c>
      <c r="I72" s="26">
        <v>27.0425531914894</v>
      </c>
      <c r="J72" s="27">
        <v>175.81379310344866</v>
      </c>
      <c r="K72" s="27">
        <v>5.441379310344824</v>
      </c>
      <c r="L72" s="27">
        <v>0.81379310344827593</v>
      </c>
      <c r="M72" s="27">
        <v>0.1103448275862069</v>
      </c>
      <c r="N72" s="27">
        <v>6.613793103448276</v>
      </c>
      <c r="O72" s="27">
        <v>174.0206896551725</v>
      </c>
      <c r="P72" s="27">
        <v>0</v>
      </c>
      <c r="Q72" s="27">
        <v>1.5448275862068983</v>
      </c>
      <c r="R72" s="27">
        <v>0</v>
      </c>
      <c r="S72" s="27">
        <v>0.68965517241379315</v>
      </c>
      <c r="T72" s="27">
        <v>5.9241379310344833</v>
      </c>
      <c r="U72" s="27">
        <v>175.56551724137975</v>
      </c>
      <c r="V72" s="27">
        <v>173.97241379310424</v>
      </c>
      <c r="W72" s="28">
        <v>830</v>
      </c>
      <c r="X72" s="25" t="s">
        <v>202</v>
      </c>
      <c r="Y72" s="31" t="s">
        <v>223</v>
      </c>
      <c r="Z72" s="25" t="s">
        <v>206</v>
      </c>
      <c r="AA72" s="29" t="s">
        <v>447</v>
      </c>
      <c r="AB72" s="25" t="s">
        <v>202</v>
      </c>
      <c r="AC72" s="31" t="s">
        <v>223</v>
      </c>
      <c r="AD72" s="31" t="s">
        <v>206</v>
      </c>
      <c r="AE72" s="41">
        <v>43804</v>
      </c>
    </row>
    <row r="73" spans="1:31" ht="15.75" x14ac:dyDescent="0.25">
      <c r="A73" s="24" t="s">
        <v>448</v>
      </c>
      <c r="B73" s="25" t="s">
        <v>449</v>
      </c>
      <c r="C73" s="25" t="s">
        <v>450</v>
      </c>
      <c r="D73" s="25" t="s">
        <v>198</v>
      </c>
      <c r="E73" s="30">
        <v>95901</v>
      </c>
      <c r="F73" s="25" t="s">
        <v>383</v>
      </c>
      <c r="G73" s="25" t="s">
        <v>230</v>
      </c>
      <c r="H73" s="25" t="s">
        <v>201</v>
      </c>
      <c r="I73" s="26">
        <v>60.059090909090898</v>
      </c>
      <c r="J73" s="27">
        <v>14.875862068965519</v>
      </c>
      <c r="K73" s="27">
        <v>22.772413793103446</v>
      </c>
      <c r="L73" s="27">
        <v>48.282758620689705</v>
      </c>
      <c r="M73" s="27">
        <v>91.303448275862053</v>
      </c>
      <c r="N73" s="27">
        <v>141.7379310344829</v>
      </c>
      <c r="O73" s="27">
        <v>22.489655172413784</v>
      </c>
      <c r="P73" s="27">
        <v>10.227586206896552</v>
      </c>
      <c r="Q73" s="27">
        <v>2.7793103448275858</v>
      </c>
      <c r="R73" s="27">
        <v>97.958620689655206</v>
      </c>
      <c r="S73" s="27">
        <v>28.386206896551723</v>
      </c>
      <c r="T73" s="27">
        <v>25.593103448275865</v>
      </c>
      <c r="U73" s="27">
        <v>25.296551724137931</v>
      </c>
      <c r="V73" s="27">
        <v>123.19310344827606</v>
      </c>
      <c r="W73" s="28"/>
      <c r="X73" s="25" t="s">
        <v>202</v>
      </c>
      <c r="Y73" s="31" t="s">
        <v>339</v>
      </c>
      <c r="Z73" s="25" t="s">
        <v>364</v>
      </c>
      <c r="AA73" s="29" t="s">
        <v>353</v>
      </c>
      <c r="AB73" s="25" t="s">
        <v>202</v>
      </c>
      <c r="AC73" s="31" t="s">
        <v>339</v>
      </c>
      <c r="AD73" s="31" t="s">
        <v>364</v>
      </c>
      <c r="AE73" s="41">
        <v>43420</v>
      </c>
    </row>
    <row r="74" spans="1:31" ht="15.75" x14ac:dyDescent="0.25">
      <c r="A74" s="24" t="s">
        <v>451</v>
      </c>
      <c r="B74" s="25" t="s">
        <v>452</v>
      </c>
      <c r="C74" s="25" t="s">
        <v>453</v>
      </c>
      <c r="D74" s="25" t="s">
        <v>215</v>
      </c>
      <c r="E74" s="30">
        <v>76031</v>
      </c>
      <c r="F74" s="25" t="s">
        <v>308</v>
      </c>
      <c r="G74" s="25" t="s">
        <v>230</v>
      </c>
      <c r="H74" s="25" t="s">
        <v>5</v>
      </c>
      <c r="I74" s="26">
        <v>29.1097293343087</v>
      </c>
      <c r="J74" s="27">
        <v>84.537931034483194</v>
      </c>
      <c r="K74" s="27">
        <v>33.303448275862088</v>
      </c>
      <c r="L74" s="27">
        <v>33.034482758620712</v>
      </c>
      <c r="M74" s="27">
        <v>22.799999999999983</v>
      </c>
      <c r="N74" s="27">
        <v>101.86896551724168</v>
      </c>
      <c r="O74" s="27">
        <v>71.806896551724336</v>
      </c>
      <c r="P74" s="27">
        <v>0</v>
      </c>
      <c r="Q74" s="27">
        <v>0</v>
      </c>
      <c r="R74" s="27">
        <v>36.441379310344871</v>
      </c>
      <c r="S74" s="27">
        <v>26.848275862068963</v>
      </c>
      <c r="T74" s="27">
        <v>39.124137931034497</v>
      </c>
      <c r="U74" s="27">
        <v>71.262068965517457</v>
      </c>
      <c r="V74" s="27">
        <v>87.206896551724398</v>
      </c>
      <c r="W74" s="28"/>
      <c r="X74" s="25" t="s">
        <v>202</v>
      </c>
      <c r="Y74" s="31" t="s">
        <v>203</v>
      </c>
      <c r="Z74" s="25" t="s">
        <v>204</v>
      </c>
      <c r="AA74" s="29" t="s">
        <v>338</v>
      </c>
      <c r="AB74" s="25" t="s">
        <v>202</v>
      </c>
      <c r="AC74" s="31" t="s">
        <v>203</v>
      </c>
      <c r="AD74" s="31" t="s">
        <v>204</v>
      </c>
      <c r="AE74" s="41">
        <v>43335</v>
      </c>
    </row>
    <row r="75" spans="1:31" ht="15.75" x14ac:dyDescent="0.25">
      <c r="A75" s="24" t="s">
        <v>454</v>
      </c>
      <c r="B75" s="25" t="s">
        <v>455</v>
      </c>
      <c r="C75" s="25" t="s">
        <v>456</v>
      </c>
      <c r="D75" s="25" t="s">
        <v>35</v>
      </c>
      <c r="E75" s="30">
        <v>2747</v>
      </c>
      <c r="F75" s="25" t="s">
        <v>391</v>
      </c>
      <c r="G75" s="25" t="s">
        <v>230</v>
      </c>
      <c r="H75" s="25" t="s">
        <v>201</v>
      </c>
      <c r="I75" s="26">
        <v>89.941176470588204</v>
      </c>
      <c r="J75" s="27">
        <v>24.262068965517237</v>
      </c>
      <c r="K75" s="27">
        <v>16.965517241379313</v>
      </c>
      <c r="L75" s="27">
        <v>53.848275862068952</v>
      </c>
      <c r="M75" s="27">
        <v>72.737931034482756</v>
      </c>
      <c r="N75" s="27">
        <v>95.717241379310352</v>
      </c>
      <c r="O75" s="27">
        <v>58.848275862068981</v>
      </c>
      <c r="P75" s="27">
        <v>9.2275862068965502</v>
      </c>
      <c r="Q75" s="27">
        <v>4.0206896551724132</v>
      </c>
      <c r="R75" s="27">
        <v>69.889655172413796</v>
      </c>
      <c r="S75" s="27">
        <v>11.434482758620691</v>
      </c>
      <c r="T75" s="27">
        <v>23.682758620689651</v>
      </c>
      <c r="U75" s="27">
        <v>62.806896551724144</v>
      </c>
      <c r="V75" s="27">
        <v>99.358620689655297</v>
      </c>
      <c r="W75" s="28"/>
      <c r="X75" s="25" t="s">
        <v>202</v>
      </c>
      <c r="Y75" s="31" t="s">
        <v>287</v>
      </c>
      <c r="Z75" s="25" t="s">
        <v>204</v>
      </c>
      <c r="AA75" s="29" t="s">
        <v>258</v>
      </c>
      <c r="AB75" s="25" t="s">
        <v>202</v>
      </c>
      <c r="AC75" s="31" t="s">
        <v>287</v>
      </c>
      <c r="AD75" s="31" t="s">
        <v>204</v>
      </c>
      <c r="AE75" s="41">
        <v>43230</v>
      </c>
    </row>
    <row r="76" spans="1:31" ht="15.75" x14ac:dyDescent="0.25">
      <c r="A76" s="24" t="s">
        <v>457</v>
      </c>
      <c r="B76" s="25" t="s">
        <v>458</v>
      </c>
      <c r="C76" s="25" t="s">
        <v>459</v>
      </c>
      <c r="D76" s="25" t="s">
        <v>460</v>
      </c>
      <c r="E76" s="30">
        <v>44505</v>
      </c>
      <c r="F76" s="25" t="s">
        <v>461</v>
      </c>
      <c r="G76" s="25" t="s">
        <v>217</v>
      </c>
      <c r="H76" s="25" t="s">
        <v>5</v>
      </c>
      <c r="I76" s="26">
        <v>104.35839598997499</v>
      </c>
      <c r="J76" s="27">
        <v>113.31724137931016</v>
      </c>
      <c r="K76" s="27">
        <v>15.186206896551729</v>
      </c>
      <c r="L76" s="27">
        <v>20.634482758620699</v>
      </c>
      <c r="M76" s="27">
        <v>16.23448275862069</v>
      </c>
      <c r="N76" s="27">
        <v>50.531034482758592</v>
      </c>
      <c r="O76" s="27">
        <v>114.84137931034465</v>
      </c>
      <c r="P76" s="27">
        <v>0</v>
      </c>
      <c r="Q76" s="27">
        <v>0</v>
      </c>
      <c r="R76" s="27">
        <v>21.862068965517246</v>
      </c>
      <c r="S76" s="27">
        <v>15.999999999999995</v>
      </c>
      <c r="T76" s="27">
        <v>12.4</v>
      </c>
      <c r="U76" s="27">
        <v>115.110344827586</v>
      </c>
      <c r="V76" s="27">
        <v>129.39999999999975</v>
      </c>
      <c r="W76" s="28">
        <v>300</v>
      </c>
      <c r="X76" s="25" t="s">
        <v>202</v>
      </c>
      <c r="Y76" s="31" t="s">
        <v>203</v>
      </c>
      <c r="Z76" s="25" t="s">
        <v>204</v>
      </c>
      <c r="AA76" s="29" t="s">
        <v>462</v>
      </c>
      <c r="AB76" s="25" t="s">
        <v>202</v>
      </c>
      <c r="AC76" s="31" t="s">
        <v>203</v>
      </c>
      <c r="AD76" s="31" t="s">
        <v>204</v>
      </c>
      <c r="AE76" s="41">
        <v>43181</v>
      </c>
    </row>
    <row r="77" spans="1:31" ht="15.75" x14ac:dyDescent="0.25">
      <c r="A77" s="24" t="s">
        <v>463</v>
      </c>
      <c r="B77" s="25" t="s">
        <v>464</v>
      </c>
      <c r="C77" s="25" t="s">
        <v>465</v>
      </c>
      <c r="D77" s="25" t="s">
        <v>416</v>
      </c>
      <c r="E77" s="30">
        <v>62992</v>
      </c>
      <c r="F77" s="25" t="s">
        <v>43</v>
      </c>
      <c r="G77" s="25" t="s">
        <v>230</v>
      </c>
      <c r="H77" s="25" t="s">
        <v>201</v>
      </c>
      <c r="I77" s="26">
        <v>20.4926279271466</v>
      </c>
      <c r="J77" s="27">
        <v>56.151724137931026</v>
      </c>
      <c r="K77" s="27">
        <v>24.289655172413788</v>
      </c>
      <c r="L77" s="27">
        <v>36.434482758620724</v>
      </c>
      <c r="M77" s="27">
        <v>35.406896551724159</v>
      </c>
      <c r="N77" s="27">
        <v>93.455172413793449</v>
      </c>
      <c r="O77" s="27">
        <v>47.572413793103436</v>
      </c>
      <c r="P77" s="27">
        <v>2.7999999999999994</v>
      </c>
      <c r="Q77" s="27">
        <v>8.4551724137930968</v>
      </c>
      <c r="R77" s="27">
        <v>39.055172413793159</v>
      </c>
      <c r="S77" s="27">
        <v>25.448275862068982</v>
      </c>
      <c r="T77" s="27">
        <v>31.889655172413782</v>
      </c>
      <c r="U77" s="27">
        <v>55.889655172413789</v>
      </c>
      <c r="V77" s="27">
        <v>92.393103448276236</v>
      </c>
      <c r="W77" s="28"/>
      <c r="X77" s="25" t="s">
        <v>202</v>
      </c>
      <c r="Y77" s="31" t="s">
        <v>203</v>
      </c>
      <c r="Z77" s="25" t="s">
        <v>204</v>
      </c>
      <c r="AA77" s="29" t="s">
        <v>365</v>
      </c>
      <c r="AB77" s="25" t="s">
        <v>202</v>
      </c>
      <c r="AC77" s="31" t="s">
        <v>203</v>
      </c>
      <c r="AD77" s="31" t="s">
        <v>204</v>
      </c>
      <c r="AE77" s="41">
        <v>43174</v>
      </c>
    </row>
    <row r="78" spans="1:31" ht="15.75" x14ac:dyDescent="0.25">
      <c r="A78" s="24" t="s">
        <v>466</v>
      </c>
      <c r="B78" s="25" t="s">
        <v>467</v>
      </c>
      <c r="C78" s="25" t="s">
        <v>468</v>
      </c>
      <c r="D78" s="25" t="s">
        <v>469</v>
      </c>
      <c r="E78" s="30">
        <v>53144</v>
      </c>
      <c r="F78" s="25" t="s">
        <v>43</v>
      </c>
      <c r="G78" s="25" t="s">
        <v>286</v>
      </c>
      <c r="H78" s="25" t="s">
        <v>201</v>
      </c>
      <c r="I78" s="26">
        <v>22.178571428571399</v>
      </c>
      <c r="J78" s="27">
        <v>74.406896551724131</v>
      </c>
      <c r="K78" s="27">
        <v>18.275862068965502</v>
      </c>
      <c r="L78" s="27">
        <v>27.951724137931052</v>
      </c>
      <c r="M78" s="27">
        <v>28.482758620689662</v>
      </c>
      <c r="N78" s="27">
        <v>70.751724137931191</v>
      </c>
      <c r="O78" s="27">
        <v>61.544827586206857</v>
      </c>
      <c r="P78" s="27">
        <v>6.0482758620689649</v>
      </c>
      <c r="Q78" s="27">
        <v>10.772413793103448</v>
      </c>
      <c r="R78" s="27">
        <v>34.710344827586233</v>
      </c>
      <c r="S78" s="27">
        <v>18.793103448275861</v>
      </c>
      <c r="T78" s="27">
        <v>23.372413793103455</v>
      </c>
      <c r="U78" s="27">
        <v>72.241379310344783</v>
      </c>
      <c r="V78" s="27">
        <v>88.275862068965651</v>
      </c>
      <c r="W78" s="28"/>
      <c r="X78" s="25" t="s">
        <v>202</v>
      </c>
      <c r="Y78" s="31" t="s">
        <v>339</v>
      </c>
      <c r="Z78" s="25" t="s">
        <v>364</v>
      </c>
      <c r="AA78" s="29" t="s">
        <v>332</v>
      </c>
      <c r="AB78" s="25" t="s">
        <v>202</v>
      </c>
      <c r="AC78" s="31" t="s">
        <v>339</v>
      </c>
      <c r="AD78" s="31" t="s">
        <v>364</v>
      </c>
      <c r="AE78" s="41">
        <v>43258</v>
      </c>
    </row>
    <row r="79" spans="1:31" ht="15.75" x14ac:dyDescent="0.25">
      <c r="A79" s="24" t="s">
        <v>470</v>
      </c>
      <c r="B79" s="25" t="s">
        <v>471</v>
      </c>
      <c r="C79" s="25" t="s">
        <v>472</v>
      </c>
      <c r="D79" s="25" t="s">
        <v>473</v>
      </c>
      <c r="E79" s="30">
        <v>49014</v>
      </c>
      <c r="F79" s="25" t="s">
        <v>461</v>
      </c>
      <c r="G79" s="25" t="s">
        <v>230</v>
      </c>
      <c r="H79" s="25" t="s">
        <v>201</v>
      </c>
      <c r="I79" s="26">
        <v>48.0738255033557</v>
      </c>
      <c r="J79" s="27">
        <v>40.517241379310299</v>
      </c>
      <c r="K79" s="27">
        <v>45.937931034482745</v>
      </c>
      <c r="L79" s="27">
        <v>28.917241379310354</v>
      </c>
      <c r="M79" s="27">
        <v>18.151724137931037</v>
      </c>
      <c r="N79" s="27">
        <v>68.74482758620691</v>
      </c>
      <c r="O79" s="27">
        <v>38.47586206896554</v>
      </c>
      <c r="P79" s="27">
        <v>12.393103448275863</v>
      </c>
      <c r="Q79" s="27">
        <v>13.910344827586204</v>
      </c>
      <c r="R79" s="27">
        <v>29.799999999999994</v>
      </c>
      <c r="S79" s="27">
        <v>21.76551724137931</v>
      </c>
      <c r="T79" s="27">
        <v>29.986206896551735</v>
      </c>
      <c r="U79" s="27">
        <v>51.972413793103456</v>
      </c>
      <c r="V79" s="27">
        <v>70.213793103448268</v>
      </c>
      <c r="W79" s="28">
        <v>75</v>
      </c>
      <c r="X79" s="25" t="s">
        <v>202</v>
      </c>
      <c r="Y79" s="31" t="s">
        <v>339</v>
      </c>
      <c r="Z79" s="25" t="s">
        <v>364</v>
      </c>
      <c r="AA79" s="29" t="s">
        <v>474</v>
      </c>
      <c r="AB79" s="25" t="s">
        <v>202</v>
      </c>
      <c r="AC79" s="31" t="s">
        <v>339</v>
      </c>
      <c r="AD79" s="31" t="s">
        <v>364</v>
      </c>
      <c r="AE79" s="41">
        <v>43167</v>
      </c>
    </row>
    <row r="80" spans="1:31" ht="15.75" x14ac:dyDescent="0.25">
      <c r="A80" s="24" t="s">
        <v>475</v>
      </c>
      <c r="B80" s="25" t="s">
        <v>476</v>
      </c>
      <c r="C80" s="25" t="s">
        <v>477</v>
      </c>
      <c r="D80" s="25" t="s">
        <v>47</v>
      </c>
      <c r="E80" s="30">
        <v>21863</v>
      </c>
      <c r="F80" s="25" t="s">
        <v>478</v>
      </c>
      <c r="G80" s="25" t="s">
        <v>230</v>
      </c>
      <c r="H80" s="25" t="s">
        <v>201</v>
      </c>
      <c r="I80" s="26">
        <v>70.587248322147602</v>
      </c>
      <c r="J80" s="27">
        <v>36.448275862068968</v>
      </c>
      <c r="K80" s="27">
        <v>11.275862068965514</v>
      </c>
      <c r="L80" s="27">
        <v>33.855172413793113</v>
      </c>
      <c r="M80" s="27">
        <v>51.765517241379321</v>
      </c>
      <c r="N80" s="27">
        <v>84.855172413793071</v>
      </c>
      <c r="O80" s="27">
        <v>40.648275862068964</v>
      </c>
      <c r="P80" s="27">
        <v>4.4896551724137934</v>
      </c>
      <c r="Q80" s="27">
        <v>3.3517241379310341</v>
      </c>
      <c r="R80" s="27">
        <v>46.537931034482753</v>
      </c>
      <c r="S80" s="27">
        <v>21.972413793103449</v>
      </c>
      <c r="T80" s="27">
        <v>20.758620689655171</v>
      </c>
      <c r="U80" s="27">
        <v>44.075862068965513</v>
      </c>
      <c r="V80" s="27">
        <v>87.862068965517153</v>
      </c>
      <c r="W80" s="28"/>
      <c r="X80" s="25" t="s">
        <v>202</v>
      </c>
      <c r="Y80" s="31" t="s">
        <v>339</v>
      </c>
      <c r="Z80" s="25" t="s">
        <v>364</v>
      </c>
      <c r="AA80" s="29" t="s">
        <v>479</v>
      </c>
      <c r="AB80" s="25" t="s">
        <v>202</v>
      </c>
      <c r="AC80" s="31" t="s">
        <v>339</v>
      </c>
      <c r="AD80" s="31" t="s">
        <v>364</v>
      </c>
      <c r="AE80" s="41">
        <v>43328</v>
      </c>
    </row>
    <row r="81" spans="1:31" ht="15.75" x14ac:dyDescent="0.25">
      <c r="A81" s="24" t="s">
        <v>480</v>
      </c>
      <c r="B81" s="25" t="s">
        <v>481</v>
      </c>
      <c r="C81" s="25" t="s">
        <v>482</v>
      </c>
      <c r="D81" s="25" t="s">
        <v>215</v>
      </c>
      <c r="E81" s="30">
        <v>79501</v>
      </c>
      <c r="F81" s="25" t="s">
        <v>308</v>
      </c>
      <c r="G81" s="25" t="s">
        <v>230</v>
      </c>
      <c r="H81" s="25" t="s">
        <v>5</v>
      </c>
      <c r="I81" s="26">
        <v>25.908450704225402</v>
      </c>
      <c r="J81" s="27">
        <v>71.703448275862144</v>
      </c>
      <c r="K81" s="27">
        <v>29.889655172413811</v>
      </c>
      <c r="L81" s="27">
        <v>17.972413793103456</v>
      </c>
      <c r="M81" s="27">
        <v>12.903448275862068</v>
      </c>
      <c r="N81" s="27">
        <v>62.110344827586196</v>
      </c>
      <c r="O81" s="27">
        <v>42.351724137931079</v>
      </c>
      <c r="P81" s="27">
        <v>2.1310344827586207</v>
      </c>
      <c r="Q81" s="27">
        <v>25.875862068965507</v>
      </c>
      <c r="R81" s="27">
        <v>25.2206896551724</v>
      </c>
      <c r="S81" s="27">
        <v>17.400000000000002</v>
      </c>
      <c r="T81" s="27">
        <v>21.517241379310352</v>
      </c>
      <c r="U81" s="27">
        <v>68.331034482758653</v>
      </c>
      <c r="V81" s="27">
        <v>64.965517241379317</v>
      </c>
      <c r="W81" s="28">
        <v>750</v>
      </c>
      <c r="X81" s="25" t="s">
        <v>202</v>
      </c>
      <c r="Y81" s="31" t="s">
        <v>203</v>
      </c>
      <c r="Z81" s="25" t="s">
        <v>387</v>
      </c>
      <c r="AA81" s="29" t="s">
        <v>273</v>
      </c>
      <c r="AB81" s="25" t="s">
        <v>232</v>
      </c>
      <c r="AC81" s="31"/>
      <c r="AD81" s="31"/>
      <c r="AE81" s="41"/>
    </row>
    <row r="82" spans="1:31" ht="15.75" x14ac:dyDescent="0.25">
      <c r="A82" s="24" t="s">
        <v>483</v>
      </c>
      <c r="B82" s="25" t="s">
        <v>484</v>
      </c>
      <c r="C82" s="25" t="s">
        <v>485</v>
      </c>
      <c r="D82" s="25" t="s">
        <v>416</v>
      </c>
      <c r="E82" s="30">
        <v>60901</v>
      </c>
      <c r="F82" s="25" t="s">
        <v>43</v>
      </c>
      <c r="G82" s="25" t="s">
        <v>286</v>
      </c>
      <c r="H82" s="25" t="s">
        <v>5</v>
      </c>
      <c r="I82" s="26">
        <v>9.8881373569198807</v>
      </c>
      <c r="J82" s="27">
        <v>48.151724137931048</v>
      </c>
      <c r="K82" s="27">
        <v>17.813793103448251</v>
      </c>
      <c r="L82" s="27">
        <v>22.17241379310342</v>
      </c>
      <c r="M82" s="27">
        <v>40.17241379310348</v>
      </c>
      <c r="N82" s="27">
        <v>87.282758620690032</v>
      </c>
      <c r="O82" s="27">
        <v>41.027586206896558</v>
      </c>
      <c r="P82" s="27">
        <v>0</v>
      </c>
      <c r="Q82" s="27">
        <v>0</v>
      </c>
      <c r="R82" s="27">
        <v>46.972413793103456</v>
      </c>
      <c r="S82" s="27">
        <v>24.413793103448267</v>
      </c>
      <c r="T82" s="27">
        <v>15.827586206896514</v>
      </c>
      <c r="U82" s="27">
        <v>41.096551724137932</v>
      </c>
      <c r="V82" s="27">
        <v>91.137931034483543</v>
      </c>
      <c r="W82" s="28"/>
      <c r="X82" s="25" t="s">
        <v>202</v>
      </c>
      <c r="Y82" s="31" t="s">
        <v>339</v>
      </c>
      <c r="Z82" s="25" t="s">
        <v>364</v>
      </c>
      <c r="AA82" s="29" t="s">
        <v>380</v>
      </c>
      <c r="AB82" s="25" t="s">
        <v>202</v>
      </c>
      <c r="AC82" s="31" t="s">
        <v>339</v>
      </c>
      <c r="AD82" s="31" t="s">
        <v>364</v>
      </c>
      <c r="AE82" s="41">
        <v>43202</v>
      </c>
    </row>
    <row r="83" spans="1:31" ht="15.75" x14ac:dyDescent="0.25">
      <c r="A83" s="24" t="s">
        <v>486</v>
      </c>
      <c r="B83" s="25" t="s">
        <v>487</v>
      </c>
      <c r="C83" s="25" t="s">
        <v>488</v>
      </c>
      <c r="D83" s="25" t="s">
        <v>489</v>
      </c>
      <c r="E83" s="30">
        <v>41005</v>
      </c>
      <c r="F83" s="25" t="s">
        <v>43</v>
      </c>
      <c r="G83" s="25" t="s">
        <v>286</v>
      </c>
      <c r="H83" s="25" t="s">
        <v>201</v>
      </c>
      <c r="I83" s="26">
        <v>39.6404255319149</v>
      </c>
      <c r="J83" s="27">
        <v>28.641379310344831</v>
      </c>
      <c r="K83" s="27">
        <v>21.200000000000006</v>
      </c>
      <c r="L83" s="27">
        <v>38.517241379310327</v>
      </c>
      <c r="M83" s="27">
        <v>33.579310344827583</v>
      </c>
      <c r="N83" s="27">
        <v>88.482758620689779</v>
      </c>
      <c r="O83" s="27">
        <v>30.282758620689659</v>
      </c>
      <c r="P83" s="27">
        <v>2.3172413793103446</v>
      </c>
      <c r="Q83" s="27">
        <v>0.85517241379310349</v>
      </c>
      <c r="R83" s="27">
        <v>35.503448275862063</v>
      </c>
      <c r="S83" s="27">
        <v>35.475862068965505</v>
      </c>
      <c r="T83" s="27">
        <v>20.12413793103449</v>
      </c>
      <c r="U83" s="27">
        <v>30.834482758620695</v>
      </c>
      <c r="V83" s="27">
        <v>62.151724137931097</v>
      </c>
      <c r="W83" s="28"/>
      <c r="X83" s="25" t="s">
        <v>202</v>
      </c>
      <c r="Y83" s="31" t="s">
        <v>339</v>
      </c>
      <c r="Z83" s="25" t="s">
        <v>364</v>
      </c>
      <c r="AA83" s="29" t="s">
        <v>474</v>
      </c>
      <c r="AB83" s="25" t="s">
        <v>202</v>
      </c>
      <c r="AC83" s="31" t="s">
        <v>339</v>
      </c>
      <c r="AD83" s="31" t="s">
        <v>364</v>
      </c>
      <c r="AE83" s="41">
        <v>43167</v>
      </c>
    </row>
    <row r="84" spans="1:31" ht="15.75" x14ac:dyDescent="0.25">
      <c r="A84" s="24" t="s">
        <v>490</v>
      </c>
      <c r="B84" s="25" t="s">
        <v>491</v>
      </c>
      <c r="C84" s="25" t="s">
        <v>33</v>
      </c>
      <c r="D84" s="25" t="s">
        <v>460</v>
      </c>
      <c r="E84" s="30">
        <v>45011</v>
      </c>
      <c r="F84" s="25" t="s">
        <v>461</v>
      </c>
      <c r="G84" s="25" t="s">
        <v>230</v>
      </c>
      <c r="H84" s="25" t="s">
        <v>201</v>
      </c>
      <c r="I84" s="26">
        <v>42.724409448818903</v>
      </c>
      <c r="J84" s="27">
        <v>40.220689655172443</v>
      </c>
      <c r="K84" s="27">
        <v>32.958620689655199</v>
      </c>
      <c r="L84" s="27">
        <v>30.365517241379305</v>
      </c>
      <c r="M84" s="27">
        <v>10.524137931034485</v>
      </c>
      <c r="N84" s="27">
        <v>66.937931034482773</v>
      </c>
      <c r="O84" s="27">
        <v>38.641379310344824</v>
      </c>
      <c r="P84" s="27">
        <v>2.241379310344827</v>
      </c>
      <c r="Q84" s="27">
        <v>6.2482758620689633</v>
      </c>
      <c r="R84" s="27">
        <v>13.717241379310348</v>
      </c>
      <c r="S84" s="27">
        <v>24.400000000000002</v>
      </c>
      <c r="T84" s="27">
        <v>31.075862068965524</v>
      </c>
      <c r="U84" s="27">
        <v>44.875862068965517</v>
      </c>
      <c r="V84" s="27">
        <v>34.827586206896505</v>
      </c>
      <c r="W84" s="28"/>
      <c r="X84" s="25" t="s">
        <v>202</v>
      </c>
      <c r="Y84" s="31" t="s">
        <v>339</v>
      </c>
      <c r="Z84" s="25" t="s">
        <v>364</v>
      </c>
      <c r="AA84" s="29" t="s">
        <v>408</v>
      </c>
      <c r="AB84" s="25" t="s">
        <v>202</v>
      </c>
      <c r="AC84" s="31" t="s">
        <v>339</v>
      </c>
      <c r="AD84" s="31" t="s">
        <v>364</v>
      </c>
      <c r="AE84" s="41">
        <v>43154</v>
      </c>
    </row>
    <row r="85" spans="1:31" ht="15.75" x14ac:dyDescent="0.25">
      <c r="A85" s="24" t="s">
        <v>492</v>
      </c>
      <c r="B85" s="25" t="s">
        <v>493</v>
      </c>
      <c r="C85" s="25" t="s">
        <v>494</v>
      </c>
      <c r="D85" s="25" t="s">
        <v>469</v>
      </c>
      <c r="E85" s="30">
        <v>53039</v>
      </c>
      <c r="F85" s="25" t="s">
        <v>43</v>
      </c>
      <c r="G85" s="25" t="s">
        <v>286</v>
      </c>
      <c r="H85" s="25" t="s">
        <v>201</v>
      </c>
      <c r="I85" s="26">
        <v>28.726495726495699</v>
      </c>
      <c r="J85" s="27">
        <v>20.406896551724138</v>
      </c>
      <c r="K85" s="27">
        <v>13.372413793103435</v>
      </c>
      <c r="L85" s="27">
        <v>46.420689655172424</v>
      </c>
      <c r="M85" s="27">
        <v>33.613793103448309</v>
      </c>
      <c r="N85" s="27">
        <v>81.165517241379405</v>
      </c>
      <c r="O85" s="27">
        <v>24.751724137931046</v>
      </c>
      <c r="P85" s="27">
        <v>6.7310344827586199</v>
      </c>
      <c r="Q85" s="27">
        <v>1.1655172413793107</v>
      </c>
      <c r="R85" s="27">
        <v>25.924137931034487</v>
      </c>
      <c r="S85" s="27">
        <v>35.855172413793149</v>
      </c>
      <c r="T85" s="27">
        <v>22.965517241379313</v>
      </c>
      <c r="U85" s="27">
        <v>29.068965517241406</v>
      </c>
      <c r="V85" s="27">
        <v>57.248275862068972</v>
      </c>
      <c r="W85" s="28"/>
      <c r="X85" s="25" t="s">
        <v>202</v>
      </c>
      <c r="Y85" s="31" t="s">
        <v>339</v>
      </c>
      <c r="Z85" s="25" t="s">
        <v>364</v>
      </c>
      <c r="AA85" s="29" t="s">
        <v>495</v>
      </c>
      <c r="AB85" s="25" t="s">
        <v>202</v>
      </c>
      <c r="AC85" s="31" t="s">
        <v>339</v>
      </c>
      <c r="AD85" s="31" t="s">
        <v>364</v>
      </c>
      <c r="AE85" s="41">
        <v>43209</v>
      </c>
    </row>
    <row r="86" spans="1:31" ht="15.75" x14ac:dyDescent="0.25">
      <c r="A86" s="24" t="s">
        <v>34</v>
      </c>
      <c r="B86" s="25" t="s">
        <v>496</v>
      </c>
      <c r="C86" s="25" t="s">
        <v>497</v>
      </c>
      <c r="D86" s="25" t="s">
        <v>359</v>
      </c>
      <c r="E86" s="30">
        <v>10924</v>
      </c>
      <c r="F86" s="25" t="s">
        <v>399</v>
      </c>
      <c r="G86" s="25" t="s">
        <v>230</v>
      </c>
      <c r="H86" s="25" t="s">
        <v>201</v>
      </c>
      <c r="I86" s="26">
        <v>74.056277056277096</v>
      </c>
      <c r="J86" s="27">
        <v>28.544827586206896</v>
      </c>
      <c r="K86" s="27">
        <v>22.351724137931033</v>
      </c>
      <c r="L86" s="27">
        <v>42.655172413793117</v>
      </c>
      <c r="M86" s="27">
        <v>18.317241379310339</v>
      </c>
      <c r="N86" s="27">
        <v>74.882758620689671</v>
      </c>
      <c r="O86" s="27">
        <v>34.682758620689654</v>
      </c>
      <c r="P86" s="27">
        <v>0.50344827586206897</v>
      </c>
      <c r="Q86" s="27">
        <v>1.7999999999999998</v>
      </c>
      <c r="R86" s="27">
        <v>28.765517241379307</v>
      </c>
      <c r="S86" s="27">
        <v>12.793103448275863</v>
      </c>
      <c r="T86" s="27">
        <v>33.972413793103449</v>
      </c>
      <c r="U86" s="27">
        <v>36.337931034482757</v>
      </c>
      <c r="V86" s="27">
        <v>46.772413793103404</v>
      </c>
      <c r="W86" s="28"/>
      <c r="X86" s="25" t="s">
        <v>202</v>
      </c>
      <c r="Y86" s="31" t="s">
        <v>339</v>
      </c>
      <c r="Z86" s="25" t="s">
        <v>364</v>
      </c>
      <c r="AA86" s="29" t="s">
        <v>495</v>
      </c>
      <c r="AB86" s="25" t="s">
        <v>202</v>
      </c>
      <c r="AC86" s="31" t="s">
        <v>339</v>
      </c>
      <c r="AD86" s="31" t="s">
        <v>364</v>
      </c>
      <c r="AE86" s="41">
        <v>43209</v>
      </c>
    </row>
    <row r="87" spans="1:31" ht="15.75" x14ac:dyDescent="0.25">
      <c r="A87" s="24" t="s">
        <v>7</v>
      </c>
      <c r="B87" s="25" t="s">
        <v>498</v>
      </c>
      <c r="C87" s="25" t="s">
        <v>499</v>
      </c>
      <c r="D87" s="25" t="s">
        <v>228</v>
      </c>
      <c r="E87" s="30">
        <v>70655</v>
      </c>
      <c r="F87" s="25" t="s">
        <v>229</v>
      </c>
      <c r="G87" s="25" t="s">
        <v>230</v>
      </c>
      <c r="H87" s="25" t="s">
        <v>5</v>
      </c>
      <c r="I87" s="26">
        <v>63.06</v>
      </c>
      <c r="J87" s="27">
        <v>69.593103448275869</v>
      </c>
      <c r="K87" s="27">
        <v>38.331034482758625</v>
      </c>
      <c r="L87" s="27">
        <v>1.4137931034482758</v>
      </c>
      <c r="M87" s="27">
        <v>0.47586206896551725</v>
      </c>
      <c r="N87" s="27">
        <v>12.793103448275865</v>
      </c>
      <c r="O87" s="27">
        <v>97.020689655172447</v>
      </c>
      <c r="P87" s="27">
        <v>0</v>
      </c>
      <c r="Q87" s="27">
        <v>0</v>
      </c>
      <c r="R87" s="27">
        <v>1.2000000000000002</v>
      </c>
      <c r="S87" s="27">
        <v>0.8413793103448276</v>
      </c>
      <c r="T87" s="27">
        <v>10.751724137931035</v>
      </c>
      <c r="U87" s="27">
        <v>97.020689655172447</v>
      </c>
      <c r="V87" s="27">
        <v>55.372413793103497</v>
      </c>
      <c r="W87" s="28"/>
      <c r="X87" s="25" t="s">
        <v>202</v>
      </c>
      <c r="Y87" s="31" t="s">
        <v>203</v>
      </c>
      <c r="Z87" s="25" t="s">
        <v>204</v>
      </c>
      <c r="AA87" s="29" t="s">
        <v>500</v>
      </c>
      <c r="AB87" s="25" t="s">
        <v>202</v>
      </c>
      <c r="AC87" s="31" t="s">
        <v>203</v>
      </c>
      <c r="AD87" s="31" t="s">
        <v>371</v>
      </c>
      <c r="AE87" s="41">
        <v>43510</v>
      </c>
    </row>
    <row r="88" spans="1:31" ht="15.75" x14ac:dyDescent="0.25">
      <c r="A88" s="24" t="s">
        <v>30</v>
      </c>
      <c r="B88" s="25" t="s">
        <v>501</v>
      </c>
      <c r="C88" s="25" t="s">
        <v>44</v>
      </c>
      <c r="D88" s="25" t="s">
        <v>267</v>
      </c>
      <c r="E88" s="30">
        <v>87021</v>
      </c>
      <c r="F88" s="25" t="s">
        <v>268</v>
      </c>
      <c r="G88" s="25" t="s">
        <v>230</v>
      </c>
      <c r="H88" s="25" t="s">
        <v>5</v>
      </c>
      <c r="I88" s="26">
        <v>35.6569200779727</v>
      </c>
      <c r="J88" s="27">
        <v>75.799999999999869</v>
      </c>
      <c r="K88" s="27">
        <v>25.551724137931036</v>
      </c>
      <c r="L88" s="27">
        <v>4.3793103448275854</v>
      </c>
      <c r="M88" s="27">
        <v>4.0758620689655167</v>
      </c>
      <c r="N88" s="27">
        <v>35.510344827586231</v>
      </c>
      <c r="O88" s="27">
        <v>73.489655172413705</v>
      </c>
      <c r="P88" s="27">
        <v>0.54482758620689653</v>
      </c>
      <c r="Q88" s="27">
        <v>0.2620689655172414</v>
      </c>
      <c r="R88" s="27">
        <v>5.6758620689655173</v>
      </c>
      <c r="S88" s="27">
        <v>3.4965517241379307</v>
      </c>
      <c r="T88" s="27">
        <v>28.620689655172427</v>
      </c>
      <c r="U88" s="27">
        <v>72.01379310344818</v>
      </c>
      <c r="V88" s="27">
        <v>87.868965517241151</v>
      </c>
      <c r="W88" s="28">
        <v>150</v>
      </c>
      <c r="X88" s="25" t="s">
        <v>202</v>
      </c>
      <c r="Y88" s="31" t="s">
        <v>203</v>
      </c>
      <c r="Z88" s="25" t="s">
        <v>204</v>
      </c>
      <c r="AA88" s="29" t="s">
        <v>212</v>
      </c>
      <c r="AB88" s="25" t="s">
        <v>202</v>
      </c>
      <c r="AC88" s="31" t="s">
        <v>203</v>
      </c>
      <c r="AD88" s="31" t="s">
        <v>204</v>
      </c>
      <c r="AE88" s="41">
        <v>43230</v>
      </c>
    </row>
    <row r="89" spans="1:31" ht="15.75" x14ac:dyDescent="0.25">
      <c r="A89" s="24" t="s">
        <v>502</v>
      </c>
      <c r="B89" s="25" t="s">
        <v>503</v>
      </c>
      <c r="C89" s="25" t="s">
        <v>504</v>
      </c>
      <c r="D89" s="25" t="s">
        <v>505</v>
      </c>
      <c r="E89" s="30">
        <v>2863</v>
      </c>
      <c r="F89" s="25" t="s">
        <v>391</v>
      </c>
      <c r="G89" s="25" t="s">
        <v>286</v>
      </c>
      <c r="H89" s="25" t="s">
        <v>5</v>
      </c>
      <c r="I89" s="26">
        <v>69.093385214007796</v>
      </c>
      <c r="J89" s="27">
        <v>51.144827586206901</v>
      </c>
      <c r="K89" s="27">
        <v>9.8896551724137929</v>
      </c>
      <c r="L89" s="27">
        <v>14.055172413793102</v>
      </c>
      <c r="M89" s="27">
        <v>25.296551724137927</v>
      </c>
      <c r="N89" s="27">
        <v>39.662068965517264</v>
      </c>
      <c r="O89" s="27">
        <v>60.724137931034477</v>
      </c>
      <c r="P89" s="27">
        <v>0</v>
      </c>
      <c r="Q89" s="27">
        <v>0</v>
      </c>
      <c r="R89" s="27">
        <v>20.634482758620688</v>
      </c>
      <c r="S89" s="27">
        <v>6.7793103448275849</v>
      </c>
      <c r="T89" s="27">
        <v>12.24827586206897</v>
      </c>
      <c r="U89" s="27">
        <v>60.724137931034477</v>
      </c>
      <c r="V89" s="27">
        <v>50.137931034482747</v>
      </c>
      <c r="W89" s="28"/>
      <c r="X89" s="25" t="s">
        <v>202</v>
      </c>
      <c r="Y89" s="31" t="s">
        <v>339</v>
      </c>
      <c r="Z89" s="25" t="s">
        <v>364</v>
      </c>
      <c r="AA89" s="29" t="s">
        <v>380</v>
      </c>
      <c r="AB89" s="25" t="s">
        <v>202</v>
      </c>
      <c r="AC89" s="31" t="s">
        <v>339</v>
      </c>
      <c r="AD89" s="31" t="s">
        <v>387</v>
      </c>
      <c r="AE89" s="41">
        <v>42670</v>
      </c>
    </row>
    <row r="90" spans="1:31" ht="15.75" x14ac:dyDescent="0.25">
      <c r="A90" s="24" t="s">
        <v>31</v>
      </c>
      <c r="B90" s="25" t="s">
        <v>506</v>
      </c>
      <c r="C90" s="25" t="s">
        <v>367</v>
      </c>
      <c r="D90" s="25" t="s">
        <v>215</v>
      </c>
      <c r="E90" s="30">
        <v>78046</v>
      </c>
      <c r="F90" s="25" t="s">
        <v>216</v>
      </c>
      <c r="G90" s="25" t="s">
        <v>200</v>
      </c>
      <c r="H90" s="25" t="s">
        <v>201</v>
      </c>
      <c r="I90" s="26">
        <v>48.9296375266524</v>
      </c>
      <c r="J90" s="27">
        <v>44.034482758620683</v>
      </c>
      <c r="K90" s="27">
        <v>1.7517241379310344</v>
      </c>
      <c r="L90" s="27">
        <v>14.81379310344828</v>
      </c>
      <c r="M90" s="27">
        <v>35.420689655172396</v>
      </c>
      <c r="N90" s="27">
        <v>28.551724137931021</v>
      </c>
      <c r="O90" s="27">
        <v>58.62068965517242</v>
      </c>
      <c r="P90" s="27">
        <v>3.63448275862069</v>
      </c>
      <c r="Q90" s="27">
        <v>5.2137931034482774</v>
      </c>
      <c r="R90" s="27">
        <v>11.620689655172404</v>
      </c>
      <c r="S90" s="27">
        <v>6.7241379310344822</v>
      </c>
      <c r="T90" s="27">
        <v>14.30344827586207</v>
      </c>
      <c r="U90" s="27">
        <v>63.372413793103469</v>
      </c>
      <c r="V90" s="27">
        <v>59.400000000000027</v>
      </c>
      <c r="W90" s="28"/>
      <c r="X90" s="25" t="s">
        <v>202</v>
      </c>
      <c r="Y90" s="31" t="s">
        <v>203</v>
      </c>
      <c r="Z90" s="25" t="s">
        <v>204</v>
      </c>
      <c r="AA90" s="29" t="s">
        <v>243</v>
      </c>
      <c r="AB90" s="25" t="s">
        <v>202</v>
      </c>
      <c r="AC90" s="31" t="s">
        <v>203</v>
      </c>
      <c r="AD90" s="31" t="s">
        <v>204</v>
      </c>
      <c r="AE90" s="41">
        <v>43503</v>
      </c>
    </row>
    <row r="91" spans="1:31" ht="15.75" x14ac:dyDescent="0.25">
      <c r="A91" s="24" t="s">
        <v>507</v>
      </c>
      <c r="B91" s="25" t="s">
        <v>508</v>
      </c>
      <c r="C91" s="25" t="s">
        <v>509</v>
      </c>
      <c r="D91" s="25" t="s">
        <v>429</v>
      </c>
      <c r="E91" s="30">
        <v>74647</v>
      </c>
      <c r="F91" s="25" t="s">
        <v>308</v>
      </c>
      <c r="G91" s="25" t="s">
        <v>230</v>
      </c>
      <c r="H91" s="25" t="s">
        <v>11</v>
      </c>
      <c r="I91" s="26">
        <v>86.627586206896595</v>
      </c>
      <c r="J91" s="27">
        <v>77.413793103448285</v>
      </c>
      <c r="K91" s="27">
        <v>12.96551724137931</v>
      </c>
      <c r="L91" s="27">
        <v>1.3448275862068968</v>
      </c>
      <c r="M91" s="27">
        <v>0.85517241379310338</v>
      </c>
      <c r="N91" s="27">
        <v>2.4206896551724135</v>
      </c>
      <c r="O91" s="27">
        <v>2.2344827586206892</v>
      </c>
      <c r="P91" s="27">
        <v>9.9103448275862061</v>
      </c>
      <c r="Q91" s="27">
        <v>78.013793103448279</v>
      </c>
      <c r="R91" s="27">
        <v>1.3103448275862069</v>
      </c>
      <c r="S91" s="27">
        <v>1.9517241379310348</v>
      </c>
      <c r="T91" s="27">
        <v>9.068965517241379</v>
      </c>
      <c r="U91" s="27">
        <v>80.248275862068965</v>
      </c>
      <c r="V91" s="27">
        <v>31.455172413793104</v>
      </c>
      <c r="W91" s="28"/>
      <c r="X91" s="25" t="s">
        <v>202</v>
      </c>
      <c r="Y91" s="31" t="s">
        <v>203</v>
      </c>
      <c r="Z91" s="25" t="s">
        <v>204</v>
      </c>
      <c r="AA91" s="29" t="s">
        <v>283</v>
      </c>
      <c r="AB91" s="25" t="s">
        <v>232</v>
      </c>
      <c r="AC91" s="31"/>
      <c r="AD91" s="31"/>
      <c r="AE91" s="41"/>
    </row>
    <row r="92" spans="1:31" ht="15.75" x14ac:dyDescent="0.25">
      <c r="A92" s="24" t="s">
        <v>510</v>
      </c>
      <c r="B92" s="25" t="s">
        <v>511</v>
      </c>
      <c r="C92" s="25" t="s">
        <v>512</v>
      </c>
      <c r="D92" s="25" t="s">
        <v>323</v>
      </c>
      <c r="E92" s="30">
        <v>32327</v>
      </c>
      <c r="F92" s="25" t="s">
        <v>36</v>
      </c>
      <c r="G92" s="25" t="s">
        <v>230</v>
      </c>
      <c r="H92" s="25" t="s">
        <v>5</v>
      </c>
      <c r="I92" s="26">
        <v>29.6311111111111</v>
      </c>
      <c r="J92" s="27">
        <v>17.199999999999985</v>
      </c>
      <c r="K92" s="27">
        <v>17.420689655172399</v>
      </c>
      <c r="L92" s="27">
        <v>23.275862068965505</v>
      </c>
      <c r="M92" s="27">
        <v>31.779310344827582</v>
      </c>
      <c r="N92" s="27">
        <v>65.98620689655165</v>
      </c>
      <c r="O92" s="27">
        <v>23.689655172413762</v>
      </c>
      <c r="P92" s="27">
        <v>0</v>
      </c>
      <c r="Q92" s="27">
        <v>0</v>
      </c>
      <c r="R92" s="27">
        <v>39.482758620689651</v>
      </c>
      <c r="S92" s="27">
        <v>15.000000000000004</v>
      </c>
      <c r="T92" s="27">
        <v>12.082758620689658</v>
      </c>
      <c r="U92" s="27">
        <v>23.110344827586175</v>
      </c>
      <c r="V92" s="27">
        <v>79.296551724137899</v>
      </c>
      <c r="W92" s="28"/>
      <c r="X92" s="25" t="s">
        <v>202</v>
      </c>
      <c r="Y92" s="31" t="s">
        <v>339</v>
      </c>
      <c r="Z92" s="25" t="s">
        <v>364</v>
      </c>
      <c r="AA92" s="29" t="s">
        <v>346</v>
      </c>
      <c r="AB92" s="25" t="s">
        <v>202</v>
      </c>
      <c r="AC92" s="31" t="s">
        <v>339</v>
      </c>
      <c r="AD92" s="31" t="s">
        <v>364</v>
      </c>
      <c r="AE92" s="41">
        <v>43447</v>
      </c>
    </row>
    <row r="93" spans="1:31" ht="15.75" x14ac:dyDescent="0.25">
      <c r="A93" s="24" t="s">
        <v>513</v>
      </c>
      <c r="B93" s="25" t="s">
        <v>514</v>
      </c>
      <c r="C93" s="25" t="s">
        <v>515</v>
      </c>
      <c r="D93" s="25" t="s">
        <v>215</v>
      </c>
      <c r="E93" s="30">
        <v>79521</v>
      </c>
      <c r="F93" s="25" t="s">
        <v>308</v>
      </c>
      <c r="G93" s="25" t="s">
        <v>286</v>
      </c>
      <c r="H93" s="25" t="s">
        <v>201</v>
      </c>
      <c r="I93" s="26">
        <v>84.644951140065103</v>
      </c>
      <c r="J93" s="27">
        <v>76.572413793103436</v>
      </c>
      <c r="K93" s="27">
        <v>7.0827586206896536</v>
      </c>
      <c r="L93" s="27">
        <v>2.9448275862068956</v>
      </c>
      <c r="M93" s="27">
        <v>1.9586206896551726</v>
      </c>
      <c r="N93" s="27">
        <v>0.94482758620689666</v>
      </c>
      <c r="O93" s="27">
        <v>0.33793103448275863</v>
      </c>
      <c r="P93" s="27">
        <v>12.068965517241383</v>
      </c>
      <c r="Q93" s="27">
        <v>75.206896551724114</v>
      </c>
      <c r="R93" s="27">
        <v>2.896551724137931</v>
      </c>
      <c r="S93" s="27">
        <v>2.8620689655172415</v>
      </c>
      <c r="T93" s="27">
        <v>7.275862068965516</v>
      </c>
      <c r="U93" s="27">
        <v>75.524137931034474</v>
      </c>
      <c r="V93" s="27">
        <v>39.5586206896552</v>
      </c>
      <c r="W93" s="28"/>
      <c r="X93" s="25" t="s">
        <v>202</v>
      </c>
      <c r="Y93" s="31" t="s">
        <v>339</v>
      </c>
      <c r="Z93" s="25" t="s">
        <v>364</v>
      </c>
      <c r="AA93" s="29" t="s">
        <v>516</v>
      </c>
      <c r="AB93" s="25" t="s">
        <v>202</v>
      </c>
      <c r="AC93" s="31" t="s">
        <v>203</v>
      </c>
      <c r="AD93" s="31" t="s">
        <v>204</v>
      </c>
      <c r="AE93" s="41">
        <v>42775</v>
      </c>
    </row>
    <row r="94" spans="1:31" ht="15.75" x14ac:dyDescent="0.25">
      <c r="A94" s="24" t="s">
        <v>517</v>
      </c>
      <c r="B94" s="25" t="s">
        <v>518</v>
      </c>
      <c r="C94" s="25" t="s">
        <v>519</v>
      </c>
      <c r="D94" s="25" t="s">
        <v>520</v>
      </c>
      <c r="E94" s="30">
        <v>3820</v>
      </c>
      <c r="F94" s="25" t="s">
        <v>391</v>
      </c>
      <c r="G94" s="25" t="s">
        <v>230</v>
      </c>
      <c r="H94" s="25" t="s">
        <v>201</v>
      </c>
      <c r="I94" s="26">
        <v>13.577430972388999</v>
      </c>
      <c r="J94" s="27">
        <v>38.172413793103416</v>
      </c>
      <c r="K94" s="27">
        <v>12.282758620689648</v>
      </c>
      <c r="L94" s="27">
        <v>14.46206896551721</v>
      </c>
      <c r="M94" s="27">
        <v>17.35862068965514</v>
      </c>
      <c r="N94" s="27">
        <v>33.655172413793039</v>
      </c>
      <c r="O94" s="27">
        <v>37.4413793103448</v>
      </c>
      <c r="P94" s="27">
        <v>4.9172413793103447</v>
      </c>
      <c r="Q94" s="27">
        <v>6.2620689655172406</v>
      </c>
      <c r="R94" s="27">
        <v>20.117241379310311</v>
      </c>
      <c r="S94" s="27">
        <v>8.1379310344827598</v>
      </c>
      <c r="T94" s="27">
        <v>10.5655172413793</v>
      </c>
      <c r="U94" s="27">
        <v>43.455172413793051</v>
      </c>
      <c r="V94" s="27">
        <v>53.317241379310232</v>
      </c>
      <c r="W94" s="28"/>
      <c r="X94" s="25" t="s">
        <v>202</v>
      </c>
      <c r="Y94" s="31" t="s">
        <v>287</v>
      </c>
      <c r="Z94" s="25" t="s">
        <v>204</v>
      </c>
      <c r="AA94" s="29" t="s">
        <v>292</v>
      </c>
      <c r="AB94" s="25" t="s">
        <v>202</v>
      </c>
      <c r="AC94" s="31" t="s">
        <v>287</v>
      </c>
      <c r="AD94" s="31" t="s">
        <v>204</v>
      </c>
      <c r="AE94" s="41">
        <v>43447</v>
      </c>
    </row>
    <row r="95" spans="1:31" ht="15.75" x14ac:dyDescent="0.25">
      <c r="A95" s="24" t="s">
        <v>521</v>
      </c>
      <c r="B95" s="25" t="s">
        <v>522</v>
      </c>
      <c r="C95" s="25" t="s">
        <v>523</v>
      </c>
      <c r="D95" s="25" t="s">
        <v>323</v>
      </c>
      <c r="E95" s="30">
        <v>33040</v>
      </c>
      <c r="F95" s="25" t="s">
        <v>36</v>
      </c>
      <c r="G95" s="25" t="s">
        <v>230</v>
      </c>
      <c r="H95" s="25" t="s">
        <v>5</v>
      </c>
      <c r="I95" s="26">
        <v>45.117216117216103</v>
      </c>
      <c r="J95" s="27">
        <v>0.2</v>
      </c>
      <c r="K95" s="27">
        <v>14.903448275862068</v>
      </c>
      <c r="L95" s="27">
        <v>32.089655172413799</v>
      </c>
      <c r="M95" s="27">
        <v>34.317241379310339</v>
      </c>
      <c r="N95" s="27">
        <v>63.379310344827566</v>
      </c>
      <c r="O95" s="27">
        <v>18.131034482758626</v>
      </c>
      <c r="P95" s="27">
        <v>0</v>
      </c>
      <c r="Q95" s="27">
        <v>0</v>
      </c>
      <c r="R95" s="27">
        <v>30.620689655172423</v>
      </c>
      <c r="S95" s="27">
        <v>21.055172413793116</v>
      </c>
      <c r="T95" s="27">
        <v>11.765517241379309</v>
      </c>
      <c r="U95" s="27">
        <v>18.068965517241381</v>
      </c>
      <c r="V95" s="27">
        <v>48.627586206896545</v>
      </c>
      <c r="W95" s="28">
        <v>50</v>
      </c>
      <c r="X95" s="25" t="s">
        <v>202</v>
      </c>
      <c r="Y95" s="31" t="s">
        <v>287</v>
      </c>
      <c r="Z95" s="25" t="s">
        <v>204</v>
      </c>
      <c r="AA95" s="29" t="s">
        <v>524</v>
      </c>
      <c r="AB95" s="25" t="s">
        <v>202</v>
      </c>
      <c r="AC95" s="31" t="s">
        <v>287</v>
      </c>
      <c r="AD95" s="31" t="s">
        <v>204</v>
      </c>
      <c r="AE95" s="41">
        <v>43335</v>
      </c>
    </row>
    <row r="96" spans="1:31" ht="15.75" x14ac:dyDescent="0.25">
      <c r="A96" s="24" t="s">
        <v>525</v>
      </c>
      <c r="B96" s="25" t="s">
        <v>526</v>
      </c>
      <c r="C96" s="25" t="s">
        <v>443</v>
      </c>
      <c r="D96" s="25" t="s">
        <v>437</v>
      </c>
      <c r="E96" s="30">
        <v>89060</v>
      </c>
      <c r="F96" s="25" t="s">
        <v>438</v>
      </c>
      <c r="G96" s="25" t="s">
        <v>230</v>
      </c>
      <c r="H96" s="25" t="s">
        <v>201</v>
      </c>
      <c r="I96" s="26">
        <v>40.3333333333333</v>
      </c>
      <c r="J96" s="27">
        <v>18.793103448275847</v>
      </c>
      <c r="K96" s="27">
        <v>7.406896551724139</v>
      </c>
      <c r="L96" s="27">
        <v>25.317241379310349</v>
      </c>
      <c r="M96" s="27">
        <v>26.413793103448278</v>
      </c>
      <c r="N96" s="27">
        <v>54.565517241379268</v>
      </c>
      <c r="O96" s="27">
        <v>23.365517241379298</v>
      </c>
      <c r="P96" s="27">
        <v>0</v>
      </c>
      <c r="Q96" s="27">
        <v>0</v>
      </c>
      <c r="R96" s="27">
        <v>27.937931034482762</v>
      </c>
      <c r="S96" s="27">
        <v>16.089655172413792</v>
      </c>
      <c r="T96" s="27">
        <v>9.9103448275862078</v>
      </c>
      <c r="U96" s="27">
        <v>23.993103448275846</v>
      </c>
      <c r="V96" s="27">
        <v>52.593103448275834</v>
      </c>
      <c r="W96" s="28"/>
      <c r="X96" s="25" t="s">
        <v>202</v>
      </c>
      <c r="Y96" s="31" t="s">
        <v>339</v>
      </c>
      <c r="Z96" s="25" t="s">
        <v>364</v>
      </c>
      <c r="AA96" s="29" t="s">
        <v>500</v>
      </c>
      <c r="AB96" s="25" t="s">
        <v>202</v>
      </c>
      <c r="AC96" s="31" t="s">
        <v>339</v>
      </c>
      <c r="AD96" s="31" t="s">
        <v>387</v>
      </c>
      <c r="AE96" s="41">
        <v>43616</v>
      </c>
    </row>
    <row r="97" spans="1:31" ht="15.75" x14ac:dyDescent="0.25">
      <c r="A97" s="24" t="s">
        <v>527</v>
      </c>
      <c r="B97" s="25" t="s">
        <v>528</v>
      </c>
      <c r="C97" s="25" t="s">
        <v>529</v>
      </c>
      <c r="D97" s="25" t="s">
        <v>530</v>
      </c>
      <c r="E97" s="30">
        <v>68801</v>
      </c>
      <c r="F97" s="25" t="s">
        <v>395</v>
      </c>
      <c r="G97" s="25" t="s">
        <v>230</v>
      </c>
      <c r="H97" s="25" t="s">
        <v>201</v>
      </c>
      <c r="I97" s="26">
        <v>46.869415807560102</v>
      </c>
      <c r="J97" s="27">
        <v>12.434482758620693</v>
      </c>
      <c r="K97" s="27">
        <v>15.372413793103457</v>
      </c>
      <c r="L97" s="27">
        <v>31.027586206896551</v>
      </c>
      <c r="M97" s="27">
        <v>16.662068965517239</v>
      </c>
      <c r="N97" s="27">
        <v>60.503448275862091</v>
      </c>
      <c r="O97" s="27">
        <v>10.048275862068964</v>
      </c>
      <c r="P97" s="27">
        <v>3.7655172413793099</v>
      </c>
      <c r="Q97" s="27">
        <v>1.1793103448275861</v>
      </c>
      <c r="R97" s="27">
        <v>19.041379310344826</v>
      </c>
      <c r="S97" s="27">
        <v>29.331034482758618</v>
      </c>
      <c r="T97" s="27">
        <v>15.765517241379319</v>
      </c>
      <c r="U97" s="27">
        <v>11.358620689655172</v>
      </c>
      <c r="V97" s="27">
        <v>44.193103448275849</v>
      </c>
      <c r="W97" s="28"/>
      <c r="X97" s="25" t="s">
        <v>202</v>
      </c>
      <c r="Y97" s="31" t="s">
        <v>339</v>
      </c>
      <c r="Z97" s="25" t="s">
        <v>364</v>
      </c>
      <c r="AA97" s="29" t="s">
        <v>531</v>
      </c>
      <c r="AB97" s="25" t="s">
        <v>202</v>
      </c>
      <c r="AC97" s="31" t="s">
        <v>339</v>
      </c>
      <c r="AD97" s="31" t="s">
        <v>364</v>
      </c>
      <c r="AE97" s="41">
        <v>43293</v>
      </c>
    </row>
    <row r="98" spans="1:31" ht="15.75" x14ac:dyDescent="0.25">
      <c r="A98" s="24" t="s">
        <v>26</v>
      </c>
      <c r="B98" s="25" t="s">
        <v>532</v>
      </c>
      <c r="C98" s="25" t="s">
        <v>533</v>
      </c>
      <c r="D98" s="25" t="s">
        <v>473</v>
      </c>
      <c r="E98" s="30">
        <v>48161</v>
      </c>
      <c r="F98" s="25" t="s">
        <v>461</v>
      </c>
      <c r="G98" s="25" t="s">
        <v>230</v>
      </c>
      <c r="H98" s="25" t="s">
        <v>5</v>
      </c>
      <c r="I98" s="26">
        <v>16.913539967373602</v>
      </c>
      <c r="J98" s="27">
        <v>27.096551724137925</v>
      </c>
      <c r="K98" s="27">
        <v>32.213793103448282</v>
      </c>
      <c r="L98" s="27">
        <v>11.96551724137929</v>
      </c>
      <c r="M98" s="27">
        <v>2.1655172413793111</v>
      </c>
      <c r="N98" s="27">
        <v>33.565517241379276</v>
      </c>
      <c r="O98" s="27">
        <v>39.868965517241392</v>
      </c>
      <c r="P98" s="27">
        <v>0</v>
      </c>
      <c r="Q98" s="27">
        <v>6.8965517241379309E-3</v>
      </c>
      <c r="R98" s="27">
        <v>10.165517241379304</v>
      </c>
      <c r="S98" s="27">
        <v>9.9793103448275779</v>
      </c>
      <c r="T98" s="27">
        <v>13.234482758620674</v>
      </c>
      <c r="U98" s="27">
        <v>40.062068965517248</v>
      </c>
      <c r="V98" s="27">
        <v>41.186206896551795</v>
      </c>
      <c r="W98" s="28"/>
      <c r="X98" s="25" t="s">
        <v>202</v>
      </c>
      <c r="Y98" s="31" t="s">
        <v>339</v>
      </c>
      <c r="Z98" s="25" t="s">
        <v>364</v>
      </c>
      <c r="AA98" s="29" t="s">
        <v>479</v>
      </c>
      <c r="AB98" s="25" t="s">
        <v>202</v>
      </c>
      <c r="AC98" s="31" t="s">
        <v>339</v>
      </c>
      <c r="AD98" s="31" t="s">
        <v>364</v>
      </c>
      <c r="AE98" s="41">
        <v>43328</v>
      </c>
    </row>
    <row r="99" spans="1:31" ht="15.75" x14ac:dyDescent="0.25">
      <c r="A99" s="24" t="s">
        <v>534</v>
      </c>
      <c r="B99" s="25" t="s">
        <v>535</v>
      </c>
      <c r="C99" s="25" t="s">
        <v>536</v>
      </c>
      <c r="D99" s="25" t="s">
        <v>537</v>
      </c>
      <c r="E99" s="30">
        <v>66845</v>
      </c>
      <c r="F99" s="25" t="s">
        <v>43</v>
      </c>
      <c r="G99" s="25" t="s">
        <v>230</v>
      </c>
      <c r="H99" s="25" t="s">
        <v>201</v>
      </c>
      <c r="I99" s="26">
        <v>42.665369649805399</v>
      </c>
      <c r="J99" s="27">
        <v>3.2827586206896546</v>
      </c>
      <c r="K99" s="27">
        <v>40.317241379310381</v>
      </c>
      <c r="L99" s="27">
        <v>22.57931034482759</v>
      </c>
      <c r="M99" s="27">
        <v>2.0620689655172413</v>
      </c>
      <c r="N99" s="27">
        <v>43.124137931034497</v>
      </c>
      <c r="O99" s="27">
        <v>23.420689655172403</v>
      </c>
      <c r="P99" s="27">
        <v>1.5655172413793104</v>
      </c>
      <c r="Q99" s="27">
        <v>0.13103448275862067</v>
      </c>
      <c r="R99" s="27">
        <v>18.593103448275865</v>
      </c>
      <c r="S99" s="27">
        <v>10.034482758620692</v>
      </c>
      <c r="T99" s="27">
        <v>16.062068965517245</v>
      </c>
      <c r="U99" s="27">
        <v>23.551724137931025</v>
      </c>
      <c r="V99" s="27">
        <v>43.110344827586168</v>
      </c>
      <c r="W99" s="28"/>
      <c r="X99" s="25" t="s">
        <v>202</v>
      </c>
      <c r="Y99" s="31" t="s">
        <v>339</v>
      </c>
      <c r="Z99" s="25" t="s">
        <v>364</v>
      </c>
      <c r="AA99" s="29" t="s">
        <v>531</v>
      </c>
      <c r="AB99" s="25" t="s">
        <v>202</v>
      </c>
      <c r="AC99" s="31" t="s">
        <v>339</v>
      </c>
      <c r="AD99" s="31" t="s">
        <v>364</v>
      </c>
      <c r="AE99" s="41">
        <v>43293</v>
      </c>
    </row>
    <row r="100" spans="1:31" ht="15.75" x14ac:dyDescent="0.25">
      <c r="A100" s="24" t="s">
        <v>538</v>
      </c>
      <c r="B100" s="25" t="s">
        <v>539</v>
      </c>
      <c r="C100" s="25" t="s">
        <v>540</v>
      </c>
      <c r="D100" s="25" t="s">
        <v>344</v>
      </c>
      <c r="E100" s="30">
        <v>17745</v>
      </c>
      <c r="F100" s="25" t="s">
        <v>345</v>
      </c>
      <c r="G100" s="25" t="s">
        <v>286</v>
      </c>
      <c r="H100" s="25" t="s">
        <v>5</v>
      </c>
      <c r="I100" s="26">
        <v>27.479057591623</v>
      </c>
      <c r="J100" s="27">
        <v>2.9448275862068964</v>
      </c>
      <c r="K100" s="27">
        <v>12.944827586206893</v>
      </c>
      <c r="L100" s="27">
        <v>34.468965517241401</v>
      </c>
      <c r="M100" s="27">
        <v>15.889655172413789</v>
      </c>
      <c r="N100" s="27">
        <v>64.427586206896621</v>
      </c>
      <c r="O100" s="27">
        <v>1.8206896551724139</v>
      </c>
      <c r="P100" s="27">
        <v>0</v>
      </c>
      <c r="Q100" s="27">
        <v>0</v>
      </c>
      <c r="R100" s="27">
        <v>46.434482758620753</v>
      </c>
      <c r="S100" s="27">
        <v>16.634482758620688</v>
      </c>
      <c r="T100" s="27">
        <v>1.4413793103448276</v>
      </c>
      <c r="U100" s="27">
        <v>1.7379310344827585</v>
      </c>
      <c r="V100" s="27">
        <v>61.841379310344891</v>
      </c>
      <c r="W100" s="28"/>
      <c r="X100" s="25" t="s">
        <v>202</v>
      </c>
      <c r="Y100" s="31" t="s">
        <v>339</v>
      </c>
      <c r="Z100" s="25" t="s">
        <v>364</v>
      </c>
      <c r="AA100" s="29" t="s">
        <v>240</v>
      </c>
      <c r="AB100" s="25" t="s">
        <v>202</v>
      </c>
      <c r="AC100" s="31" t="s">
        <v>339</v>
      </c>
      <c r="AD100" s="31" t="s">
        <v>364</v>
      </c>
      <c r="AE100" s="41">
        <v>43412</v>
      </c>
    </row>
    <row r="101" spans="1:31" ht="15.75" x14ac:dyDescent="0.25">
      <c r="A101" s="24" t="s">
        <v>541</v>
      </c>
      <c r="B101" s="25" t="s">
        <v>542</v>
      </c>
      <c r="C101" s="25" t="s">
        <v>543</v>
      </c>
      <c r="D101" s="25" t="s">
        <v>429</v>
      </c>
      <c r="E101" s="30">
        <v>74103</v>
      </c>
      <c r="F101" s="25" t="s">
        <v>308</v>
      </c>
      <c r="G101" s="25" t="s">
        <v>230</v>
      </c>
      <c r="H101" s="25" t="s">
        <v>201</v>
      </c>
      <c r="I101" s="26">
        <v>49.203703703703702</v>
      </c>
      <c r="J101" s="27">
        <v>31.806896551724151</v>
      </c>
      <c r="K101" s="27">
        <v>7.7655172413793085</v>
      </c>
      <c r="L101" s="27">
        <v>13.675862068965515</v>
      </c>
      <c r="M101" s="27">
        <v>8.4137931034482776</v>
      </c>
      <c r="N101" s="27">
        <v>39.696551724137905</v>
      </c>
      <c r="O101" s="27">
        <v>21.468965517241369</v>
      </c>
      <c r="P101" s="27">
        <v>0.40689655172413791</v>
      </c>
      <c r="Q101" s="27">
        <v>8.9655172413793102E-2</v>
      </c>
      <c r="R101" s="27">
        <v>16.889655172413796</v>
      </c>
      <c r="S101" s="27">
        <v>9.1034482758620676</v>
      </c>
      <c r="T101" s="27">
        <v>14.0551724137931</v>
      </c>
      <c r="U101" s="27">
        <v>21.61379310344827</v>
      </c>
      <c r="V101" s="27">
        <v>26.848275862068977</v>
      </c>
      <c r="W101" s="28"/>
      <c r="X101" s="25" t="s">
        <v>202</v>
      </c>
      <c r="Y101" s="31" t="s">
        <v>203</v>
      </c>
      <c r="Z101" s="25" t="s">
        <v>204</v>
      </c>
      <c r="AA101" s="29" t="s">
        <v>544</v>
      </c>
      <c r="AB101" s="25" t="s">
        <v>202</v>
      </c>
      <c r="AC101" s="31" t="s">
        <v>203</v>
      </c>
      <c r="AD101" s="31" t="s">
        <v>204</v>
      </c>
      <c r="AE101" s="41">
        <v>43252</v>
      </c>
    </row>
    <row r="102" spans="1:31" ht="15.75" x14ac:dyDescent="0.25">
      <c r="A102" s="24" t="s">
        <v>545</v>
      </c>
      <c r="B102" s="25" t="s">
        <v>546</v>
      </c>
      <c r="C102" s="25" t="s">
        <v>547</v>
      </c>
      <c r="D102" s="25" t="s">
        <v>47</v>
      </c>
      <c r="E102" s="30">
        <v>20794</v>
      </c>
      <c r="F102" s="25" t="s">
        <v>478</v>
      </c>
      <c r="G102" s="25" t="s">
        <v>230</v>
      </c>
      <c r="H102" s="25" t="s">
        <v>5</v>
      </c>
      <c r="I102" s="26">
        <v>49.9554455445545</v>
      </c>
      <c r="J102" s="27">
        <v>6.275862068965516</v>
      </c>
      <c r="K102" s="27">
        <v>8.3448275862068968</v>
      </c>
      <c r="L102" s="27">
        <v>16.551724137931032</v>
      </c>
      <c r="M102" s="27">
        <v>28.979310344827585</v>
      </c>
      <c r="N102" s="27">
        <v>49.627586206896559</v>
      </c>
      <c r="O102" s="27">
        <v>10.517241379310343</v>
      </c>
      <c r="P102" s="27">
        <v>6.8965517241379309E-3</v>
      </c>
      <c r="Q102" s="27">
        <v>0</v>
      </c>
      <c r="R102" s="27">
        <v>23.26896551724138</v>
      </c>
      <c r="S102" s="27">
        <v>10.324137931034484</v>
      </c>
      <c r="T102" s="27">
        <v>14.468965517241379</v>
      </c>
      <c r="U102" s="27">
        <v>12.089655172413792</v>
      </c>
      <c r="V102" s="27">
        <v>40.151724137931048</v>
      </c>
      <c r="W102" s="28"/>
      <c r="X102" s="25" t="s">
        <v>202</v>
      </c>
      <c r="Y102" s="31" t="s">
        <v>203</v>
      </c>
      <c r="Z102" s="25" t="s">
        <v>204</v>
      </c>
      <c r="AA102" s="29" t="s">
        <v>348</v>
      </c>
      <c r="AB102" s="25" t="s">
        <v>202</v>
      </c>
      <c r="AC102" s="31" t="s">
        <v>203</v>
      </c>
      <c r="AD102" s="31" t="s">
        <v>548</v>
      </c>
      <c r="AE102" s="41">
        <v>43433</v>
      </c>
    </row>
    <row r="103" spans="1:31" ht="15.75" x14ac:dyDescent="0.25">
      <c r="A103" s="24" t="s">
        <v>549</v>
      </c>
      <c r="B103" s="25" t="s">
        <v>550</v>
      </c>
      <c r="C103" s="25" t="s">
        <v>551</v>
      </c>
      <c r="D103" s="25" t="s">
        <v>552</v>
      </c>
      <c r="E103" s="30">
        <v>50627</v>
      </c>
      <c r="F103" s="25" t="s">
        <v>395</v>
      </c>
      <c r="G103" s="25" t="s">
        <v>230</v>
      </c>
      <c r="H103" s="25" t="s">
        <v>201</v>
      </c>
      <c r="I103" s="26">
        <v>33.174107142857103</v>
      </c>
      <c r="J103" s="27">
        <v>13.013793103448272</v>
      </c>
      <c r="K103" s="27">
        <v>17.082758620689656</v>
      </c>
      <c r="L103" s="27">
        <v>12.0551724137931</v>
      </c>
      <c r="M103" s="27">
        <v>16.399999999999999</v>
      </c>
      <c r="N103" s="27">
        <v>49.393103448275845</v>
      </c>
      <c r="O103" s="27">
        <v>8.0137931034482754</v>
      </c>
      <c r="P103" s="27">
        <v>0.4689655172413793</v>
      </c>
      <c r="Q103" s="27">
        <v>0.67586206896551726</v>
      </c>
      <c r="R103" s="27">
        <v>18.062068965517248</v>
      </c>
      <c r="S103" s="27">
        <v>16.413793103448274</v>
      </c>
      <c r="T103" s="27">
        <v>15.786206896551727</v>
      </c>
      <c r="U103" s="27">
        <v>8.2896551724137932</v>
      </c>
      <c r="V103" s="27">
        <v>32.255172413793083</v>
      </c>
      <c r="W103" s="28"/>
      <c r="X103" s="25" t="s">
        <v>202</v>
      </c>
      <c r="Y103" s="31" t="s">
        <v>339</v>
      </c>
      <c r="Z103" s="25" t="s">
        <v>364</v>
      </c>
      <c r="AA103" s="29" t="s">
        <v>553</v>
      </c>
      <c r="AB103" s="25" t="s">
        <v>202</v>
      </c>
      <c r="AC103" s="31" t="s">
        <v>339</v>
      </c>
      <c r="AD103" s="31" t="s">
        <v>364</v>
      </c>
      <c r="AE103" s="41">
        <v>43356</v>
      </c>
    </row>
    <row r="104" spans="1:31" ht="15.75" x14ac:dyDescent="0.25">
      <c r="A104" s="24" t="s">
        <v>554</v>
      </c>
      <c r="B104" s="25" t="s">
        <v>555</v>
      </c>
      <c r="C104" s="25" t="s">
        <v>556</v>
      </c>
      <c r="D104" s="25" t="s">
        <v>473</v>
      </c>
      <c r="E104" s="30">
        <v>48060</v>
      </c>
      <c r="F104" s="25" t="s">
        <v>461</v>
      </c>
      <c r="G104" s="25" t="s">
        <v>230</v>
      </c>
      <c r="H104" s="25" t="s">
        <v>5</v>
      </c>
      <c r="I104" s="26">
        <v>33.465306122449</v>
      </c>
      <c r="J104" s="27">
        <v>26</v>
      </c>
      <c r="K104" s="27">
        <v>21.944827586206884</v>
      </c>
      <c r="L104" s="27">
        <v>8.1655172413793107</v>
      </c>
      <c r="M104" s="27">
        <v>2.0137931034482754</v>
      </c>
      <c r="N104" s="27">
        <v>27.137931034482765</v>
      </c>
      <c r="O104" s="27">
        <v>30.827586206896534</v>
      </c>
      <c r="P104" s="27">
        <v>0</v>
      </c>
      <c r="Q104" s="27">
        <v>0.15862068965517243</v>
      </c>
      <c r="R104" s="27">
        <v>10.351724137931035</v>
      </c>
      <c r="S104" s="27">
        <v>7.1931034482758616</v>
      </c>
      <c r="T104" s="27">
        <v>9.793103448275863</v>
      </c>
      <c r="U104" s="27">
        <v>30.786206896551708</v>
      </c>
      <c r="V104" s="27">
        <v>26.779310344827575</v>
      </c>
      <c r="W104" s="28"/>
      <c r="X104" s="25" t="s">
        <v>202</v>
      </c>
      <c r="Y104" s="31" t="s">
        <v>287</v>
      </c>
      <c r="Z104" s="25" t="s">
        <v>204</v>
      </c>
      <c r="AA104" s="29" t="s">
        <v>335</v>
      </c>
      <c r="AB104" s="25" t="s">
        <v>202</v>
      </c>
      <c r="AC104" s="31" t="s">
        <v>287</v>
      </c>
      <c r="AD104" s="31" t="s">
        <v>204</v>
      </c>
      <c r="AE104" s="41">
        <v>43636</v>
      </c>
    </row>
    <row r="105" spans="1:31" ht="15.75" x14ac:dyDescent="0.25">
      <c r="A105" s="24" t="s">
        <v>41</v>
      </c>
      <c r="B105" s="25" t="s">
        <v>557</v>
      </c>
      <c r="C105" s="25" t="s">
        <v>558</v>
      </c>
      <c r="D105" s="25" t="s">
        <v>344</v>
      </c>
      <c r="E105" s="30">
        <v>19533</v>
      </c>
      <c r="F105" s="25" t="s">
        <v>345</v>
      </c>
      <c r="G105" s="25" t="s">
        <v>222</v>
      </c>
      <c r="H105" s="25" t="s">
        <v>201</v>
      </c>
      <c r="I105" s="26">
        <v>23.608832807571002</v>
      </c>
      <c r="J105" s="27">
        <v>47.8</v>
      </c>
      <c r="K105" s="27">
        <v>7.413793103448274</v>
      </c>
      <c r="L105" s="27">
        <v>0</v>
      </c>
      <c r="M105" s="27">
        <v>8.2758620689655171E-2</v>
      </c>
      <c r="N105" s="27">
        <v>0.29655172413793102</v>
      </c>
      <c r="O105" s="27">
        <v>29.496551724137909</v>
      </c>
      <c r="P105" s="27">
        <v>8.2758620689655171E-2</v>
      </c>
      <c r="Q105" s="27">
        <v>25.420689655172406</v>
      </c>
      <c r="R105" s="27">
        <v>0</v>
      </c>
      <c r="S105" s="27">
        <v>0</v>
      </c>
      <c r="T105" s="27">
        <v>0.3172413793103448</v>
      </c>
      <c r="U105" s="27">
        <v>54.979310344827589</v>
      </c>
      <c r="V105" s="27">
        <v>48.372413793103433</v>
      </c>
      <c r="W105" s="28">
        <v>96</v>
      </c>
      <c r="X105" s="25" t="s">
        <v>202</v>
      </c>
      <c r="Y105" s="31" t="s">
        <v>223</v>
      </c>
      <c r="Z105" s="25" t="s">
        <v>206</v>
      </c>
      <c r="AA105" s="29" t="s">
        <v>273</v>
      </c>
      <c r="AB105" s="25" t="s">
        <v>202</v>
      </c>
      <c r="AC105" s="31" t="s">
        <v>223</v>
      </c>
      <c r="AD105" s="31" t="s">
        <v>206</v>
      </c>
      <c r="AE105" s="41">
        <v>43783</v>
      </c>
    </row>
    <row r="106" spans="1:31" ht="15.75" x14ac:dyDescent="0.25">
      <c r="A106" s="24" t="s">
        <v>16</v>
      </c>
      <c r="B106" s="25" t="s">
        <v>559</v>
      </c>
      <c r="C106" s="25" t="s">
        <v>560</v>
      </c>
      <c r="D106" s="25" t="s">
        <v>460</v>
      </c>
      <c r="E106" s="30">
        <v>44883</v>
      </c>
      <c r="F106" s="25" t="s">
        <v>461</v>
      </c>
      <c r="G106" s="25" t="s">
        <v>230</v>
      </c>
      <c r="H106" s="25" t="s">
        <v>201</v>
      </c>
      <c r="I106" s="26">
        <v>33.651376146788998</v>
      </c>
      <c r="J106" s="27">
        <v>40.965517241379317</v>
      </c>
      <c r="K106" s="27">
        <v>6.5172413793103452</v>
      </c>
      <c r="L106" s="27">
        <v>4.1931034482758616</v>
      </c>
      <c r="M106" s="27">
        <v>2.3931034482758622</v>
      </c>
      <c r="N106" s="27">
        <v>12.689655172413792</v>
      </c>
      <c r="O106" s="27">
        <v>35.365517241379315</v>
      </c>
      <c r="P106" s="27">
        <v>1.1448275862068966</v>
      </c>
      <c r="Q106" s="27">
        <v>4.8689655172413797</v>
      </c>
      <c r="R106" s="27">
        <v>3.2</v>
      </c>
      <c r="S106" s="27">
        <v>3.2137931034482761</v>
      </c>
      <c r="T106" s="27">
        <v>7.4344827586206907</v>
      </c>
      <c r="U106" s="27">
        <v>40.220689655172414</v>
      </c>
      <c r="V106" s="27">
        <v>21.889655172413768</v>
      </c>
      <c r="W106" s="28"/>
      <c r="X106" s="25" t="s">
        <v>202</v>
      </c>
      <c r="Y106" s="31" t="s">
        <v>339</v>
      </c>
      <c r="Z106" s="25" t="s">
        <v>561</v>
      </c>
      <c r="AA106" s="29" t="s">
        <v>277</v>
      </c>
      <c r="AB106" s="25" t="s">
        <v>202</v>
      </c>
      <c r="AC106" s="31" t="s">
        <v>339</v>
      </c>
      <c r="AD106" s="31" t="s">
        <v>364</v>
      </c>
      <c r="AE106" s="41">
        <v>43377</v>
      </c>
    </row>
    <row r="107" spans="1:31" ht="15.75" x14ac:dyDescent="0.25">
      <c r="A107" s="24" t="s">
        <v>562</v>
      </c>
      <c r="B107" s="25" t="s">
        <v>563</v>
      </c>
      <c r="C107" s="25" t="s">
        <v>564</v>
      </c>
      <c r="D107" s="25" t="s">
        <v>234</v>
      </c>
      <c r="E107" s="30">
        <v>85349</v>
      </c>
      <c r="F107" s="25" t="s">
        <v>250</v>
      </c>
      <c r="G107" s="25" t="s">
        <v>230</v>
      </c>
      <c r="H107" s="25" t="s">
        <v>201</v>
      </c>
      <c r="I107" s="26">
        <v>4.2634432896520602</v>
      </c>
      <c r="J107" s="27">
        <v>41.558620689655342</v>
      </c>
      <c r="K107" s="27">
        <v>10.675862068965337</v>
      </c>
      <c r="L107" s="27">
        <v>0.62758620689655209</v>
      </c>
      <c r="M107" s="27">
        <v>0.59310344827586214</v>
      </c>
      <c r="N107" s="27">
        <v>10.303448275861923</v>
      </c>
      <c r="O107" s="27">
        <v>23.068965517241374</v>
      </c>
      <c r="P107" s="27">
        <v>1.2275862068965526</v>
      </c>
      <c r="Q107" s="27">
        <v>18.855172413793134</v>
      </c>
      <c r="R107" s="27">
        <v>1.8000000000000016</v>
      </c>
      <c r="S107" s="27">
        <v>1.6482758620689673</v>
      </c>
      <c r="T107" s="27">
        <v>8.0482758620688628</v>
      </c>
      <c r="U107" s="27">
        <v>41.958620689655419</v>
      </c>
      <c r="V107" s="27">
        <v>51.262068965517727</v>
      </c>
      <c r="W107" s="28">
        <v>250</v>
      </c>
      <c r="X107" s="25" t="s">
        <v>202</v>
      </c>
      <c r="Y107" s="31" t="s">
        <v>339</v>
      </c>
      <c r="Z107" s="25" t="s">
        <v>364</v>
      </c>
      <c r="AA107" s="29" t="s">
        <v>408</v>
      </c>
      <c r="AB107" s="25" t="s">
        <v>202</v>
      </c>
      <c r="AC107" s="31" t="s">
        <v>339</v>
      </c>
      <c r="AD107" s="31" t="s">
        <v>364</v>
      </c>
      <c r="AE107" s="41">
        <v>43223</v>
      </c>
    </row>
    <row r="108" spans="1:31" ht="15.75" x14ac:dyDescent="0.25">
      <c r="A108" s="24" t="s">
        <v>565</v>
      </c>
      <c r="B108" s="25" t="s">
        <v>566</v>
      </c>
      <c r="C108" s="25" t="s">
        <v>567</v>
      </c>
      <c r="D108" s="25" t="s">
        <v>394</v>
      </c>
      <c r="E108" s="30">
        <v>56201</v>
      </c>
      <c r="F108" s="25" t="s">
        <v>395</v>
      </c>
      <c r="G108" s="25" t="s">
        <v>230</v>
      </c>
      <c r="H108" s="25" t="s">
        <v>201</v>
      </c>
      <c r="I108" s="26">
        <v>71.693877551020407</v>
      </c>
      <c r="J108" s="27">
        <v>10.662068965517241</v>
      </c>
      <c r="K108" s="27">
        <v>6.4275862068965539</v>
      </c>
      <c r="L108" s="27">
        <v>24.620689655172423</v>
      </c>
      <c r="M108" s="27">
        <v>11.337931034482759</v>
      </c>
      <c r="N108" s="27">
        <v>25.944827586206891</v>
      </c>
      <c r="O108" s="27">
        <v>11.931034482758621</v>
      </c>
      <c r="P108" s="27">
        <v>13.241379310344827</v>
      </c>
      <c r="Q108" s="27">
        <v>1.9310344827586208</v>
      </c>
      <c r="R108" s="27">
        <v>26.372413793103458</v>
      </c>
      <c r="S108" s="27">
        <v>4.386206896551724</v>
      </c>
      <c r="T108" s="27">
        <v>8.275862068965516</v>
      </c>
      <c r="U108" s="27">
        <v>14.013793103448274</v>
      </c>
      <c r="V108" s="27">
        <v>44.03448275862069</v>
      </c>
      <c r="W108" s="28"/>
      <c r="X108" s="25" t="s">
        <v>202</v>
      </c>
      <c r="Y108" s="31" t="s">
        <v>339</v>
      </c>
      <c r="Z108" s="25" t="s">
        <v>364</v>
      </c>
      <c r="AA108" s="29" t="s">
        <v>531</v>
      </c>
      <c r="AB108" s="25" t="s">
        <v>202</v>
      </c>
      <c r="AC108" s="31" t="s">
        <v>339</v>
      </c>
      <c r="AD108" s="31" t="s">
        <v>364</v>
      </c>
      <c r="AE108" s="41">
        <v>43440</v>
      </c>
    </row>
    <row r="109" spans="1:31" ht="15.75" x14ac:dyDescent="0.25">
      <c r="A109" s="24" t="s">
        <v>568</v>
      </c>
      <c r="B109" s="25" t="s">
        <v>569</v>
      </c>
      <c r="C109" s="25" t="s">
        <v>570</v>
      </c>
      <c r="D109" s="25" t="s">
        <v>571</v>
      </c>
      <c r="E109" s="30">
        <v>65084</v>
      </c>
      <c r="F109" s="25" t="s">
        <v>43</v>
      </c>
      <c r="G109" s="25" t="s">
        <v>230</v>
      </c>
      <c r="H109" s="25" t="s">
        <v>5</v>
      </c>
      <c r="I109" s="26">
        <v>41.299559471365598</v>
      </c>
      <c r="J109" s="27">
        <v>10.351724137931033</v>
      </c>
      <c r="K109" s="27">
        <v>15.117241379310347</v>
      </c>
      <c r="L109" s="27">
        <v>16.503448275862063</v>
      </c>
      <c r="M109" s="27">
        <v>10.820689655172419</v>
      </c>
      <c r="N109" s="27">
        <v>33.724137931034491</v>
      </c>
      <c r="O109" s="27">
        <v>19.068965517241384</v>
      </c>
      <c r="P109" s="27">
        <v>0</v>
      </c>
      <c r="Q109" s="27">
        <v>0</v>
      </c>
      <c r="R109" s="27">
        <v>16.434482758620693</v>
      </c>
      <c r="S109" s="27">
        <v>6.7586206896551699</v>
      </c>
      <c r="T109" s="27">
        <v>10.531034482758621</v>
      </c>
      <c r="U109" s="27">
        <v>19.068965517241384</v>
      </c>
      <c r="V109" s="27">
        <v>29.26896551724133</v>
      </c>
      <c r="W109" s="28"/>
      <c r="X109" s="25" t="s">
        <v>202</v>
      </c>
      <c r="Y109" s="31" t="s">
        <v>339</v>
      </c>
      <c r="Z109" s="25" t="s">
        <v>364</v>
      </c>
      <c r="AA109" s="29" t="s">
        <v>572</v>
      </c>
      <c r="AB109" s="25" t="s">
        <v>202</v>
      </c>
      <c r="AC109" s="31" t="s">
        <v>339</v>
      </c>
      <c r="AD109" s="31" t="s">
        <v>364</v>
      </c>
      <c r="AE109" s="41">
        <v>43440</v>
      </c>
    </row>
    <row r="110" spans="1:31" ht="15.75" x14ac:dyDescent="0.25">
      <c r="A110" s="24" t="s">
        <v>573</v>
      </c>
      <c r="B110" s="25" t="s">
        <v>574</v>
      </c>
      <c r="C110" s="25" t="s">
        <v>575</v>
      </c>
      <c r="D110" s="25" t="s">
        <v>394</v>
      </c>
      <c r="E110" s="30">
        <v>56007</v>
      </c>
      <c r="F110" s="25" t="s">
        <v>395</v>
      </c>
      <c r="G110" s="25" t="s">
        <v>230</v>
      </c>
      <c r="H110" s="25" t="s">
        <v>5</v>
      </c>
      <c r="I110" s="26">
        <v>49.062222222222204</v>
      </c>
      <c r="J110" s="27">
        <v>6.8896551724137929</v>
      </c>
      <c r="K110" s="27">
        <v>7.8689655172413797</v>
      </c>
      <c r="L110" s="27">
        <v>21.95172413793102</v>
      </c>
      <c r="M110" s="27">
        <v>14.799999999999999</v>
      </c>
      <c r="N110" s="27">
        <v>37.055172413793088</v>
      </c>
      <c r="O110" s="27">
        <v>14.4551724137931</v>
      </c>
      <c r="P110" s="27">
        <v>0</v>
      </c>
      <c r="Q110" s="27">
        <v>0</v>
      </c>
      <c r="R110" s="27">
        <v>16.096551724137935</v>
      </c>
      <c r="S110" s="27">
        <v>12.937931034482757</v>
      </c>
      <c r="T110" s="27">
        <v>7.9586206896551737</v>
      </c>
      <c r="U110" s="27">
        <v>14.517241379310342</v>
      </c>
      <c r="V110" s="27">
        <v>36.882758620689664</v>
      </c>
      <c r="W110" s="28"/>
      <c r="X110" s="25" t="s">
        <v>202</v>
      </c>
      <c r="Y110" s="31" t="s">
        <v>339</v>
      </c>
      <c r="Z110" s="25" t="s">
        <v>364</v>
      </c>
      <c r="AA110" s="29" t="s">
        <v>495</v>
      </c>
      <c r="AB110" s="25" t="s">
        <v>202</v>
      </c>
      <c r="AC110" s="31" t="s">
        <v>339</v>
      </c>
      <c r="AD110" s="31" t="s">
        <v>364</v>
      </c>
      <c r="AE110" s="41">
        <v>43202</v>
      </c>
    </row>
    <row r="111" spans="1:31" ht="15.75" x14ac:dyDescent="0.25">
      <c r="A111" s="24" t="s">
        <v>576</v>
      </c>
      <c r="B111" s="25" t="s">
        <v>577</v>
      </c>
      <c r="C111" s="25" t="s">
        <v>14</v>
      </c>
      <c r="D111" s="25" t="s">
        <v>578</v>
      </c>
      <c r="E111" s="30">
        <v>47834</v>
      </c>
      <c r="F111" s="25" t="s">
        <v>43</v>
      </c>
      <c r="G111" s="25" t="s">
        <v>286</v>
      </c>
      <c r="H111" s="25" t="s">
        <v>5</v>
      </c>
      <c r="I111" s="26">
        <v>6.7695810564662997</v>
      </c>
      <c r="J111" s="27">
        <v>17.634482758620663</v>
      </c>
      <c r="K111" s="27">
        <v>7.2827586206896493</v>
      </c>
      <c r="L111" s="27">
        <v>16.703448275862058</v>
      </c>
      <c r="M111" s="27">
        <v>9.8758620689655015</v>
      </c>
      <c r="N111" s="27">
        <v>31.110344827586307</v>
      </c>
      <c r="O111" s="27">
        <v>19.041379310344819</v>
      </c>
      <c r="P111" s="27">
        <v>0.5241379310344827</v>
      </c>
      <c r="Q111" s="27">
        <v>0.82068965517241388</v>
      </c>
      <c r="R111" s="27">
        <v>10.262068965517221</v>
      </c>
      <c r="S111" s="27">
        <v>9.3999999999999879</v>
      </c>
      <c r="T111" s="27">
        <v>12.11724137931034</v>
      </c>
      <c r="U111" s="27">
        <v>19.71724137931033</v>
      </c>
      <c r="V111" s="27">
        <v>26.006896551724306</v>
      </c>
      <c r="W111" s="28"/>
      <c r="X111" s="25" t="s">
        <v>202</v>
      </c>
      <c r="Y111" s="31" t="s">
        <v>287</v>
      </c>
      <c r="Z111" s="25" t="s">
        <v>204</v>
      </c>
      <c r="AA111" s="29" t="s">
        <v>412</v>
      </c>
      <c r="AB111" s="25" t="s">
        <v>202</v>
      </c>
      <c r="AC111" s="31" t="s">
        <v>287</v>
      </c>
      <c r="AD111" s="31" t="s">
        <v>204</v>
      </c>
      <c r="AE111" s="41">
        <v>43252</v>
      </c>
    </row>
    <row r="112" spans="1:31" ht="15.75" x14ac:dyDescent="0.25">
      <c r="A112" s="24" t="s">
        <v>54</v>
      </c>
      <c r="B112" s="25" t="s">
        <v>579</v>
      </c>
      <c r="C112" s="25" t="s">
        <v>580</v>
      </c>
      <c r="D112" s="25" t="s">
        <v>460</v>
      </c>
      <c r="E112" s="30">
        <v>44024</v>
      </c>
      <c r="F112" s="25" t="s">
        <v>461</v>
      </c>
      <c r="G112" s="25" t="s">
        <v>286</v>
      </c>
      <c r="H112" s="25" t="s">
        <v>201</v>
      </c>
      <c r="I112" s="26">
        <v>38.064102564102598</v>
      </c>
      <c r="J112" s="27">
        <v>18.931034482758626</v>
      </c>
      <c r="K112" s="27">
        <v>13.993103448275859</v>
      </c>
      <c r="L112" s="27">
        <v>8.6068965517241391</v>
      </c>
      <c r="M112" s="27">
        <v>4.8275862068965516</v>
      </c>
      <c r="N112" s="27">
        <v>23.689655172413783</v>
      </c>
      <c r="O112" s="27">
        <v>18.027586206896551</v>
      </c>
      <c r="P112" s="27">
        <v>1</v>
      </c>
      <c r="Q112" s="27">
        <v>3.6413793103448282</v>
      </c>
      <c r="R112" s="27">
        <v>4.3310344827586205</v>
      </c>
      <c r="S112" s="27">
        <v>8.0965517241379317</v>
      </c>
      <c r="T112" s="27">
        <v>12.227586206896547</v>
      </c>
      <c r="U112" s="27">
        <v>21.703448275862073</v>
      </c>
      <c r="V112" s="27">
        <v>20.068965517241359</v>
      </c>
      <c r="W112" s="28"/>
      <c r="X112" s="25" t="s">
        <v>202</v>
      </c>
      <c r="Y112" s="31" t="s">
        <v>339</v>
      </c>
      <c r="Z112" s="25" t="s">
        <v>364</v>
      </c>
      <c r="AA112" s="29" t="s">
        <v>231</v>
      </c>
      <c r="AB112" s="25" t="s">
        <v>202</v>
      </c>
      <c r="AC112" s="31" t="s">
        <v>339</v>
      </c>
      <c r="AD112" s="31" t="s">
        <v>561</v>
      </c>
      <c r="AE112" s="41">
        <v>43433</v>
      </c>
    </row>
    <row r="113" spans="1:31" ht="15.75" x14ac:dyDescent="0.25">
      <c r="A113" s="24" t="s">
        <v>581</v>
      </c>
      <c r="B113" s="25" t="s">
        <v>582</v>
      </c>
      <c r="C113" s="25" t="s">
        <v>583</v>
      </c>
      <c r="D113" s="25" t="s">
        <v>584</v>
      </c>
      <c r="E113" s="30">
        <v>27253</v>
      </c>
      <c r="F113" s="25" t="s">
        <v>211</v>
      </c>
      <c r="G113" s="25" t="s">
        <v>230</v>
      </c>
      <c r="H113" s="25" t="s">
        <v>201</v>
      </c>
      <c r="I113" s="26">
        <v>8.3190546528803502</v>
      </c>
      <c r="J113" s="27">
        <v>23.048275862068973</v>
      </c>
      <c r="K113" s="27">
        <v>7.0896551724137851</v>
      </c>
      <c r="L113" s="27">
        <v>4.1999999999999984</v>
      </c>
      <c r="M113" s="27">
        <v>7.006896551724128</v>
      </c>
      <c r="N113" s="27">
        <v>19.055172413793088</v>
      </c>
      <c r="O113" s="27">
        <v>21.96551724137931</v>
      </c>
      <c r="P113" s="27">
        <v>0.19310344827586212</v>
      </c>
      <c r="Q113" s="27">
        <v>0.13103448275862067</v>
      </c>
      <c r="R113" s="27">
        <v>8.6137931034482644</v>
      </c>
      <c r="S113" s="27">
        <v>4.0344827586206886</v>
      </c>
      <c r="T113" s="27">
        <v>6.5655172413793021</v>
      </c>
      <c r="U113" s="27">
        <v>22.131034482758619</v>
      </c>
      <c r="V113" s="27">
        <v>31.255172413793034</v>
      </c>
      <c r="W113" s="28"/>
      <c r="X113" s="25" t="s">
        <v>202</v>
      </c>
      <c r="Y113" s="31" t="s">
        <v>339</v>
      </c>
      <c r="Z113" s="25" t="s">
        <v>364</v>
      </c>
      <c r="AA113" s="29" t="s">
        <v>280</v>
      </c>
      <c r="AB113" s="25" t="s">
        <v>202</v>
      </c>
      <c r="AC113" s="31" t="s">
        <v>339</v>
      </c>
      <c r="AD113" s="31" t="s">
        <v>387</v>
      </c>
      <c r="AE113" s="41">
        <v>43454</v>
      </c>
    </row>
    <row r="114" spans="1:31" ht="15.75" x14ac:dyDescent="0.25">
      <c r="A114" s="24" t="s">
        <v>585</v>
      </c>
      <c r="B114" s="25" t="s">
        <v>586</v>
      </c>
      <c r="C114" s="25" t="s">
        <v>587</v>
      </c>
      <c r="D114" s="25" t="s">
        <v>344</v>
      </c>
      <c r="E114" s="30">
        <v>15931</v>
      </c>
      <c r="F114" s="25" t="s">
        <v>345</v>
      </c>
      <c r="G114" s="25" t="s">
        <v>286</v>
      </c>
      <c r="H114" s="25" t="s">
        <v>5</v>
      </c>
      <c r="I114" s="26">
        <v>30.396825396825399</v>
      </c>
      <c r="J114" s="27">
        <v>7.9586206896551719</v>
      </c>
      <c r="K114" s="27">
        <v>14.737931034482754</v>
      </c>
      <c r="L114" s="27">
        <v>15.020689655172408</v>
      </c>
      <c r="M114" s="27">
        <v>1.6689655172413798</v>
      </c>
      <c r="N114" s="27">
        <v>21.006896551724132</v>
      </c>
      <c r="O114" s="27">
        <v>18.337931034482764</v>
      </c>
      <c r="P114" s="27">
        <v>4.1379310344827586E-2</v>
      </c>
      <c r="Q114" s="27">
        <v>0</v>
      </c>
      <c r="R114" s="27">
        <v>12.731034482758616</v>
      </c>
      <c r="S114" s="27">
        <v>4.0344827586206895</v>
      </c>
      <c r="T114" s="27">
        <v>4.296551724137931</v>
      </c>
      <c r="U114" s="27">
        <v>18.324137931034489</v>
      </c>
      <c r="V114" s="27">
        <v>16.006896551724115</v>
      </c>
      <c r="W114" s="28"/>
      <c r="X114" s="25" t="s">
        <v>202</v>
      </c>
      <c r="Y114" s="31" t="s">
        <v>339</v>
      </c>
      <c r="Z114" s="25" t="s">
        <v>364</v>
      </c>
      <c r="AA114" s="29" t="s">
        <v>280</v>
      </c>
      <c r="AB114" s="25" t="s">
        <v>202</v>
      </c>
      <c r="AC114" s="31" t="s">
        <v>339</v>
      </c>
      <c r="AD114" s="31" t="s">
        <v>364</v>
      </c>
      <c r="AE114" s="41">
        <v>43412</v>
      </c>
    </row>
    <row r="115" spans="1:31" ht="15.75" x14ac:dyDescent="0.25">
      <c r="A115" s="24" t="s">
        <v>588</v>
      </c>
      <c r="B115" s="25" t="s">
        <v>589</v>
      </c>
      <c r="C115" s="25" t="s">
        <v>590</v>
      </c>
      <c r="D115" s="25" t="s">
        <v>591</v>
      </c>
      <c r="E115" s="30">
        <v>96819</v>
      </c>
      <c r="F115" s="25" t="s">
        <v>383</v>
      </c>
      <c r="G115" s="25" t="s">
        <v>592</v>
      </c>
      <c r="H115" s="25" t="s">
        <v>201</v>
      </c>
      <c r="I115" s="26">
        <v>58.4166666666667</v>
      </c>
      <c r="J115" s="27">
        <v>4.386206896551724</v>
      </c>
      <c r="K115" s="27">
        <v>18.517241379310338</v>
      </c>
      <c r="L115" s="27">
        <v>8.9172413793103438</v>
      </c>
      <c r="M115" s="27">
        <v>5.7931034482758612</v>
      </c>
      <c r="N115" s="27">
        <v>20.896551724137936</v>
      </c>
      <c r="O115" s="27">
        <v>11.386206896551725</v>
      </c>
      <c r="P115" s="27">
        <v>2.0620689655172413</v>
      </c>
      <c r="Q115" s="27">
        <v>3.2689655172413792</v>
      </c>
      <c r="R115" s="27">
        <v>12.682758620689654</v>
      </c>
      <c r="S115" s="27">
        <v>7.1999999999999993</v>
      </c>
      <c r="T115" s="27">
        <v>3.0896551724137931</v>
      </c>
      <c r="U115" s="27">
        <v>14.641379310344822</v>
      </c>
      <c r="V115" s="27">
        <v>32.048275862068991</v>
      </c>
      <c r="W115" s="28"/>
      <c r="X115" s="25" t="s">
        <v>232</v>
      </c>
      <c r="Y115" s="31"/>
      <c r="Z115" s="25"/>
      <c r="AA115" s="29"/>
      <c r="AB115" s="25" t="s">
        <v>232</v>
      </c>
      <c r="AC115" s="31"/>
      <c r="AD115" s="31"/>
      <c r="AE115" s="41"/>
    </row>
    <row r="116" spans="1:31" ht="15.75" x14ac:dyDescent="0.25">
      <c r="A116" s="24" t="s">
        <v>593</v>
      </c>
      <c r="B116" s="25" t="s">
        <v>594</v>
      </c>
      <c r="C116" s="25" t="s">
        <v>595</v>
      </c>
      <c r="D116" s="25" t="s">
        <v>552</v>
      </c>
      <c r="E116" s="30">
        <v>50313</v>
      </c>
      <c r="F116" s="25" t="s">
        <v>395</v>
      </c>
      <c r="G116" s="25" t="s">
        <v>286</v>
      </c>
      <c r="H116" s="25" t="s">
        <v>201</v>
      </c>
      <c r="I116" s="26">
        <v>18.925925925925899</v>
      </c>
      <c r="J116" s="27">
        <v>9.9793103448275815</v>
      </c>
      <c r="K116" s="27">
        <v>7.0482758620689623</v>
      </c>
      <c r="L116" s="27">
        <v>7.1448275862068975</v>
      </c>
      <c r="M116" s="27">
        <v>7.2413793103448265</v>
      </c>
      <c r="N116" s="27">
        <v>24.144827586206922</v>
      </c>
      <c r="O116" s="27">
        <v>4.8965517241379297</v>
      </c>
      <c r="P116" s="27">
        <v>1.972413793103448</v>
      </c>
      <c r="Q116" s="27">
        <v>0.4</v>
      </c>
      <c r="R116" s="27">
        <v>7.4344827586206872</v>
      </c>
      <c r="S116" s="27">
        <v>6.8758620689655157</v>
      </c>
      <c r="T116" s="27">
        <v>11.944827586206891</v>
      </c>
      <c r="U116" s="27">
        <v>5.1586206896551721</v>
      </c>
      <c r="V116" s="27">
        <v>17.089655172413792</v>
      </c>
      <c r="W116" s="28"/>
      <c r="X116" s="25" t="s">
        <v>202</v>
      </c>
      <c r="Y116" s="31" t="s">
        <v>339</v>
      </c>
      <c r="Z116" s="25" t="s">
        <v>364</v>
      </c>
      <c r="AA116" s="29" t="s">
        <v>524</v>
      </c>
      <c r="AB116" s="25" t="s">
        <v>202</v>
      </c>
      <c r="AC116" s="31" t="s">
        <v>339</v>
      </c>
      <c r="AD116" s="31" t="s">
        <v>364</v>
      </c>
      <c r="AE116" s="41">
        <v>43314</v>
      </c>
    </row>
    <row r="117" spans="1:31" ht="15.75" x14ac:dyDescent="0.25">
      <c r="A117" s="24" t="s">
        <v>596</v>
      </c>
      <c r="B117" s="25" t="s">
        <v>597</v>
      </c>
      <c r="C117" s="25" t="s">
        <v>598</v>
      </c>
      <c r="D117" s="25" t="s">
        <v>460</v>
      </c>
      <c r="E117" s="30">
        <v>43338</v>
      </c>
      <c r="F117" s="25" t="s">
        <v>461</v>
      </c>
      <c r="G117" s="25" t="s">
        <v>230</v>
      </c>
      <c r="H117" s="25" t="s">
        <v>201</v>
      </c>
      <c r="I117" s="26">
        <v>9.5956873315363893</v>
      </c>
      <c r="J117" s="27">
        <v>10.613793103448263</v>
      </c>
      <c r="K117" s="27">
        <v>8.2965517241379381</v>
      </c>
      <c r="L117" s="27">
        <v>6.820689655172413</v>
      </c>
      <c r="M117" s="27">
        <v>3.2758620689655173</v>
      </c>
      <c r="N117" s="27">
        <v>18.475862068965487</v>
      </c>
      <c r="O117" s="27">
        <v>9.2275862068965537</v>
      </c>
      <c r="P117" s="27">
        <v>0.30344827586206896</v>
      </c>
      <c r="Q117" s="27">
        <v>1.0000000000000002</v>
      </c>
      <c r="R117" s="27">
        <v>5.4413793103448258</v>
      </c>
      <c r="S117" s="27">
        <v>5.8275862068965534</v>
      </c>
      <c r="T117" s="27">
        <v>7.4620689655172425</v>
      </c>
      <c r="U117" s="27">
        <v>10.275862068965512</v>
      </c>
      <c r="V117" s="27">
        <v>26.117241379310283</v>
      </c>
      <c r="W117" s="28"/>
      <c r="X117" s="25" t="s">
        <v>202</v>
      </c>
      <c r="Y117" s="31" t="s">
        <v>339</v>
      </c>
      <c r="Z117" s="25" t="s">
        <v>364</v>
      </c>
      <c r="AA117" s="29" t="s">
        <v>599</v>
      </c>
      <c r="AB117" s="25" t="s">
        <v>202</v>
      </c>
      <c r="AC117" s="31" t="s">
        <v>339</v>
      </c>
      <c r="AD117" s="31" t="s">
        <v>364</v>
      </c>
      <c r="AE117" s="41">
        <v>42411</v>
      </c>
    </row>
    <row r="118" spans="1:31" ht="15.75" x14ac:dyDescent="0.25">
      <c r="A118" s="24" t="s">
        <v>600</v>
      </c>
      <c r="B118" s="25" t="s">
        <v>601</v>
      </c>
      <c r="C118" s="25" t="s">
        <v>602</v>
      </c>
      <c r="D118" s="25" t="s">
        <v>473</v>
      </c>
      <c r="E118" s="30">
        <v>49783</v>
      </c>
      <c r="F118" s="25" t="s">
        <v>461</v>
      </c>
      <c r="G118" s="25" t="s">
        <v>230</v>
      </c>
      <c r="H118" s="25" t="s">
        <v>201</v>
      </c>
      <c r="I118" s="26">
        <v>54.2</v>
      </c>
      <c r="J118" s="27">
        <v>14.000000000000004</v>
      </c>
      <c r="K118" s="27">
        <v>5.3034482758620696</v>
      </c>
      <c r="L118" s="27">
        <v>5.9931034482758614</v>
      </c>
      <c r="M118" s="27">
        <v>3.2827586206896551</v>
      </c>
      <c r="N118" s="27">
        <v>11.393103448275861</v>
      </c>
      <c r="O118" s="27">
        <v>12.848275862068972</v>
      </c>
      <c r="P118" s="27">
        <v>1.8413793103448277</v>
      </c>
      <c r="Q118" s="27">
        <v>2.4965517241379307</v>
      </c>
      <c r="R118" s="27">
        <v>8.5655172413793093</v>
      </c>
      <c r="S118" s="27">
        <v>1.6758620689655175</v>
      </c>
      <c r="T118" s="27">
        <v>3.0896551724137935</v>
      </c>
      <c r="U118" s="27">
        <v>15.24827586206897</v>
      </c>
      <c r="V118" s="27">
        <v>12.924137931034481</v>
      </c>
      <c r="W118" s="28"/>
      <c r="X118" s="25" t="s">
        <v>202</v>
      </c>
      <c r="Y118" s="31" t="s">
        <v>339</v>
      </c>
      <c r="Z118" s="25" t="s">
        <v>364</v>
      </c>
      <c r="AA118" s="29" t="s">
        <v>603</v>
      </c>
      <c r="AB118" s="25" t="s">
        <v>202</v>
      </c>
      <c r="AC118" s="31" t="s">
        <v>339</v>
      </c>
      <c r="AD118" s="31" t="s">
        <v>364</v>
      </c>
      <c r="AE118" s="41">
        <v>42803</v>
      </c>
    </row>
    <row r="119" spans="1:31" ht="15.75" x14ac:dyDescent="0.25">
      <c r="A119" s="24" t="s">
        <v>604</v>
      </c>
      <c r="B119" s="25" t="s">
        <v>605</v>
      </c>
      <c r="C119" s="25" t="s">
        <v>606</v>
      </c>
      <c r="D119" s="25" t="s">
        <v>215</v>
      </c>
      <c r="E119" s="30">
        <v>78380</v>
      </c>
      <c r="F119" s="25" t="s">
        <v>272</v>
      </c>
      <c r="G119" s="25" t="s">
        <v>286</v>
      </c>
      <c r="H119" s="25" t="s">
        <v>5</v>
      </c>
      <c r="I119" s="26">
        <v>2.48730650154799</v>
      </c>
      <c r="J119" s="27">
        <v>1.8482758620689679</v>
      </c>
      <c r="K119" s="27">
        <v>23.200000000000287</v>
      </c>
      <c r="L119" s="27">
        <v>2.0827586206896562</v>
      </c>
      <c r="M119" s="27">
        <v>0.24137931034482762</v>
      </c>
      <c r="N119" s="27">
        <v>19.117241379310496</v>
      </c>
      <c r="O119" s="27">
        <v>8.2551724137930531</v>
      </c>
      <c r="P119" s="27">
        <v>0</v>
      </c>
      <c r="Q119" s="27">
        <v>0</v>
      </c>
      <c r="R119" s="27">
        <v>2.1793103448275879</v>
      </c>
      <c r="S119" s="27">
        <v>7.8896551724137494</v>
      </c>
      <c r="T119" s="27">
        <v>9.9448275862067987</v>
      </c>
      <c r="U119" s="27">
        <v>7.3586206896551287</v>
      </c>
      <c r="V119" s="27">
        <v>24.765517241379609</v>
      </c>
      <c r="W119" s="28"/>
      <c r="X119" s="25" t="s">
        <v>202</v>
      </c>
      <c r="Y119" s="31" t="s">
        <v>287</v>
      </c>
      <c r="Z119" s="25" t="s">
        <v>204</v>
      </c>
      <c r="AA119" s="29" t="s">
        <v>224</v>
      </c>
      <c r="AB119" s="25" t="s">
        <v>202</v>
      </c>
      <c r="AC119" s="31" t="s">
        <v>287</v>
      </c>
      <c r="AD119" s="31" t="s">
        <v>204</v>
      </c>
      <c r="AE119" s="41">
        <v>43475</v>
      </c>
    </row>
    <row r="120" spans="1:31" ht="15.75" x14ac:dyDescent="0.25">
      <c r="A120" s="24" t="s">
        <v>25</v>
      </c>
      <c r="B120" s="25" t="s">
        <v>607</v>
      </c>
      <c r="C120" s="25" t="s">
        <v>608</v>
      </c>
      <c r="D120" s="25" t="s">
        <v>571</v>
      </c>
      <c r="E120" s="30">
        <v>63361</v>
      </c>
      <c r="F120" s="25" t="s">
        <v>43</v>
      </c>
      <c r="G120" s="25" t="s">
        <v>230</v>
      </c>
      <c r="H120" s="25" t="s">
        <v>201</v>
      </c>
      <c r="I120" s="26">
        <v>31.505050505050502</v>
      </c>
      <c r="J120" s="27">
        <v>10.041379310344832</v>
      </c>
      <c r="K120" s="27">
        <v>4.0758620689655176</v>
      </c>
      <c r="L120" s="27">
        <v>5.8965517241379306</v>
      </c>
      <c r="M120" s="27">
        <v>5.6620689655172418</v>
      </c>
      <c r="N120" s="27">
        <v>10.717241379310343</v>
      </c>
      <c r="O120" s="27">
        <v>13.862068965517244</v>
      </c>
      <c r="P120" s="27">
        <v>0</v>
      </c>
      <c r="Q120" s="27">
        <v>1.096551724137931</v>
      </c>
      <c r="R120" s="27">
        <v>5.1379310344827589</v>
      </c>
      <c r="S120" s="27">
        <v>2.6758620689655173</v>
      </c>
      <c r="T120" s="27">
        <v>2.9448275862068964</v>
      </c>
      <c r="U120" s="27">
        <v>14.917241379310346</v>
      </c>
      <c r="V120" s="27">
        <v>14.6</v>
      </c>
      <c r="W120" s="28"/>
      <c r="X120" s="25" t="s">
        <v>202</v>
      </c>
      <c r="Y120" s="31" t="s">
        <v>339</v>
      </c>
      <c r="Z120" s="25" t="s">
        <v>364</v>
      </c>
      <c r="AA120" s="29" t="s">
        <v>280</v>
      </c>
      <c r="AB120" s="25" t="s">
        <v>202</v>
      </c>
      <c r="AC120" s="31" t="s">
        <v>339</v>
      </c>
      <c r="AD120" s="31" t="s">
        <v>364</v>
      </c>
      <c r="AE120" s="41">
        <v>42957</v>
      </c>
    </row>
    <row r="121" spans="1:31" ht="15.75" x14ac:dyDescent="0.25">
      <c r="A121" s="24" t="s">
        <v>609</v>
      </c>
      <c r="B121" s="25" t="s">
        <v>610</v>
      </c>
      <c r="C121" s="25" t="s">
        <v>611</v>
      </c>
      <c r="D121" s="25" t="s">
        <v>210</v>
      </c>
      <c r="E121" s="30">
        <v>30250</v>
      </c>
      <c r="F121" s="25" t="s">
        <v>211</v>
      </c>
      <c r="G121" s="25" t="s">
        <v>251</v>
      </c>
      <c r="H121" s="25" t="s">
        <v>201</v>
      </c>
      <c r="I121" s="26">
        <v>7.0535714285714297</v>
      </c>
      <c r="J121" s="27">
        <v>9.0689655172413666</v>
      </c>
      <c r="K121" s="27">
        <v>6.47586206896551</v>
      </c>
      <c r="L121" s="27">
        <v>5.9931034482758569</v>
      </c>
      <c r="M121" s="27">
        <v>3.6068965517241383</v>
      </c>
      <c r="N121" s="27">
        <v>13.882758620689636</v>
      </c>
      <c r="O121" s="27">
        <v>11.262068965517214</v>
      </c>
      <c r="P121" s="27">
        <v>0</v>
      </c>
      <c r="Q121" s="27">
        <v>0</v>
      </c>
      <c r="R121" s="27">
        <v>7.7931034482758568</v>
      </c>
      <c r="S121" s="27">
        <v>3.2206896551724111</v>
      </c>
      <c r="T121" s="27">
        <v>2.8482758620689639</v>
      </c>
      <c r="U121" s="27">
        <v>11.282758620689627</v>
      </c>
      <c r="V121" s="27">
        <v>20.944827586206873</v>
      </c>
      <c r="W121" s="28"/>
      <c r="X121" s="25" t="s">
        <v>202</v>
      </c>
      <c r="Y121" s="31" t="s">
        <v>339</v>
      </c>
      <c r="Z121" s="25" t="s">
        <v>364</v>
      </c>
      <c r="AA121" s="29" t="s">
        <v>500</v>
      </c>
      <c r="AB121" s="25" t="s">
        <v>232</v>
      </c>
      <c r="AC121" s="31"/>
      <c r="AD121" s="31"/>
      <c r="AE121" s="41"/>
    </row>
    <row r="122" spans="1:31" ht="15.75" x14ac:dyDescent="0.25">
      <c r="A122" s="24" t="s">
        <v>612</v>
      </c>
      <c r="B122" s="25" t="s">
        <v>613</v>
      </c>
      <c r="C122" s="25" t="s">
        <v>614</v>
      </c>
      <c r="D122" s="25" t="s">
        <v>198</v>
      </c>
      <c r="E122" s="30">
        <v>92173</v>
      </c>
      <c r="F122" s="25" t="s">
        <v>250</v>
      </c>
      <c r="G122" s="25" t="s">
        <v>0</v>
      </c>
      <c r="H122" s="25" t="s">
        <v>201</v>
      </c>
      <c r="I122" s="26">
        <v>3.0136876006441198</v>
      </c>
      <c r="J122" s="27">
        <v>22.779310344827689</v>
      </c>
      <c r="K122" s="27">
        <v>0.17241379310344829</v>
      </c>
      <c r="L122" s="27">
        <v>0.22758620689655173</v>
      </c>
      <c r="M122" s="27">
        <v>0.38620689655172424</v>
      </c>
      <c r="N122" s="27">
        <v>0.84827586206896599</v>
      </c>
      <c r="O122" s="27">
        <v>12.317241379310207</v>
      </c>
      <c r="P122" s="27">
        <v>0.22758620689655171</v>
      </c>
      <c r="Q122" s="27">
        <v>10.172413793103402</v>
      </c>
      <c r="R122" s="27">
        <v>0.34482758620689657</v>
      </c>
      <c r="S122" s="27">
        <v>0.26206896551724135</v>
      </c>
      <c r="T122" s="27">
        <v>0.46896551724137936</v>
      </c>
      <c r="U122" s="27">
        <v>22.489655172413897</v>
      </c>
      <c r="V122" s="27">
        <v>23.220689655172549</v>
      </c>
      <c r="W122" s="28"/>
      <c r="X122" s="25" t="s">
        <v>232</v>
      </c>
      <c r="Y122" s="31"/>
      <c r="Z122" s="25"/>
      <c r="AA122" s="29"/>
      <c r="AB122" s="25" t="s">
        <v>232</v>
      </c>
      <c r="AC122" s="31"/>
      <c r="AD122" s="31"/>
      <c r="AE122" s="41"/>
    </row>
    <row r="123" spans="1:31" ht="15.75" x14ac:dyDescent="0.25">
      <c r="A123" s="24" t="s">
        <v>615</v>
      </c>
      <c r="B123" s="25" t="s">
        <v>616</v>
      </c>
      <c r="C123" s="25" t="s">
        <v>617</v>
      </c>
      <c r="D123" s="25" t="s">
        <v>35</v>
      </c>
      <c r="E123" s="30">
        <v>1301</v>
      </c>
      <c r="F123" s="25" t="s">
        <v>391</v>
      </c>
      <c r="G123" s="25" t="s">
        <v>286</v>
      </c>
      <c r="H123" s="25" t="s">
        <v>5</v>
      </c>
      <c r="I123" s="26">
        <v>38.752293577981703</v>
      </c>
      <c r="J123" s="27">
        <v>0.17931034482758623</v>
      </c>
      <c r="K123" s="27">
        <v>0.31034482758620696</v>
      </c>
      <c r="L123" s="27">
        <v>5.5999999999999988</v>
      </c>
      <c r="M123" s="27">
        <v>15.972413793103451</v>
      </c>
      <c r="N123" s="27">
        <v>17.868965517241381</v>
      </c>
      <c r="O123" s="27">
        <v>4.1931034482758607</v>
      </c>
      <c r="P123" s="27">
        <v>0</v>
      </c>
      <c r="Q123" s="27">
        <v>0</v>
      </c>
      <c r="R123" s="27">
        <v>13.482758620689655</v>
      </c>
      <c r="S123" s="27">
        <v>1.8344827586206902</v>
      </c>
      <c r="T123" s="27">
        <v>2.5517241379310347</v>
      </c>
      <c r="U123" s="27">
        <v>4.1931034482758607</v>
      </c>
      <c r="V123" s="27">
        <v>20.53793103448276</v>
      </c>
      <c r="W123" s="28"/>
      <c r="X123" s="25" t="s">
        <v>202</v>
      </c>
      <c r="Y123" s="31" t="s">
        <v>339</v>
      </c>
      <c r="Z123" s="25" t="s">
        <v>364</v>
      </c>
      <c r="AA123" s="29" t="s">
        <v>408</v>
      </c>
      <c r="AB123" s="25" t="s">
        <v>202</v>
      </c>
      <c r="AC123" s="31" t="s">
        <v>339</v>
      </c>
      <c r="AD123" s="31" t="s">
        <v>364</v>
      </c>
      <c r="AE123" s="41">
        <v>43209</v>
      </c>
    </row>
    <row r="124" spans="1:31" ht="15.75" x14ac:dyDescent="0.25">
      <c r="A124" s="24" t="s">
        <v>618</v>
      </c>
      <c r="B124" s="25" t="s">
        <v>619</v>
      </c>
      <c r="C124" s="25" t="s">
        <v>620</v>
      </c>
      <c r="D124" s="25" t="s">
        <v>326</v>
      </c>
      <c r="E124" s="30">
        <v>80814</v>
      </c>
      <c r="F124" s="25" t="s">
        <v>327</v>
      </c>
      <c r="G124" s="25" t="s">
        <v>230</v>
      </c>
      <c r="H124" s="25" t="s">
        <v>201</v>
      </c>
      <c r="I124" s="26">
        <v>52.051470588235297</v>
      </c>
      <c r="J124" s="27">
        <v>11.255172413793106</v>
      </c>
      <c r="K124" s="27">
        <v>1.6137931034482758</v>
      </c>
      <c r="L124" s="27">
        <v>3.7862068965517244</v>
      </c>
      <c r="M124" s="27">
        <v>5.2137931034482747</v>
      </c>
      <c r="N124" s="27">
        <v>8.9724137931034491</v>
      </c>
      <c r="O124" s="27">
        <v>8.7241379310344858</v>
      </c>
      <c r="P124" s="27">
        <v>0.61379310344827587</v>
      </c>
      <c r="Q124" s="27">
        <v>3.5586206896551729</v>
      </c>
      <c r="R124" s="27">
        <v>5.6965517241379287</v>
      </c>
      <c r="S124" s="27">
        <v>2.5586206896551724</v>
      </c>
      <c r="T124" s="27">
        <v>1.2482758620689653</v>
      </c>
      <c r="U124" s="27">
        <v>12.365517241379317</v>
      </c>
      <c r="V124" s="27">
        <v>20.668965517241347</v>
      </c>
      <c r="W124" s="28"/>
      <c r="X124" s="25" t="s">
        <v>202</v>
      </c>
      <c r="Y124" s="31" t="s">
        <v>339</v>
      </c>
      <c r="Z124" s="25" t="s">
        <v>561</v>
      </c>
      <c r="AA124" s="29" t="s">
        <v>338</v>
      </c>
      <c r="AB124" s="25" t="s">
        <v>621</v>
      </c>
      <c r="AC124" s="31" t="s">
        <v>339</v>
      </c>
      <c r="AD124" s="31" t="s">
        <v>364</v>
      </c>
      <c r="AE124" s="41">
        <v>43371</v>
      </c>
    </row>
    <row r="125" spans="1:31" ht="15.75" x14ac:dyDescent="0.25">
      <c r="A125" s="24" t="s">
        <v>622</v>
      </c>
      <c r="B125" s="25" t="s">
        <v>623</v>
      </c>
      <c r="C125" s="25" t="s">
        <v>624</v>
      </c>
      <c r="D125" s="25" t="s">
        <v>625</v>
      </c>
      <c r="E125" s="30">
        <v>84321</v>
      </c>
      <c r="F125" s="25" t="s">
        <v>438</v>
      </c>
      <c r="G125" s="25" t="s">
        <v>286</v>
      </c>
      <c r="H125" s="25" t="s">
        <v>201</v>
      </c>
      <c r="I125" s="26">
        <v>7.4623655913978499</v>
      </c>
      <c r="J125" s="27">
        <v>2.5586206896551729</v>
      </c>
      <c r="K125" s="27">
        <v>4.2206896551724125</v>
      </c>
      <c r="L125" s="27">
        <v>7.4413793103448223</v>
      </c>
      <c r="M125" s="27">
        <v>7.2068965517241326</v>
      </c>
      <c r="N125" s="27">
        <v>16.827586206896527</v>
      </c>
      <c r="O125" s="27">
        <v>2.4620689655172421</v>
      </c>
      <c r="P125" s="27">
        <v>1.8758620689655177</v>
      </c>
      <c r="Q125" s="27">
        <v>0.26206896551724135</v>
      </c>
      <c r="R125" s="27">
        <v>11.558620689655161</v>
      </c>
      <c r="S125" s="27">
        <v>5.0068965517241359</v>
      </c>
      <c r="T125" s="27">
        <v>2.3931034482758613</v>
      </c>
      <c r="U125" s="27">
        <v>2.4689655172413798</v>
      </c>
      <c r="V125" s="27">
        <v>17.372413793103451</v>
      </c>
      <c r="W125" s="28"/>
      <c r="X125" s="25" t="s">
        <v>202</v>
      </c>
      <c r="Y125" s="31" t="s">
        <v>339</v>
      </c>
      <c r="Z125" s="25" t="s">
        <v>364</v>
      </c>
      <c r="AA125" s="29" t="s">
        <v>626</v>
      </c>
      <c r="AB125" s="25" t="s">
        <v>202</v>
      </c>
      <c r="AC125" s="31" t="s">
        <v>339</v>
      </c>
      <c r="AD125" s="31" t="s">
        <v>561</v>
      </c>
      <c r="AE125" s="41">
        <v>42810</v>
      </c>
    </row>
    <row r="126" spans="1:31" ht="15.75" x14ac:dyDescent="0.25">
      <c r="A126" s="24" t="s">
        <v>627</v>
      </c>
      <c r="B126" s="25" t="s">
        <v>628</v>
      </c>
      <c r="C126" s="25" t="s">
        <v>46</v>
      </c>
      <c r="D126" s="25" t="s">
        <v>47</v>
      </c>
      <c r="E126" s="30">
        <v>21704</v>
      </c>
      <c r="F126" s="25" t="s">
        <v>478</v>
      </c>
      <c r="G126" s="25" t="s">
        <v>230</v>
      </c>
      <c r="H126" s="25" t="s">
        <v>5</v>
      </c>
      <c r="I126" s="26">
        <v>25.819819819819799</v>
      </c>
      <c r="J126" s="27">
        <v>17.413793103448274</v>
      </c>
      <c r="K126" s="27">
        <v>3.2482758620689651</v>
      </c>
      <c r="L126" s="27">
        <v>1.3793103448275862E-2</v>
      </c>
      <c r="M126" s="27">
        <v>0.13793103448275862</v>
      </c>
      <c r="N126" s="27">
        <v>5.4896551724137925</v>
      </c>
      <c r="O126" s="27">
        <v>15.324137931034475</v>
      </c>
      <c r="P126" s="27">
        <v>0</v>
      </c>
      <c r="Q126" s="27">
        <v>0</v>
      </c>
      <c r="R126" s="27">
        <v>0.18620689655172415</v>
      </c>
      <c r="S126" s="27">
        <v>1.227586206896552</v>
      </c>
      <c r="T126" s="27">
        <v>4.0758620689655167</v>
      </c>
      <c r="U126" s="27">
        <v>15.324137931034475</v>
      </c>
      <c r="V126" s="27">
        <v>13.668965517241373</v>
      </c>
      <c r="W126" s="28"/>
      <c r="X126" s="25" t="s">
        <v>202</v>
      </c>
      <c r="Y126" s="31" t="s">
        <v>339</v>
      </c>
      <c r="Z126" s="25" t="s">
        <v>364</v>
      </c>
      <c r="AA126" s="29" t="s">
        <v>531</v>
      </c>
      <c r="AB126" s="25" t="s">
        <v>202</v>
      </c>
      <c r="AC126" s="31" t="s">
        <v>339</v>
      </c>
      <c r="AD126" s="31" t="s">
        <v>364</v>
      </c>
      <c r="AE126" s="41">
        <v>42929</v>
      </c>
    </row>
    <row r="127" spans="1:31" ht="15.75" x14ac:dyDescent="0.25">
      <c r="A127" s="24" t="s">
        <v>629</v>
      </c>
      <c r="B127" s="25" t="s">
        <v>630</v>
      </c>
      <c r="C127" s="25" t="s">
        <v>631</v>
      </c>
      <c r="D127" s="25" t="s">
        <v>530</v>
      </c>
      <c r="E127" s="30">
        <v>68048</v>
      </c>
      <c r="F127" s="25" t="s">
        <v>395</v>
      </c>
      <c r="G127" s="25" t="s">
        <v>286</v>
      </c>
      <c r="H127" s="25" t="s">
        <v>201</v>
      </c>
      <c r="I127" s="26">
        <v>28.213592233009699</v>
      </c>
      <c r="J127" s="27">
        <v>4.158620689655173</v>
      </c>
      <c r="K127" s="27">
        <v>3.8965517241379315</v>
      </c>
      <c r="L127" s="27">
        <v>8.7448275862068954</v>
      </c>
      <c r="M127" s="27">
        <v>1.682758620689655</v>
      </c>
      <c r="N127" s="27">
        <v>12.310344827586203</v>
      </c>
      <c r="O127" s="27">
        <v>3.0344827586206904</v>
      </c>
      <c r="P127" s="27">
        <v>2.2689655172413796</v>
      </c>
      <c r="Q127" s="27">
        <v>0.86896551724137927</v>
      </c>
      <c r="R127" s="27">
        <v>1.6620689655172416</v>
      </c>
      <c r="S127" s="27">
        <v>6.4965517241379294</v>
      </c>
      <c r="T127" s="27">
        <v>6.4206896551724153</v>
      </c>
      <c r="U127" s="27">
        <v>3.9034482758620692</v>
      </c>
      <c r="V127" s="27">
        <v>9.2344827586206915</v>
      </c>
      <c r="W127" s="28"/>
      <c r="X127" s="25" t="s">
        <v>202</v>
      </c>
      <c r="Y127" s="31" t="s">
        <v>339</v>
      </c>
      <c r="Z127" s="25" t="s">
        <v>364</v>
      </c>
      <c r="AA127" s="29" t="s">
        <v>430</v>
      </c>
      <c r="AB127" s="25" t="s">
        <v>202</v>
      </c>
      <c r="AC127" s="31" t="s">
        <v>339</v>
      </c>
      <c r="AD127" s="31" t="s">
        <v>364</v>
      </c>
      <c r="AE127" s="41">
        <v>43356</v>
      </c>
    </row>
    <row r="128" spans="1:31" ht="15.75" x14ac:dyDescent="0.25">
      <c r="A128" s="24" t="s">
        <v>632</v>
      </c>
      <c r="B128" s="25" t="s">
        <v>633</v>
      </c>
      <c r="C128" s="25" t="s">
        <v>634</v>
      </c>
      <c r="D128" s="25" t="s">
        <v>394</v>
      </c>
      <c r="E128" s="30">
        <v>55318</v>
      </c>
      <c r="F128" s="25" t="s">
        <v>395</v>
      </c>
      <c r="G128" s="25" t="s">
        <v>230</v>
      </c>
      <c r="H128" s="25" t="s">
        <v>201</v>
      </c>
      <c r="I128" s="26">
        <v>34.938461538461503</v>
      </c>
      <c r="J128" s="27">
        <v>1.1103448275862069</v>
      </c>
      <c r="K128" s="27">
        <v>2.5241379310344834</v>
      </c>
      <c r="L128" s="27">
        <v>8.6758620689655128</v>
      </c>
      <c r="M128" s="27">
        <v>2.6758620689655168</v>
      </c>
      <c r="N128" s="27">
        <v>9.834482758620684</v>
      </c>
      <c r="O128" s="27">
        <v>3.0620689655172404</v>
      </c>
      <c r="P128" s="27">
        <v>1.2551724137931035</v>
      </c>
      <c r="Q128" s="27">
        <v>0.83448275862068966</v>
      </c>
      <c r="R128" s="27">
        <v>6.8482758620689648</v>
      </c>
      <c r="S128" s="27">
        <v>2.4344827586206894</v>
      </c>
      <c r="T128" s="27">
        <v>1.7655172413793105</v>
      </c>
      <c r="U128" s="27">
        <v>3.9379310344827578</v>
      </c>
      <c r="V128" s="27">
        <v>11.634482758620692</v>
      </c>
      <c r="W128" s="28"/>
      <c r="X128" s="25" t="s">
        <v>202</v>
      </c>
      <c r="Y128" s="31" t="s">
        <v>339</v>
      </c>
      <c r="Z128" s="25" t="s">
        <v>364</v>
      </c>
      <c r="AA128" s="29" t="s">
        <v>500</v>
      </c>
      <c r="AB128" s="25" t="s">
        <v>202</v>
      </c>
      <c r="AC128" s="31" t="s">
        <v>339</v>
      </c>
      <c r="AD128" s="31" t="s">
        <v>364</v>
      </c>
      <c r="AE128" s="41">
        <v>43055</v>
      </c>
    </row>
    <row r="129" spans="1:31" ht="15.75" x14ac:dyDescent="0.25">
      <c r="A129" s="24" t="s">
        <v>635</v>
      </c>
      <c r="B129" s="25" t="s">
        <v>636</v>
      </c>
      <c r="C129" s="25" t="s">
        <v>637</v>
      </c>
      <c r="D129" s="25" t="s">
        <v>437</v>
      </c>
      <c r="E129" s="30">
        <v>89512</v>
      </c>
      <c r="F129" s="25" t="s">
        <v>438</v>
      </c>
      <c r="G129" s="25" t="s">
        <v>286</v>
      </c>
      <c r="H129" s="25" t="s">
        <v>201</v>
      </c>
      <c r="I129" s="26">
        <v>15.2446043165468</v>
      </c>
      <c r="J129" s="27">
        <v>1.9517241379310348</v>
      </c>
      <c r="K129" s="27">
        <v>2.9103448275862061</v>
      </c>
      <c r="L129" s="27">
        <v>5.917241379310342</v>
      </c>
      <c r="M129" s="27">
        <v>3.3586206896551722</v>
      </c>
      <c r="N129" s="27">
        <v>11.17241379310345</v>
      </c>
      <c r="O129" s="27">
        <v>2.4137931034482758</v>
      </c>
      <c r="P129" s="27">
        <v>6.8965517241379309E-2</v>
      </c>
      <c r="Q129" s="27">
        <v>0.48275862068965519</v>
      </c>
      <c r="R129" s="27">
        <v>5.7931034482758594</v>
      </c>
      <c r="S129" s="27">
        <v>2.7241379310344835</v>
      </c>
      <c r="T129" s="27">
        <v>2.0137931034482763</v>
      </c>
      <c r="U129" s="27">
        <v>3.6068965517241378</v>
      </c>
      <c r="V129" s="27">
        <v>10.096551724137933</v>
      </c>
      <c r="W129" s="28"/>
      <c r="X129" s="25" t="s">
        <v>202</v>
      </c>
      <c r="Y129" s="31" t="s">
        <v>339</v>
      </c>
      <c r="Z129" s="25" t="s">
        <v>364</v>
      </c>
      <c r="AA129" s="29" t="s">
        <v>638</v>
      </c>
      <c r="AB129" s="25" t="s">
        <v>202</v>
      </c>
      <c r="AC129" s="31" t="s">
        <v>339</v>
      </c>
      <c r="AD129" s="31" t="s">
        <v>364</v>
      </c>
      <c r="AE129" s="41">
        <v>42600</v>
      </c>
    </row>
    <row r="130" spans="1:31" ht="15.75" x14ac:dyDescent="0.25">
      <c r="A130" s="24" t="s">
        <v>639</v>
      </c>
      <c r="B130" s="25" t="s">
        <v>640</v>
      </c>
      <c r="C130" s="25" t="s">
        <v>641</v>
      </c>
      <c r="D130" s="25" t="s">
        <v>642</v>
      </c>
      <c r="E130" s="30">
        <v>29405</v>
      </c>
      <c r="F130" s="25" t="s">
        <v>211</v>
      </c>
      <c r="G130" s="25" t="s">
        <v>286</v>
      </c>
      <c r="H130" s="25" t="s">
        <v>5</v>
      </c>
      <c r="I130" s="26">
        <v>2.4800995024875601</v>
      </c>
      <c r="J130" s="27">
        <v>4.7586206896551468</v>
      </c>
      <c r="K130" s="27">
        <v>4.6620689655172258</v>
      </c>
      <c r="L130" s="27">
        <v>2.5793103448275811</v>
      </c>
      <c r="M130" s="27">
        <v>1.7172413793103465</v>
      </c>
      <c r="N130" s="27">
        <v>8.5931034482758157</v>
      </c>
      <c r="O130" s="27">
        <v>4.5241379310344625</v>
      </c>
      <c r="P130" s="27">
        <v>0.2413793103448276</v>
      </c>
      <c r="Q130" s="27">
        <v>0.35862068965517246</v>
      </c>
      <c r="R130" s="27">
        <v>2.2275862068965511</v>
      </c>
      <c r="S130" s="27">
        <v>3.7103448275861952</v>
      </c>
      <c r="T130" s="27">
        <v>3.0689655172413732</v>
      </c>
      <c r="U130" s="27">
        <v>4.7103448275861863</v>
      </c>
      <c r="V130" s="27">
        <v>8.062068965517204</v>
      </c>
      <c r="W130" s="28"/>
      <c r="X130" s="25" t="s">
        <v>202</v>
      </c>
      <c r="Y130" s="31" t="s">
        <v>339</v>
      </c>
      <c r="Z130" s="25" t="s">
        <v>364</v>
      </c>
      <c r="AA130" s="29" t="s">
        <v>273</v>
      </c>
      <c r="AB130" s="25" t="s">
        <v>202</v>
      </c>
      <c r="AC130" s="31" t="s">
        <v>339</v>
      </c>
      <c r="AD130" s="31" t="s">
        <v>364</v>
      </c>
      <c r="AE130" s="41">
        <v>43433</v>
      </c>
    </row>
    <row r="131" spans="1:31" ht="15.75" x14ac:dyDescent="0.25">
      <c r="A131" s="24" t="s">
        <v>643</v>
      </c>
      <c r="B131" s="25" t="s">
        <v>644</v>
      </c>
      <c r="C131" s="25" t="s">
        <v>645</v>
      </c>
      <c r="D131" s="25" t="s">
        <v>571</v>
      </c>
      <c r="E131" s="30">
        <v>65721</v>
      </c>
      <c r="F131" s="25" t="s">
        <v>43</v>
      </c>
      <c r="G131" s="25" t="s">
        <v>230</v>
      </c>
      <c r="H131" s="25" t="s">
        <v>5</v>
      </c>
      <c r="I131" s="26">
        <v>26.561797752808999</v>
      </c>
      <c r="J131" s="27">
        <v>3.0482758620689649</v>
      </c>
      <c r="K131" s="27">
        <v>3.9241379310344828</v>
      </c>
      <c r="L131" s="27">
        <v>3.5586206896551724</v>
      </c>
      <c r="M131" s="27">
        <v>2.2344827586206897</v>
      </c>
      <c r="N131" s="27">
        <v>6.8620689655172402</v>
      </c>
      <c r="O131" s="27">
        <v>5.8896551724137929</v>
      </c>
      <c r="P131" s="27">
        <v>6.8965517241379309E-3</v>
      </c>
      <c r="Q131" s="27">
        <v>6.8965517241379309E-3</v>
      </c>
      <c r="R131" s="27">
        <v>1.3517241379310347</v>
      </c>
      <c r="S131" s="27">
        <v>2.5310344827586202</v>
      </c>
      <c r="T131" s="27">
        <v>2.9862068965517246</v>
      </c>
      <c r="U131" s="27">
        <v>5.8965517241379306</v>
      </c>
      <c r="V131" s="27">
        <v>4.8689655172413762</v>
      </c>
      <c r="W131" s="28"/>
      <c r="X131" s="25" t="s">
        <v>202</v>
      </c>
      <c r="Y131" s="31" t="s">
        <v>339</v>
      </c>
      <c r="Z131" s="25" t="s">
        <v>364</v>
      </c>
      <c r="AA131" s="29" t="s">
        <v>646</v>
      </c>
      <c r="AB131" s="25" t="s">
        <v>202</v>
      </c>
      <c r="AC131" s="31" t="s">
        <v>339</v>
      </c>
      <c r="AD131" s="31" t="s">
        <v>364</v>
      </c>
      <c r="AE131" s="41">
        <v>43160</v>
      </c>
    </row>
    <row r="132" spans="1:31" ht="15.75" x14ac:dyDescent="0.25">
      <c r="A132" s="24" t="s">
        <v>647</v>
      </c>
      <c r="B132" s="25" t="s">
        <v>648</v>
      </c>
      <c r="C132" s="25" t="s">
        <v>649</v>
      </c>
      <c r="D132" s="25" t="s">
        <v>650</v>
      </c>
      <c r="E132" s="30">
        <v>97058</v>
      </c>
      <c r="F132" s="25" t="s">
        <v>257</v>
      </c>
      <c r="G132" s="25" t="s">
        <v>230</v>
      </c>
      <c r="H132" s="25" t="s">
        <v>5</v>
      </c>
      <c r="I132" s="26">
        <v>42.25</v>
      </c>
      <c r="J132" s="27">
        <v>0.22068965517241379</v>
      </c>
      <c r="K132" s="27">
        <v>2.731034482758619</v>
      </c>
      <c r="L132" s="27">
        <v>4.5999999999999996</v>
      </c>
      <c r="M132" s="27">
        <v>5.2</v>
      </c>
      <c r="N132" s="27">
        <v>11.910344827586199</v>
      </c>
      <c r="O132" s="27">
        <v>0.77241379310344827</v>
      </c>
      <c r="P132" s="27">
        <v>6.8965517241379309E-2</v>
      </c>
      <c r="Q132" s="27">
        <v>0</v>
      </c>
      <c r="R132" s="27">
        <v>6.6482758620689646</v>
      </c>
      <c r="S132" s="27">
        <v>4.2344827586206879</v>
      </c>
      <c r="T132" s="27">
        <v>1.1310344827586207</v>
      </c>
      <c r="U132" s="27">
        <v>0.73793103448275865</v>
      </c>
      <c r="V132" s="27">
        <v>10.986206896551719</v>
      </c>
      <c r="W132" s="28"/>
      <c r="X132" s="25" t="s">
        <v>202</v>
      </c>
      <c r="Y132" s="31" t="s">
        <v>339</v>
      </c>
      <c r="Z132" s="25" t="s">
        <v>364</v>
      </c>
      <c r="AA132" s="29" t="s">
        <v>335</v>
      </c>
      <c r="AB132" s="25" t="s">
        <v>202</v>
      </c>
      <c r="AC132" s="31" t="s">
        <v>339</v>
      </c>
      <c r="AD132" s="31" t="s">
        <v>364</v>
      </c>
      <c r="AE132" s="41">
        <v>43447</v>
      </c>
    </row>
    <row r="133" spans="1:31" ht="15.75" x14ac:dyDescent="0.25">
      <c r="A133" s="24" t="s">
        <v>651</v>
      </c>
      <c r="B133" s="25" t="s">
        <v>652</v>
      </c>
      <c r="C133" s="25" t="s">
        <v>653</v>
      </c>
      <c r="D133" s="25" t="s">
        <v>530</v>
      </c>
      <c r="E133" s="30">
        <v>68102</v>
      </c>
      <c r="F133" s="25" t="s">
        <v>395</v>
      </c>
      <c r="G133" s="25" t="s">
        <v>230</v>
      </c>
      <c r="H133" s="25" t="s">
        <v>201</v>
      </c>
      <c r="I133" s="26">
        <v>7.6327433628318602</v>
      </c>
      <c r="J133" s="27">
        <v>0.73793103448275899</v>
      </c>
      <c r="K133" s="27">
        <v>3.1793103448275861</v>
      </c>
      <c r="L133" s="27">
        <v>4.8344827586206867</v>
      </c>
      <c r="M133" s="27">
        <v>3.3999999999999986</v>
      </c>
      <c r="N133" s="27">
        <v>9.2344827586206755</v>
      </c>
      <c r="O133" s="27">
        <v>1.510344827586207</v>
      </c>
      <c r="P133" s="27">
        <v>1.1241379310344828</v>
      </c>
      <c r="Q133" s="27">
        <v>0.28275862068965513</v>
      </c>
      <c r="R133" s="27">
        <v>4.3379310344827564</v>
      </c>
      <c r="S133" s="27">
        <v>3.2344827586206883</v>
      </c>
      <c r="T133" s="27">
        <v>2.6827586206896545</v>
      </c>
      <c r="U133" s="27">
        <v>1.8965517241379315</v>
      </c>
      <c r="V133" s="27">
        <v>7.0551724137930991</v>
      </c>
      <c r="W133" s="28"/>
      <c r="X133" s="25" t="s">
        <v>202</v>
      </c>
      <c r="Y133" s="31" t="s">
        <v>287</v>
      </c>
      <c r="Z133" s="25" t="s">
        <v>204</v>
      </c>
      <c r="AA133" s="29" t="s">
        <v>283</v>
      </c>
      <c r="AB133" s="25" t="s">
        <v>202</v>
      </c>
      <c r="AC133" s="31" t="s">
        <v>287</v>
      </c>
      <c r="AD133" s="31" t="s">
        <v>204</v>
      </c>
      <c r="AE133" s="41">
        <v>43398</v>
      </c>
    </row>
    <row r="134" spans="1:31" ht="15.75" x14ac:dyDescent="0.25">
      <c r="A134" s="24" t="s">
        <v>654</v>
      </c>
      <c r="B134" s="25" t="s">
        <v>655</v>
      </c>
      <c r="C134" s="25" t="s">
        <v>656</v>
      </c>
      <c r="D134" s="25" t="s">
        <v>55</v>
      </c>
      <c r="E134" s="30">
        <v>35968</v>
      </c>
      <c r="F134" s="25" t="s">
        <v>229</v>
      </c>
      <c r="G134" s="25" t="s">
        <v>286</v>
      </c>
      <c r="H134" s="25" t="s">
        <v>201</v>
      </c>
      <c r="I134" s="26">
        <v>5.4186046511627897</v>
      </c>
      <c r="J134" s="27">
        <v>6.1724137931034457</v>
      </c>
      <c r="K134" s="27">
        <v>2.5931034482758633</v>
      </c>
      <c r="L134" s="27">
        <v>2.5862068965517242</v>
      </c>
      <c r="M134" s="27">
        <v>0.23448275862068962</v>
      </c>
      <c r="N134" s="27">
        <v>5.5172413793103448E-2</v>
      </c>
      <c r="O134" s="27">
        <v>0</v>
      </c>
      <c r="P134" s="27">
        <v>5.468965517241374</v>
      </c>
      <c r="Q134" s="27">
        <v>6.0620689655172368</v>
      </c>
      <c r="R134" s="27">
        <v>3.0068965517241359</v>
      </c>
      <c r="S134" s="27">
        <v>0.7931034482758621</v>
      </c>
      <c r="T134" s="27">
        <v>1.7241379310344827</v>
      </c>
      <c r="U134" s="27">
        <v>6.0620689655172368</v>
      </c>
      <c r="V134" s="27">
        <v>10.096551724137923</v>
      </c>
      <c r="W134" s="28"/>
      <c r="X134" s="25" t="s">
        <v>202</v>
      </c>
      <c r="Y134" s="31" t="s">
        <v>339</v>
      </c>
      <c r="Z134" s="25" t="s">
        <v>206</v>
      </c>
      <c r="AA134" s="29" t="s">
        <v>263</v>
      </c>
      <c r="AB134" s="25" t="s">
        <v>202</v>
      </c>
      <c r="AC134" s="31" t="s">
        <v>339</v>
      </c>
      <c r="AD134" s="31" t="s">
        <v>364</v>
      </c>
      <c r="AE134" s="41">
        <v>42741</v>
      </c>
    </row>
    <row r="135" spans="1:31" ht="15.75" x14ac:dyDescent="0.25">
      <c r="A135" s="24" t="s">
        <v>657</v>
      </c>
      <c r="B135" s="25" t="s">
        <v>658</v>
      </c>
      <c r="C135" s="25" t="s">
        <v>249</v>
      </c>
      <c r="D135" s="25" t="s">
        <v>198</v>
      </c>
      <c r="E135" s="30">
        <v>92154</v>
      </c>
      <c r="F135" s="25" t="s">
        <v>250</v>
      </c>
      <c r="G135" s="25" t="s">
        <v>0</v>
      </c>
      <c r="H135" s="25" t="s">
        <v>201</v>
      </c>
      <c r="I135" s="26">
        <v>1.70487804878049</v>
      </c>
      <c r="J135" s="27">
        <v>9.9310344827585144</v>
      </c>
      <c r="K135" s="27">
        <v>0.59310344827586248</v>
      </c>
      <c r="L135" s="27">
        <v>0.29655172413793107</v>
      </c>
      <c r="M135" s="27">
        <v>2.0689655172413793E-2</v>
      </c>
      <c r="N135" s="27">
        <v>1.455172413793105</v>
      </c>
      <c r="O135" s="27">
        <v>7.83448275862062</v>
      </c>
      <c r="P135" s="27">
        <v>8.9655172413793102E-2</v>
      </c>
      <c r="Q135" s="27">
        <v>1.4620689655172427</v>
      </c>
      <c r="R135" s="27">
        <v>0.53103448275862086</v>
      </c>
      <c r="S135" s="27">
        <v>0.40689655172413808</v>
      </c>
      <c r="T135" s="27">
        <v>0.60689655172413826</v>
      </c>
      <c r="U135" s="27">
        <v>9.2965517241378368</v>
      </c>
      <c r="V135" s="27">
        <v>6.475862068965438</v>
      </c>
      <c r="W135" s="28"/>
      <c r="X135" s="25" t="s">
        <v>232</v>
      </c>
      <c r="Y135" s="31"/>
      <c r="Z135" s="25"/>
      <c r="AA135" s="29"/>
      <c r="AB135" s="25" t="s">
        <v>232</v>
      </c>
      <c r="AC135" s="31"/>
      <c r="AD135" s="31"/>
      <c r="AE135" s="41"/>
    </row>
    <row r="136" spans="1:31" ht="15.75" x14ac:dyDescent="0.25">
      <c r="A136" s="24" t="s">
        <v>659</v>
      </c>
      <c r="B136" s="25" t="s">
        <v>660</v>
      </c>
      <c r="C136" s="25" t="s">
        <v>661</v>
      </c>
      <c r="D136" s="25" t="s">
        <v>571</v>
      </c>
      <c r="E136" s="30">
        <v>64079</v>
      </c>
      <c r="F136" s="25" t="s">
        <v>43</v>
      </c>
      <c r="G136" s="25" t="s">
        <v>230</v>
      </c>
      <c r="H136" s="25" t="s">
        <v>201</v>
      </c>
      <c r="I136" s="26">
        <v>18.761904761904798</v>
      </c>
      <c r="J136" s="27">
        <v>4.6827586206896541</v>
      </c>
      <c r="K136" s="27">
        <v>2.3931034482758622</v>
      </c>
      <c r="L136" s="27">
        <v>2.103448275862069</v>
      </c>
      <c r="M136" s="27">
        <v>1.1724137931034484</v>
      </c>
      <c r="N136" s="27">
        <v>4.1862068965517247</v>
      </c>
      <c r="O136" s="27">
        <v>2.9172413793103447</v>
      </c>
      <c r="P136" s="27">
        <v>2.2275862068965515</v>
      </c>
      <c r="Q136" s="27">
        <v>1.0206896551724138</v>
      </c>
      <c r="R136" s="27">
        <v>2.7241379310344827</v>
      </c>
      <c r="S136" s="27">
        <v>0.6</v>
      </c>
      <c r="T136" s="27">
        <v>3.0896551724137931</v>
      </c>
      <c r="U136" s="27">
        <v>3.9379310344827569</v>
      </c>
      <c r="V136" s="27">
        <v>5.3241379310344819</v>
      </c>
      <c r="W136" s="28"/>
      <c r="X136" s="25" t="s">
        <v>202</v>
      </c>
      <c r="Y136" s="31" t="s">
        <v>339</v>
      </c>
      <c r="Z136" s="25" t="s">
        <v>364</v>
      </c>
      <c r="AA136" s="29" t="s">
        <v>292</v>
      </c>
      <c r="AB136" s="25" t="s">
        <v>202</v>
      </c>
      <c r="AC136" s="31" t="s">
        <v>339</v>
      </c>
      <c r="AD136" s="31" t="s">
        <v>364</v>
      </c>
      <c r="AE136" s="41">
        <v>43055</v>
      </c>
    </row>
    <row r="137" spans="1:31" ht="15.75" x14ac:dyDescent="0.25">
      <c r="A137" s="24" t="s">
        <v>662</v>
      </c>
      <c r="B137" s="25" t="s">
        <v>663</v>
      </c>
      <c r="C137" s="25" t="s">
        <v>664</v>
      </c>
      <c r="D137" s="25" t="s">
        <v>228</v>
      </c>
      <c r="E137" s="30">
        <v>70433</v>
      </c>
      <c r="F137" s="25" t="s">
        <v>229</v>
      </c>
      <c r="G137" s="25" t="s">
        <v>230</v>
      </c>
      <c r="H137" s="25" t="s">
        <v>201</v>
      </c>
      <c r="I137" s="26">
        <v>2.5722772277227701</v>
      </c>
      <c r="J137" s="27">
        <v>0.64827586206896592</v>
      </c>
      <c r="K137" s="27">
        <v>4.0965517241379192</v>
      </c>
      <c r="L137" s="27">
        <v>3.579310344827582</v>
      </c>
      <c r="M137" s="27">
        <v>0.71034482758620721</v>
      </c>
      <c r="N137" s="27">
        <v>2.3448275862068972</v>
      </c>
      <c r="O137" s="27">
        <v>6.0620689655172262</v>
      </c>
      <c r="P137" s="27">
        <v>4.1379310344827586E-2</v>
      </c>
      <c r="Q137" s="27">
        <v>0.58620689655172442</v>
      </c>
      <c r="R137" s="27">
        <v>0.59310344827586214</v>
      </c>
      <c r="S137" s="27">
        <v>0.63448275862068992</v>
      </c>
      <c r="T137" s="27">
        <v>1.1517241379310357</v>
      </c>
      <c r="U137" s="27">
        <v>6.6551724137930846</v>
      </c>
      <c r="V137" s="27">
        <v>3.5724137931034434</v>
      </c>
      <c r="W137" s="28"/>
      <c r="X137" s="25" t="s">
        <v>621</v>
      </c>
      <c r="Y137" s="31" t="s">
        <v>339</v>
      </c>
      <c r="Z137" s="25" t="s">
        <v>364</v>
      </c>
      <c r="AA137" s="29" t="s">
        <v>665</v>
      </c>
      <c r="AB137" s="25" t="s">
        <v>621</v>
      </c>
      <c r="AC137" s="31" t="s">
        <v>339</v>
      </c>
      <c r="AD137" s="31" t="s">
        <v>364</v>
      </c>
      <c r="AE137" s="41">
        <v>43010</v>
      </c>
    </row>
    <row r="138" spans="1:31" ht="15.75" x14ac:dyDescent="0.25">
      <c r="A138" s="24" t="s">
        <v>666</v>
      </c>
      <c r="B138" s="25" t="s">
        <v>667</v>
      </c>
      <c r="C138" s="25" t="s">
        <v>668</v>
      </c>
      <c r="D138" s="25" t="s">
        <v>323</v>
      </c>
      <c r="E138" s="30">
        <v>34112</v>
      </c>
      <c r="F138" s="25" t="s">
        <v>36</v>
      </c>
      <c r="G138" s="25" t="s">
        <v>230</v>
      </c>
      <c r="H138" s="25" t="s">
        <v>201</v>
      </c>
      <c r="I138" s="26">
        <v>2.1982142857142901</v>
      </c>
      <c r="J138" s="27">
        <v>3.71724137931034</v>
      </c>
      <c r="K138" s="27">
        <v>1.4551724137931052</v>
      </c>
      <c r="L138" s="27">
        <v>2.0896551724137948</v>
      </c>
      <c r="M138" s="27">
        <v>1.0689655172413803</v>
      </c>
      <c r="N138" s="27">
        <v>5.0965517241379148</v>
      </c>
      <c r="O138" s="27">
        <v>2.8068965517241362</v>
      </c>
      <c r="P138" s="27">
        <v>8.9655172413793102E-2</v>
      </c>
      <c r="Q138" s="27">
        <v>0.33793103448275869</v>
      </c>
      <c r="R138" s="27">
        <v>0.91034482758620761</v>
      </c>
      <c r="S138" s="27">
        <v>1.6965517241379335</v>
      </c>
      <c r="T138" s="27">
        <v>2.6482758620689641</v>
      </c>
      <c r="U138" s="27">
        <v>3.0758620689655141</v>
      </c>
      <c r="V138" s="27">
        <v>3.7034482758620602</v>
      </c>
      <c r="W138" s="28"/>
      <c r="X138" s="25" t="s">
        <v>202</v>
      </c>
      <c r="Y138" s="31" t="s">
        <v>339</v>
      </c>
      <c r="Z138" s="25" t="s">
        <v>387</v>
      </c>
      <c r="AA138" s="29" t="s">
        <v>669</v>
      </c>
      <c r="AB138" s="25" t="s">
        <v>621</v>
      </c>
      <c r="AC138" s="31" t="s">
        <v>339</v>
      </c>
      <c r="AD138" s="31" t="s">
        <v>364</v>
      </c>
      <c r="AE138" s="41">
        <v>43364</v>
      </c>
    </row>
    <row r="139" spans="1:31" ht="15.75" x14ac:dyDescent="0.25">
      <c r="A139" s="24" t="s">
        <v>670</v>
      </c>
      <c r="B139" s="25" t="s">
        <v>671</v>
      </c>
      <c r="C139" s="25" t="s">
        <v>672</v>
      </c>
      <c r="D139" s="25" t="s">
        <v>215</v>
      </c>
      <c r="E139" s="30">
        <v>75202</v>
      </c>
      <c r="F139" s="25" t="s">
        <v>308</v>
      </c>
      <c r="G139" s="25" t="s">
        <v>286</v>
      </c>
      <c r="H139" s="25" t="s">
        <v>201</v>
      </c>
      <c r="I139" s="26">
        <v>1.18298368298368</v>
      </c>
      <c r="J139" s="27">
        <v>7.0896551724136634</v>
      </c>
      <c r="K139" s="27">
        <v>2.0689655172413793E-2</v>
      </c>
      <c r="L139" s="27">
        <v>1.3793103448275862E-2</v>
      </c>
      <c r="M139" s="27">
        <v>6.8965517241379309E-3</v>
      </c>
      <c r="N139" s="27">
        <v>3.7655172413792788</v>
      </c>
      <c r="O139" s="27">
        <v>2.8206896551724014</v>
      </c>
      <c r="P139" s="27">
        <v>0.24827586206896562</v>
      </c>
      <c r="Q139" s="27">
        <v>0.29655172413793118</v>
      </c>
      <c r="R139" s="27">
        <v>1.1172413793103466</v>
      </c>
      <c r="S139" s="27">
        <v>1.0275862068965533</v>
      </c>
      <c r="T139" s="27">
        <v>1.8689655172413826</v>
      </c>
      <c r="U139" s="27">
        <v>3.1172413793103262</v>
      </c>
      <c r="V139" s="27">
        <v>2.5172413793103385</v>
      </c>
      <c r="W139" s="28"/>
      <c r="X139" s="25" t="s">
        <v>621</v>
      </c>
      <c r="Y139" s="31" t="s">
        <v>339</v>
      </c>
      <c r="Z139" s="25" t="s">
        <v>364</v>
      </c>
      <c r="AA139" s="29" t="s">
        <v>673</v>
      </c>
      <c r="AB139" s="25" t="s">
        <v>232</v>
      </c>
      <c r="AC139" s="31"/>
      <c r="AD139" s="31"/>
      <c r="AE139" s="41"/>
    </row>
    <row r="140" spans="1:31" ht="15.75" x14ac:dyDescent="0.25">
      <c r="A140" s="24" t="s">
        <v>53</v>
      </c>
      <c r="B140" s="25" t="s">
        <v>674</v>
      </c>
      <c r="C140" s="25" t="s">
        <v>675</v>
      </c>
      <c r="D140" s="25" t="s">
        <v>323</v>
      </c>
      <c r="E140" s="30">
        <v>33762</v>
      </c>
      <c r="F140" s="25" t="s">
        <v>36</v>
      </c>
      <c r="G140" s="25" t="s">
        <v>286</v>
      </c>
      <c r="H140" s="25" t="s">
        <v>201</v>
      </c>
      <c r="I140" s="26">
        <v>1.93388429752066</v>
      </c>
      <c r="J140" s="27">
        <v>0.65517241379310376</v>
      </c>
      <c r="K140" s="27">
        <v>2.5310344827586184</v>
      </c>
      <c r="L140" s="27">
        <v>2.6689655172413764</v>
      </c>
      <c r="M140" s="27">
        <v>0.62068965517241403</v>
      </c>
      <c r="N140" s="27">
        <v>3.7310344827586084</v>
      </c>
      <c r="O140" s="27">
        <v>2.3655172413793091</v>
      </c>
      <c r="P140" s="27">
        <v>0.22068965517241373</v>
      </c>
      <c r="Q140" s="27">
        <v>0.1586206896551724</v>
      </c>
      <c r="R140" s="27">
        <v>1.2551724137931048</v>
      </c>
      <c r="S140" s="27">
        <v>1.2896551724137946</v>
      </c>
      <c r="T140" s="27">
        <v>1.4137931034482774</v>
      </c>
      <c r="U140" s="27">
        <v>2.5172413793103421</v>
      </c>
      <c r="V140" s="27">
        <v>2.8827586206896489</v>
      </c>
      <c r="W140" s="28"/>
      <c r="X140" s="25" t="s">
        <v>621</v>
      </c>
      <c r="Y140" s="31" t="s">
        <v>339</v>
      </c>
      <c r="Z140" s="25" t="s">
        <v>364</v>
      </c>
      <c r="AA140" s="29" t="s">
        <v>676</v>
      </c>
      <c r="AB140" s="25" t="s">
        <v>621</v>
      </c>
      <c r="AC140" s="31" t="s">
        <v>339</v>
      </c>
      <c r="AD140" s="31" t="s">
        <v>364</v>
      </c>
      <c r="AE140" s="41">
        <v>43019</v>
      </c>
    </row>
    <row r="141" spans="1:31" ht="15.75" x14ac:dyDescent="0.25">
      <c r="A141" s="24" t="s">
        <v>677</v>
      </c>
      <c r="B141" s="25" t="s">
        <v>678</v>
      </c>
      <c r="C141" s="25" t="s">
        <v>679</v>
      </c>
      <c r="D141" s="25" t="s">
        <v>625</v>
      </c>
      <c r="E141" s="30">
        <v>84737</v>
      </c>
      <c r="F141" s="25" t="s">
        <v>438</v>
      </c>
      <c r="G141" s="25" t="s">
        <v>286</v>
      </c>
      <c r="H141" s="25" t="s">
        <v>201</v>
      </c>
      <c r="I141" s="26">
        <v>7.25</v>
      </c>
      <c r="J141" s="27">
        <v>0.54482758620689653</v>
      </c>
      <c r="K141" s="27">
        <v>4.8137931034482726</v>
      </c>
      <c r="L141" s="27">
        <v>0.8</v>
      </c>
      <c r="M141" s="27">
        <v>0.1586206896551724</v>
      </c>
      <c r="N141" s="27">
        <v>4.2482758620689633</v>
      </c>
      <c r="O141" s="27">
        <v>1.5034482758620695</v>
      </c>
      <c r="P141" s="27">
        <v>0.4689655172413793</v>
      </c>
      <c r="Q141" s="27">
        <v>9.6551724137931033E-2</v>
      </c>
      <c r="R141" s="27">
        <v>1.6827586206896554</v>
      </c>
      <c r="S141" s="27">
        <v>1.8137931034482766</v>
      </c>
      <c r="T141" s="27">
        <v>1.2344827586206895</v>
      </c>
      <c r="U141" s="27">
        <v>1.5862068965517249</v>
      </c>
      <c r="V141" s="27">
        <v>4.3586206896551705</v>
      </c>
      <c r="W141" s="28"/>
      <c r="X141" s="25" t="s">
        <v>621</v>
      </c>
      <c r="Y141" s="31" t="s">
        <v>339</v>
      </c>
      <c r="Z141" s="25" t="s">
        <v>364</v>
      </c>
      <c r="AA141" s="29" t="s">
        <v>680</v>
      </c>
      <c r="AB141" s="25" t="s">
        <v>621</v>
      </c>
      <c r="AC141" s="31" t="s">
        <v>339</v>
      </c>
      <c r="AD141" s="31" t="s">
        <v>364</v>
      </c>
      <c r="AE141" s="41">
        <v>42978</v>
      </c>
    </row>
    <row r="142" spans="1:31" ht="15.75" x14ac:dyDescent="0.25">
      <c r="A142" s="24" t="s">
        <v>57</v>
      </c>
      <c r="B142" s="25" t="s">
        <v>681</v>
      </c>
      <c r="C142" s="25" t="s">
        <v>682</v>
      </c>
      <c r="D142" s="25" t="s">
        <v>683</v>
      </c>
      <c r="E142" s="30">
        <v>939</v>
      </c>
      <c r="F142" s="25" t="s">
        <v>36</v>
      </c>
      <c r="G142" s="25" t="s">
        <v>592</v>
      </c>
      <c r="H142" s="25" t="s">
        <v>201</v>
      </c>
      <c r="I142" s="26">
        <v>8.52</v>
      </c>
      <c r="J142" s="27">
        <v>0.1586206896551724</v>
      </c>
      <c r="K142" s="27">
        <v>2.317241379310345</v>
      </c>
      <c r="L142" s="27">
        <v>1.6620689655172414</v>
      </c>
      <c r="M142" s="27">
        <v>1.9241379310344828</v>
      </c>
      <c r="N142" s="27">
        <v>4.7517241379310349</v>
      </c>
      <c r="O142" s="27">
        <v>0.99999999999999989</v>
      </c>
      <c r="P142" s="27">
        <v>0.31034482758620685</v>
      </c>
      <c r="Q142" s="27">
        <v>0</v>
      </c>
      <c r="R142" s="27">
        <v>2.3034482758620696</v>
      </c>
      <c r="S142" s="27">
        <v>2.4551724137931039</v>
      </c>
      <c r="T142" s="27">
        <v>0.30344827586206896</v>
      </c>
      <c r="U142" s="27">
        <v>1</v>
      </c>
      <c r="V142" s="27">
        <v>5.2482758620689651</v>
      </c>
      <c r="W142" s="28"/>
      <c r="X142" s="25" t="s">
        <v>202</v>
      </c>
      <c r="Y142" s="31" t="s">
        <v>339</v>
      </c>
      <c r="Z142" s="25" t="s">
        <v>340</v>
      </c>
      <c r="AA142" s="29" t="s">
        <v>684</v>
      </c>
      <c r="AB142" s="25" t="s">
        <v>202</v>
      </c>
      <c r="AC142" s="31" t="s">
        <v>339</v>
      </c>
      <c r="AD142" s="31" t="s">
        <v>340</v>
      </c>
      <c r="AE142" s="41">
        <v>39241</v>
      </c>
    </row>
    <row r="143" spans="1:31" ht="15.75" x14ac:dyDescent="0.25">
      <c r="A143" s="24" t="s">
        <v>685</v>
      </c>
      <c r="B143" s="25" t="s">
        <v>686</v>
      </c>
      <c r="C143" s="25" t="s">
        <v>687</v>
      </c>
      <c r="D143" s="25" t="s">
        <v>688</v>
      </c>
      <c r="E143" s="30">
        <v>96950</v>
      </c>
      <c r="F143" s="25" t="s">
        <v>383</v>
      </c>
      <c r="G143" s="25" t="s">
        <v>286</v>
      </c>
      <c r="H143" s="25" t="s">
        <v>201</v>
      </c>
      <c r="I143" s="26">
        <v>8.6</v>
      </c>
      <c r="J143" s="27">
        <v>0</v>
      </c>
      <c r="K143" s="27">
        <v>5.524137931034482</v>
      </c>
      <c r="L143" s="27">
        <v>0.44827586206896552</v>
      </c>
      <c r="M143" s="27">
        <v>0</v>
      </c>
      <c r="N143" s="27">
        <v>3.0689655172413794</v>
      </c>
      <c r="O143" s="27">
        <v>2.3379310344827586</v>
      </c>
      <c r="P143" s="27">
        <v>0.55172413793103448</v>
      </c>
      <c r="Q143" s="27">
        <v>1.3793103448275862E-2</v>
      </c>
      <c r="R143" s="27">
        <v>1.9655172413793103</v>
      </c>
      <c r="S143" s="27">
        <v>1.6551724137931036</v>
      </c>
      <c r="T143" s="27">
        <v>0</v>
      </c>
      <c r="U143" s="27">
        <v>2.3517241379310341</v>
      </c>
      <c r="V143" s="27">
        <v>4.862068965517242</v>
      </c>
      <c r="W143" s="28"/>
      <c r="X143" s="25" t="s">
        <v>232</v>
      </c>
      <c r="Y143" s="31"/>
      <c r="Z143" s="25"/>
      <c r="AA143" s="29"/>
      <c r="AB143" s="25" t="s">
        <v>232</v>
      </c>
      <c r="AC143" s="31"/>
      <c r="AD143" s="31"/>
      <c r="AE143" s="41"/>
    </row>
    <row r="144" spans="1:31" ht="15.75" x14ac:dyDescent="0.25">
      <c r="A144" s="24" t="s">
        <v>689</v>
      </c>
      <c r="B144" s="25" t="s">
        <v>690</v>
      </c>
      <c r="C144" s="25" t="s">
        <v>691</v>
      </c>
      <c r="D144" s="25" t="s">
        <v>692</v>
      </c>
      <c r="E144" s="30">
        <v>58206</v>
      </c>
      <c r="F144" s="25" t="s">
        <v>395</v>
      </c>
      <c r="G144" s="25" t="s">
        <v>230</v>
      </c>
      <c r="H144" s="25" t="s">
        <v>201</v>
      </c>
      <c r="I144" s="26">
        <v>3.8161434977578499</v>
      </c>
      <c r="J144" s="27">
        <v>6.8965517241379309E-2</v>
      </c>
      <c r="K144" s="27">
        <v>4.1379310344827586E-2</v>
      </c>
      <c r="L144" s="27">
        <v>5.8068965517241331</v>
      </c>
      <c r="M144" s="27">
        <v>4.8275862068965517E-2</v>
      </c>
      <c r="N144" s="27">
        <v>2.3517241379310354</v>
      </c>
      <c r="O144" s="27">
        <v>3.2275862068965493</v>
      </c>
      <c r="P144" s="27">
        <v>7.586206896551724E-2</v>
      </c>
      <c r="Q144" s="27">
        <v>0.31034482758620691</v>
      </c>
      <c r="R144" s="27">
        <v>0.71724137931034482</v>
      </c>
      <c r="S144" s="27">
        <v>1.0137931034482757</v>
      </c>
      <c r="T144" s="27">
        <v>0.70344827586206904</v>
      </c>
      <c r="U144" s="27">
        <v>3.5310344827586171</v>
      </c>
      <c r="V144" s="27">
        <v>2.586206896551726</v>
      </c>
      <c r="W144" s="28"/>
      <c r="X144" s="25" t="s">
        <v>202</v>
      </c>
      <c r="Y144" s="31" t="s">
        <v>339</v>
      </c>
      <c r="Z144" s="25" t="s">
        <v>561</v>
      </c>
      <c r="AA144" s="29" t="s">
        <v>693</v>
      </c>
      <c r="AB144" s="25" t="s">
        <v>621</v>
      </c>
      <c r="AC144" s="31" t="s">
        <v>339</v>
      </c>
      <c r="AD144" s="31" t="s">
        <v>364</v>
      </c>
      <c r="AE144" s="41">
        <v>42999</v>
      </c>
    </row>
    <row r="145" spans="1:31" ht="15.75" x14ac:dyDescent="0.25">
      <c r="A145" s="24" t="s">
        <v>694</v>
      </c>
      <c r="B145" s="25" t="s">
        <v>695</v>
      </c>
      <c r="C145" s="25" t="s">
        <v>696</v>
      </c>
      <c r="D145" s="25" t="s">
        <v>571</v>
      </c>
      <c r="E145" s="30">
        <v>63379</v>
      </c>
      <c r="F145" s="25" t="s">
        <v>43</v>
      </c>
      <c r="G145" s="25" t="s">
        <v>230</v>
      </c>
      <c r="H145" s="25" t="s">
        <v>201</v>
      </c>
      <c r="I145" s="26">
        <v>34.878787878787897</v>
      </c>
      <c r="J145" s="27">
        <v>0.97241379310344811</v>
      </c>
      <c r="K145" s="27">
        <v>0.55172413793103448</v>
      </c>
      <c r="L145" s="27">
        <v>0.83448275862068966</v>
      </c>
      <c r="M145" s="27">
        <v>3.5793103448275865</v>
      </c>
      <c r="N145" s="27">
        <v>4.6896551724137927</v>
      </c>
      <c r="O145" s="27">
        <v>0.71034482758620698</v>
      </c>
      <c r="P145" s="27">
        <v>0.53793103448275859</v>
      </c>
      <c r="Q145" s="27">
        <v>0</v>
      </c>
      <c r="R145" s="27">
        <v>2.227586206896552</v>
      </c>
      <c r="S145" s="27">
        <v>2.5034482758620689</v>
      </c>
      <c r="T145" s="27">
        <v>0.6</v>
      </c>
      <c r="U145" s="27">
        <v>0.60689655172413803</v>
      </c>
      <c r="V145" s="27">
        <v>4.5655172413793101</v>
      </c>
      <c r="W145" s="28"/>
      <c r="X145" s="25" t="s">
        <v>621</v>
      </c>
      <c r="Y145" s="31" t="s">
        <v>339</v>
      </c>
      <c r="Z145" s="25" t="s">
        <v>364</v>
      </c>
      <c r="AA145" s="29" t="s">
        <v>697</v>
      </c>
      <c r="AB145" s="25" t="s">
        <v>621</v>
      </c>
      <c r="AC145" s="31" t="s">
        <v>339</v>
      </c>
      <c r="AD145" s="31" t="s">
        <v>364</v>
      </c>
      <c r="AE145" s="41">
        <v>42983</v>
      </c>
    </row>
    <row r="146" spans="1:31" ht="15.75" x14ac:dyDescent="0.25">
      <c r="A146" s="24" t="s">
        <v>698</v>
      </c>
      <c r="B146" s="25" t="s">
        <v>699</v>
      </c>
      <c r="C146" s="25" t="s">
        <v>700</v>
      </c>
      <c r="D146" s="25" t="s">
        <v>701</v>
      </c>
      <c r="E146" s="30">
        <v>96910</v>
      </c>
      <c r="F146" s="25" t="s">
        <v>383</v>
      </c>
      <c r="G146" s="25" t="s">
        <v>286</v>
      </c>
      <c r="H146" s="25" t="s">
        <v>201</v>
      </c>
      <c r="I146" s="26">
        <v>48.3125</v>
      </c>
      <c r="J146" s="27">
        <v>0</v>
      </c>
      <c r="K146" s="27">
        <v>4.3931034482758626</v>
      </c>
      <c r="L146" s="27">
        <v>0.13103448275862067</v>
      </c>
      <c r="M146" s="27">
        <v>1.0275862068965518</v>
      </c>
      <c r="N146" s="27">
        <v>3.5103448275862075</v>
      </c>
      <c r="O146" s="27">
        <v>2.0413793103448277</v>
      </c>
      <c r="P146" s="27">
        <v>0</v>
      </c>
      <c r="Q146" s="27">
        <v>0</v>
      </c>
      <c r="R146" s="27">
        <v>2.6965517241379313</v>
      </c>
      <c r="S146" s="27">
        <v>0.71034482758620687</v>
      </c>
      <c r="T146" s="27">
        <v>0.10344827586206896</v>
      </c>
      <c r="U146" s="27">
        <v>2.0413793103448277</v>
      </c>
      <c r="V146" s="27">
        <v>4.2551724137931028</v>
      </c>
      <c r="W146" s="28"/>
      <c r="X146" s="25" t="s">
        <v>232</v>
      </c>
      <c r="Y146" s="31"/>
      <c r="Z146" s="25"/>
      <c r="AA146" s="29"/>
      <c r="AB146" s="25" t="s">
        <v>232</v>
      </c>
      <c r="AC146" s="31"/>
      <c r="AD146" s="31"/>
      <c r="AE146" s="41"/>
    </row>
    <row r="147" spans="1:31" ht="15.75" x14ac:dyDescent="0.25">
      <c r="A147" s="24" t="s">
        <v>702</v>
      </c>
      <c r="B147" s="25" t="s">
        <v>703</v>
      </c>
      <c r="C147" s="25" t="s">
        <v>704</v>
      </c>
      <c r="D147" s="25" t="s">
        <v>530</v>
      </c>
      <c r="E147" s="30">
        <v>68949</v>
      </c>
      <c r="F147" s="25" t="s">
        <v>395</v>
      </c>
      <c r="G147" s="25" t="s">
        <v>286</v>
      </c>
      <c r="H147" s="25" t="s">
        <v>201</v>
      </c>
      <c r="I147" s="26">
        <v>34.115384615384599</v>
      </c>
      <c r="J147" s="27">
        <v>1.8275862068965518</v>
      </c>
      <c r="K147" s="27">
        <v>0.46896551724137936</v>
      </c>
      <c r="L147" s="27">
        <v>2.6068965517241383</v>
      </c>
      <c r="M147" s="27">
        <v>0.58620689655172409</v>
      </c>
      <c r="N147" s="27">
        <v>3.1931034482758625</v>
      </c>
      <c r="O147" s="27">
        <v>2.2896551724137932</v>
      </c>
      <c r="P147" s="27">
        <v>0</v>
      </c>
      <c r="Q147" s="27">
        <v>6.8965517241379309E-3</v>
      </c>
      <c r="R147" s="27">
        <v>0.6206896551724137</v>
      </c>
      <c r="S147" s="27">
        <v>1.2206896551724138</v>
      </c>
      <c r="T147" s="27">
        <v>1.4413793103448276</v>
      </c>
      <c r="U147" s="27">
        <v>2.2068965517241375</v>
      </c>
      <c r="V147" s="27">
        <v>2.5655172413793101</v>
      </c>
      <c r="W147" s="28"/>
      <c r="X147" s="25" t="s">
        <v>202</v>
      </c>
      <c r="Y147" s="31" t="s">
        <v>339</v>
      </c>
      <c r="Z147" s="25" t="s">
        <v>364</v>
      </c>
      <c r="AA147" s="29" t="s">
        <v>424</v>
      </c>
      <c r="AB147" s="25" t="s">
        <v>621</v>
      </c>
      <c r="AC147" s="31" t="s">
        <v>339</v>
      </c>
      <c r="AD147" s="31" t="s">
        <v>364</v>
      </c>
      <c r="AE147" s="41">
        <v>43371</v>
      </c>
    </row>
    <row r="148" spans="1:31" ht="15.75" x14ac:dyDescent="0.25">
      <c r="A148" s="24" t="s">
        <v>705</v>
      </c>
      <c r="B148" s="25" t="s">
        <v>706</v>
      </c>
      <c r="C148" s="25" t="s">
        <v>707</v>
      </c>
      <c r="D148" s="25" t="s">
        <v>552</v>
      </c>
      <c r="E148" s="30">
        <v>52401</v>
      </c>
      <c r="F148" s="25" t="s">
        <v>395</v>
      </c>
      <c r="G148" s="25" t="s">
        <v>286</v>
      </c>
      <c r="H148" s="25" t="s">
        <v>201</v>
      </c>
      <c r="I148" s="26">
        <v>7.0818181818181802</v>
      </c>
      <c r="J148" s="27">
        <v>1.1034482758620692</v>
      </c>
      <c r="K148" s="27">
        <v>2.4344827586206894</v>
      </c>
      <c r="L148" s="27">
        <v>0.56551724137931036</v>
      </c>
      <c r="M148" s="27">
        <v>1.3517241379310347</v>
      </c>
      <c r="N148" s="27">
        <v>4.4482758620689653</v>
      </c>
      <c r="O148" s="27">
        <v>0.91034482758620683</v>
      </c>
      <c r="P148" s="27">
        <v>9.6551724137931033E-2</v>
      </c>
      <c r="Q148" s="27">
        <v>0</v>
      </c>
      <c r="R148" s="27">
        <v>2.2551724137931028</v>
      </c>
      <c r="S148" s="27">
        <v>1.3448275862068968</v>
      </c>
      <c r="T148" s="27">
        <v>1.227586206896552</v>
      </c>
      <c r="U148" s="27">
        <v>0.62758620689655176</v>
      </c>
      <c r="V148" s="27">
        <v>3.7241379310344813</v>
      </c>
      <c r="W148" s="28"/>
      <c r="X148" s="25" t="s">
        <v>202</v>
      </c>
      <c r="Y148" s="31" t="s">
        <v>339</v>
      </c>
      <c r="Z148" s="25" t="s">
        <v>364</v>
      </c>
      <c r="AA148" s="29" t="s">
        <v>708</v>
      </c>
      <c r="AB148" s="25" t="s">
        <v>202</v>
      </c>
      <c r="AC148" s="31" t="s">
        <v>339</v>
      </c>
      <c r="AD148" s="31" t="s">
        <v>364</v>
      </c>
      <c r="AE148" s="41">
        <v>43041</v>
      </c>
    </row>
    <row r="149" spans="1:31" ht="15.75" x14ac:dyDescent="0.25">
      <c r="A149" s="24" t="s">
        <v>709</v>
      </c>
      <c r="B149" s="25" t="s">
        <v>710</v>
      </c>
      <c r="C149" s="25" t="s">
        <v>711</v>
      </c>
      <c r="D149" s="25" t="s">
        <v>712</v>
      </c>
      <c r="E149" s="30">
        <v>25309</v>
      </c>
      <c r="F149" s="25" t="s">
        <v>345</v>
      </c>
      <c r="G149" s="25" t="s">
        <v>286</v>
      </c>
      <c r="H149" s="25" t="s">
        <v>201</v>
      </c>
      <c r="I149" s="26">
        <v>9.2613636363636402</v>
      </c>
      <c r="J149" s="27">
        <v>1.0206896551724134</v>
      </c>
      <c r="K149" s="27">
        <v>1.6827586206896556</v>
      </c>
      <c r="L149" s="27">
        <v>2.3103448275862077</v>
      </c>
      <c r="M149" s="27">
        <v>0.26896551724137929</v>
      </c>
      <c r="N149" s="27">
        <v>3.3034482758620696</v>
      </c>
      <c r="O149" s="27">
        <v>1.9793103448275877</v>
      </c>
      <c r="P149" s="27">
        <v>0</v>
      </c>
      <c r="Q149" s="27">
        <v>0</v>
      </c>
      <c r="R149" s="27">
        <v>1.6275862068965521</v>
      </c>
      <c r="S149" s="27">
        <v>1.6206896551724137</v>
      </c>
      <c r="T149" s="27">
        <v>0.35862068965517246</v>
      </c>
      <c r="U149" s="27">
        <v>1.6758620689655188</v>
      </c>
      <c r="V149" s="27">
        <v>4.3517241379310345</v>
      </c>
      <c r="W149" s="28"/>
      <c r="X149" s="25" t="s">
        <v>621</v>
      </c>
      <c r="Y149" s="31" t="s">
        <v>339</v>
      </c>
      <c r="Z149" s="25" t="s">
        <v>364</v>
      </c>
      <c r="AA149" s="29" t="s">
        <v>713</v>
      </c>
      <c r="AB149" s="25" t="s">
        <v>621</v>
      </c>
      <c r="AC149" s="31" t="s">
        <v>339</v>
      </c>
      <c r="AD149" s="31" t="s">
        <v>364</v>
      </c>
      <c r="AE149" s="41">
        <v>42996</v>
      </c>
    </row>
    <row r="150" spans="1:31" ht="15.75" x14ac:dyDescent="0.25">
      <c r="A150" s="24" t="s">
        <v>714</v>
      </c>
      <c r="B150" s="25" t="s">
        <v>715</v>
      </c>
      <c r="C150" s="25" t="s">
        <v>716</v>
      </c>
      <c r="D150" s="25" t="s">
        <v>55</v>
      </c>
      <c r="E150" s="30">
        <v>36507</v>
      </c>
      <c r="F150" s="25" t="s">
        <v>229</v>
      </c>
      <c r="G150" s="25" t="s">
        <v>230</v>
      </c>
      <c r="H150" s="25" t="s">
        <v>201</v>
      </c>
      <c r="I150" s="26">
        <v>2.3071895424836599</v>
      </c>
      <c r="J150" s="27">
        <v>0.46206896551724153</v>
      </c>
      <c r="K150" s="27">
        <v>3.7793103448275791</v>
      </c>
      <c r="L150" s="27">
        <v>0.54482758620689675</v>
      </c>
      <c r="M150" s="27">
        <v>6.2068965517241378E-2</v>
      </c>
      <c r="N150" s="27">
        <v>1.9586206896551752</v>
      </c>
      <c r="O150" s="27">
        <v>2.675862068965515</v>
      </c>
      <c r="P150" s="27">
        <v>2.7586206896551724E-2</v>
      </c>
      <c r="Q150" s="27">
        <v>0.18620689655172412</v>
      </c>
      <c r="R150" s="27">
        <v>0.17241379310344826</v>
      </c>
      <c r="S150" s="27">
        <v>0.47586206896551742</v>
      </c>
      <c r="T150" s="27">
        <v>1.3379310344827602</v>
      </c>
      <c r="U150" s="27">
        <v>2.8620689655172384</v>
      </c>
      <c r="V150" s="27">
        <v>1.5655172413793124</v>
      </c>
      <c r="W150" s="28"/>
      <c r="X150" s="25" t="s">
        <v>621</v>
      </c>
      <c r="Y150" s="31" t="s">
        <v>339</v>
      </c>
      <c r="Z150" s="25" t="s">
        <v>364</v>
      </c>
      <c r="AA150" s="29" t="s">
        <v>717</v>
      </c>
      <c r="AB150" s="25" t="s">
        <v>621</v>
      </c>
      <c r="AC150" s="31" t="s">
        <v>339</v>
      </c>
      <c r="AD150" s="31" t="s">
        <v>364</v>
      </c>
      <c r="AE150" s="41">
        <v>42976</v>
      </c>
    </row>
    <row r="151" spans="1:31" ht="15.75" x14ac:dyDescent="0.25">
      <c r="A151" s="24" t="s">
        <v>718</v>
      </c>
      <c r="B151" s="25" t="s">
        <v>719</v>
      </c>
      <c r="C151" s="25" t="s">
        <v>720</v>
      </c>
      <c r="D151" s="25" t="s">
        <v>721</v>
      </c>
      <c r="E151" s="30">
        <v>83318</v>
      </c>
      <c r="F151" s="25" t="s">
        <v>438</v>
      </c>
      <c r="G151" s="25" t="s">
        <v>230</v>
      </c>
      <c r="H151" s="25" t="s">
        <v>201</v>
      </c>
      <c r="I151" s="26">
        <v>5</v>
      </c>
      <c r="J151" s="27">
        <v>1.1172413793103448</v>
      </c>
      <c r="K151" s="27">
        <v>0.81379310344827571</v>
      </c>
      <c r="L151" s="27">
        <v>0.8551724137931036</v>
      </c>
      <c r="M151" s="27">
        <v>0.98620689655172411</v>
      </c>
      <c r="N151" s="27">
        <v>3.2896551724137915</v>
      </c>
      <c r="O151" s="27">
        <v>0.45517241379310353</v>
      </c>
      <c r="P151" s="27">
        <v>2.7586206896551724E-2</v>
      </c>
      <c r="Q151" s="27">
        <v>0</v>
      </c>
      <c r="R151" s="27">
        <v>0.84827586206896544</v>
      </c>
      <c r="S151" s="27">
        <v>1.0413793103448279</v>
      </c>
      <c r="T151" s="27">
        <v>1.4275862068965524</v>
      </c>
      <c r="U151" s="27">
        <v>0.45517241379310353</v>
      </c>
      <c r="V151" s="27">
        <v>2.5379310344827593</v>
      </c>
      <c r="W151" s="28"/>
      <c r="X151" s="25" t="s">
        <v>621</v>
      </c>
      <c r="Y151" s="31" t="s">
        <v>339</v>
      </c>
      <c r="Z151" s="25" t="s">
        <v>364</v>
      </c>
      <c r="AA151" s="29" t="s">
        <v>722</v>
      </c>
      <c r="AB151" s="25" t="s">
        <v>621</v>
      </c>
      <c r="AC151" s="31" t="s">
        <v>339</v>
      </c>
      <c r="AD151" s="31" t="s">
        <v>364</v>
      </c>
      <c r="AE151" s="41">
        <v>42983</v>
      </c>
    </row>
    <row r="152" spans="1:31" ht="15.75" x14ac:dyDescent="0.25">
      <c r="A152" s="24" t="s">
        <v>52</v>
      </c>
      <c r="B152" s="25" t="s">
        <v>723</v>
      </c>
      <c r="C152" s="25" t="s">
        <v>724</v>
      </c>
      <c r="D152" s="25" t="s">
        <v>721</v>
      </c>
      <c r="E152" s="30">
        <v>83442</v>
      </c>
      <c r="F152" s="25" t="s">
        <v>438</v>
      </c>
      <c r="G152" s="25" t="s">
        <v>230</v>
      </c>
      <c r="H152" s="25" t="s">
        <v>201</v>
      </c>
      <c r="I152" s="26">
        <v>6.2289156626505999</v>
      </c>
      <c r="J152" s="27">
        <v>0.69655172413793121</v>
      </c>
      <c r="K152" s="27">
        <v>0.59310344827586214</v>
      </c>
      <c r="L152" s="27">
        <v>1.0896551724137933</v>
      </c>
      <c r="M152" s="27">
        <v>1.2689655172413796</v>
      </c>
      <c r="N152" s="27">
        <v>2.4275862068965508</v>
      </c>
      <c r="O152" s="27">
        <v>1.0344827586206895</v>
      </c>
      <c r="P152" s="27">
        <v>0.13103448275862067</v>
      </c>
      <c r="Q152" s="27">
        <v>5.5172413793103448E-2</v>
      </c>
      <c r="R152" s="27">
        <v>1.193103448275862</v>
      </c>
      <c r="S152" s="27">
        <v>0.69655172413793098</v>
      </c>
      <c r="T152" s="27">
        <v>0.66206896551724159</v>
      </c>
      <c r="U152" s="27">
        <v>1.0965517241379312</v>
      </c>
      <c r="V152" s="27">
        <v>2.9379310344827592</v>
      </c>
      <c r="W152" s="28"/>
      <c r="X152" s="25" t="s">
        <v>621</v>
      </c>
      <c r="Y152" s="31" t="s">
        <v>339</v>
      </c>
      <c r="Z152" s="25" t="s">
        <v>364</v>
      </c>
      <c r="AA152" s="29" t="s">
        <v>722</v>
      </c>
      <c r="AB152" s="25" t="s">
        <v>621</v>
      </c>
      <c r="AC152" s="31" t="s">
        <v>339</v>
      </c>
      <c r="AD152" s="31" t="s">
        <v>364</v>
      </c>
      <c r="AE152" s="41">
        <v>42983</v>
      </c>
    </row>
    <row r="153" spans="1:31" ht="15.75" x14ac:dyDescent="0.25">
      <c r="A153" s="24" t="s">
        <v>725</v>
      </c>
      <c r="B153" s="25" t="s">
        <v>726</v>
      </c>
      <c r="C153" s="25" t="s">
        <v>727</v>
      </c>
      <c r="D153" s="25" t="s">
        <v>246</v>
      </c>
      <c r="E153" s="30">
        <v>39046</v>
      </c>
      <c r="F153" s="25" t="s">
        <v>229</v>
      </c>
      <c r="G153" s="25" t="s">
        <v>286</v>
      </c>
      <c r="H153" s="25" t="s">
        <v>201</v>
      </c>
      <c r="I153" s="26">
        <v>2.5073891625615801</v>
      </c>
      <c r="J153" s="27">
        <v>0.22758620689655171</v>
      </c>
      <c r="K153" s="27">
        <v>0.97931034482758683</v>
      </c>
      <c r="L153" s="27">
        <v>1.8896551724137955</v>
      </c>
      <c r="M153" s="27">
        <v>0.51034482758620681</v>
      </c>
      <c r="N153" s="27">
        <v>1.4896551724137952</v>
      </c>
      <c r="O153" s="27">
        <v>1.7517241379310367</v>
      </c>
      <c r="P153" s="27">
        <v>0.13793103448275862</v>
      </c>
      <c r="Q153" s="27">
        <v>0.22758620689655173</v>
      </c>
      <c r="R153" s="27">
        <v>0.16551724137931034</v>
      </c>
      <c r="S153" s="27">
        <v>0.66896551724137954</v>
      </c>
      <c r="T153" s="27">
        <v>0.7862068965517246</v>
      </c>
      <c r="U153" s="27">
        <v>1.9862068965517268</v>
      </c>
      <c r="V153" s="27">
        <v>1.2965517241379327</v>
      </c>
      <c r="W153" s="28"/>
      <c r="X153" s="25" t="s">
        <v>621</v>
      </c>
      <c r="Y153" s="31" t="s">
        <v>339</v>
      </c>
      <c r="Z153" s="25" t="s">
        <v>364</v>
      </c>
      <c r="AA153" s="29" t="s">
        <v>728</v>
      </c>
      <c r="AB153" s="25" t="s">
        <v>202</v>
      </c>
      <c r="AC153" s="31" t="s">
        <v>339</v>
      </c>
      <c r="AD153" s="31" t="s">
        <v>729</v>
      </c>
      <c r="AE153" s="41">
        <v>39591</v>
      </c>
    </row>
    <row r="154" spans="1:31" ht="15.75" x14ac:dyDescent="0.25">
      <c r="A154" s="24" t="s">
        <v>730</v>
      </c>
      <c r="B154" s="25" t="s">
        <v>731</v>
      </c>
      <c r="C154" s="25" t="s">
        <v>732</v>
      </c>
      <c r="D154" s="25" t="s">
        <v>552</v>
      </c>
      <c r="E154" s="30">
        <v>51501</v>
      </c>
      <c r="F154" s="25" t="s">
        <v>395</v>
      </c>
      <c r="G154" s="25" t="s">
        <v>286</v>
      </c>
      <c r="H154" s="25" t="s">
        <v>201</v>
      </c>
      <c r="I154" s="26">
        <v>25.96</v>
      </c>
      <c r="J154" s="27">
        <v>0.1586206896551724</v>
      </c>
      <c r="K154" s="27">
        <v>0.88275862068965516</v>
      </c>
      <c r="L154" s="27">
        <v>2.2551724137931037</v>
      </c>
      <c r="M154" s="27">
        <v>0.14482758620689656</v>
      </c>
      <c r="N154" s="27">
        <v>2.7448275862068967</v>
      </c>
      <c r="O154" s="27">
        <v>0.69655172413793109</v>
      </c>
      <c r="P154" s="27">
        <v>0</v>
      </c>
      <c r="Q154" s="27">
        <v>0</v>
      </c>
      <c r="R154" s="27">
        <v>0.2</v>
      </c>
      <c r="S154" s="27">
        <v>1.3103448275862071</v>
      </c>
      <c r="T154" s="27">
        <v>1.2344827586206897</v>
      </c>
      <c r="U154" s="27">
        <v>0.69655172413793109</v>
      </c>
      <c r="V154" s="27">
        <v>1.5931034482758621</v>
      </c>
      <c r="W154" s="28"/>
      <c r="X154" s="25" t="s">
        <v>202</v>
      </c>
      <c r="Y154" s="31" t="s">
        <v>339</v>
      </c>
      <c r="Z154" s="25" t="s">
        <v>364</v>
      </c>
      <c r="AA154" s="29" t="s">
        <v>733</v>
      </c>
      <c r="AB154" s="25" t="s">
        <v>202</v>
      </c>
      <c r="AC154" s="31" t="s">
        <v>339</v>
      </c>
      <c r="AD154" s="31" t="s">
        <v>364</v>
      </c>
      <c r="AE154" s="41">
        <v>42838</v>
      </c>
    </row>
    <row r="155" spans="1:31" ht="15.75" x14ac:dyDescent="0.25">
      <c r="A155" s="24" t="s">
        <v>734</v>
      </c>
      <c r="B155" s="25" t="s">
        <v>735</v>
      </c>
      <c r="C155" s="25" t="s">
        <v>736</v>
      </c>
      <c r="D155" s="25" t="s">
        <v>256</v>
      </c>
      <c r="E155" s="30">
        <v>98632</v>
      </c>
      <c r="F155" s="25" t="s">
        <v>257</v>
      </c>
      <c r="G155" s="25" t="s">
        <v>737</v>
      </c>
      <c r="H155" s="25" t="s">
        <v>201</v>
      </c>
      <c r="I155" s="26">
        <v>111.75</v>
      </c>
      <c r="J155" s="27">
        <v>1</v>
      </c>
      <c r="K155" s="27">
        <v>0.65517241379310343</v>
      </c>
      <c r="L155" s="27">
        <v>0.69655172413793109</v>
      </c>
      <c r="M155" s="27">
        <v>1.0344827586206897</v>
      </c>
      <c r="N155" s="27">
        <v>0.34482758620689657</v>
      </c>
      <c r="O155" s="27">
        <v>2.4</v>
      </c>
      <c r="P155" s="27">
        <v>0.64137931034482754</v>
      </c>
      <c r="Q155" s="27">
        <v>0</v>
      </c>
      <c r="R155" s="27">
        <v>0.98620689655172411</v>
      </c>
      <c r="S155" s="27">
        <v>0</v>
      </c>
      <c r="T155" s="27">
        <v>0</v>
      </c>
      <c r="U155" s="27">
        <v>2.4</v>
      </c>
      <c r="V155" s="27">
        <v>1.3517241379310345</v>
      </c>
      <c r="W155" s="28"/>
      <c r="X155" s="25" t="s">
        <v>202</v>
      </c>
      <c r="Y155" s="31" t="s">
        <v>738</v>
      </c>
      <c r="Z155" s="25" t="s">
        <v>206</v>
      </c>
      <c r="AA155" s="29" t="s">
        <v>524</v>
      </c>
      <c r="AB155" s="25" t="s">
        <v>232</v>
      </c>
      <c r="AC155" s="31"/>
      <c r="AD155" s="31"/>
      <c r="AE155" s="41"/>
    </row>
    <row r="156" spans="1:31" ht="15.75" x14ac:dyDescent="0.25">
      <c r="A156" s="24" t="s">
        <v>61</v>
      </c>
      <c r="B156" s="25" t="s">
        <v>739</v>
      </c>
      <c r="C156" s="25" t="s">
        <v>740</v>
      </c>
      <c r="D156" s="25" t="s">
        <v>741</v>
      </c>
      <c r="E156" s="30">
        <v>37918</v>
      </c>
      <c r="F156" s="25" t="s">
        <v>229</v>
      </c>
      <c r="G156" s="25" t="s">
        <v>286</v>
      </c>
      <c r="H156" s="25" t="s">
        <v>201</v>
      </c>
      <c r="I156" s="26">
        <v>1.8007518796992501</v>
      </c>
      <c r="J156" s="27">
        <v>1.3448275862068984</v>
      </c>
      <c r="K156" s="27">
        <v>1.386206896551726</v>
      </c>
      <c r="L156" s="27">
        <v>0.42758620689655191</v>
      </c>
      <c r="M156" s="27">
        <v>0.13793103448275862</v>
      </c>
      <c r="N156" s="27">
        <v>1.5793103448275883</v>
      </c>
      <c r="O156" s="27">
        <v>1.4758620689655193</v>
      </c>
      <c r="P156" s="27">
        <v>6.2068965517241378E-2</v>
      </c>
      <c r="Q156" s="27">
        <v>0.17931034482758618</v>
      </c>
      <c r="R156" s="27">
        <v>0.34482758620689652</v>
      </c>
      <c r="S156" s="27">
        <v>0.47586206896551747</v>
      </c>
      <c r="T156" s="27">
        <v>0.82068965517241454</v>
      </c>
      <c r="U156" s="27">
        <v>1.6551724137931059</v>
      </c>
      <c r="V156" s="27">
        <v>1.3034482758620707</v>
      </c>
      <c r="W156" s="28"/>
      <c r="X156" s="25" t="s">
        <v>621</v>
      </c>
      <c r="Y156" s="31" t="s">
        <v>339</v>
      </c>
      <c r="Z156" s="25" t="s">
        <v>364</v>
      </c>
      <c r="AA156" s="29" t="s">
        <v>717</v>
      </c>
      <c r="AB156" s="25" t="s">
        <v>232</v>
      </c>
      <c r="AC156" s="31"/>
      <c r="AD156" s="31"/>
      <c r="AE156" s="41"/>
    </row>
    <row r="157" spans="1:31" ht="15.75" x14ac:dyDescent="0.25">
      <c r="A157" s="24" t="s">
        <v>742</v>
      </c>
      <c r="B157" s="25" t="s">
        <v>743</v>
      </c>
      <c r="C157" s="25" t="s">
        <v>744</v>
      </c>
      <c r="D157" s="25" t="s">
        <v>489</v>
      </c>
      <c r="E157" s="30">
        <v>40031</v>
      </c>
      <c r="F157" s="25" t="s">
        <v>43</v>
      </c>
      <c r="G157" s="25" t="s">
        <v>230</v>
      </c>
      <c r="H157" s="25" t="s">
        <v>201</v>
      </c>
      <c r="I157" s="26">
        <v>1.5230263157894699</v>
      </c>
      <c r="J157" s="27">
        <v>0.71724137931034548</v>
      </c>
      <c r="K157" s="27">
        <v>1.6689655172413818</v>
      </c>
      <c r="L157" s="27">
        <v>0.69655172413793176</v>
      </c>
      <c r="M157" s="27">
        <v>0.12413793103448276</v>
      </c>
      <c r="N157" s="27">
        <v>1.5241379310344849</v>
      </c>
      <c r="O157" s="27">
        <v>1.5793103448275885</v>
      </c>
      <c r="P157" s="27">
        <v>2.0689655172413793E-2</v>
      </c>
      <c r="Q157" s="27">
        <v>8.2758620689655171E-2</v>
      </c>
      <c r="R157" s="27">
        <v>0.37931034482758652</v>
      </c>
      <c r="S157" s="27">
        <v>0.42068965517241419</v>
      </c>
      <c r="T157" s="27">
        <v>0.75862068965517304</v>
      </c>
      <c r="U157" s="27">
        <v>1.6482758620689679</v>
      </c>
      <c r="V157" s="27">
        <v>1.517241379310347</v>
      </c>
      <c r="W157" s="28"/>
      <c r="X157" s="25" t="s">
        <v>621</v>
      </c>
      <c r="Y157" s="31" t="s">
        <v>339</v>
      </c>
      <c r="Z157" s="25" t="s">
        <v>364</v>
      </c>
      <c r="AA157" s="29" t="s">
        <v>745</v>
      </c>
      <c r="AB157" s="25" t="s">
        <v>621</v>
      </c>
      <c r="AC157" s="31" t="s">
        <v>339</v>
      </c>
      <c r="AD157" s="31" t="s">
        <v>364</v>
      </c>
      <c r="AE157" s="41">
        <v>42983</v>
      </c>
    </row>
    <row r="158" spans="1:31" ht="15.75" x14ac:dyDescent="0.25">
      <c r="A158" s="24" t="s">
        <v>746</v>
      </c>
      <c r="B158" s="25" t="s">
        <v>747</v>
      </c>
      <c r="C158" s="25" t="s">
        <v>748</v>
      </c>
      <c r="D158" s="25" t="s">
        <v>344</v>
      </c>
      <c r="E158" s="30">
        <v>19373</v>
      </c>
      <c r="F158" s="25" t="s">
        <v>345</v>
      </c>
      <c r="G158" s="25" t="s">
        <v>286</v>
      </c>
      <c r="H158" s="25" t="s">
        <v>201</v>
      </c>
      <c r="I158" s="26">
        <v>1.2195845697329399</v>
      </c>
      <c r="J158" s="27">
        <v>0.89655172413793216</v>
      </c>
      <c r="K158" s="27">
        <v>0.58620689655172464</v>
      </c>
      <c r="L158" s="27">
        <v>0.90344827586206988</v>
      </c>
      <c r="M158" s="27">
        <v>0.4413793103448278</v>
      </c>
      <c r="N158" s="27">
        <v>1.4620689655172436</v>
      </c>
      <c r="O158" s="27">
        <v>1.0965517241379323</v>
      </c>
      <c r="P158" s="27">
        <v>8.2758620689655171E-2</v>
      </c>
      <c r="Q158" s="27">
        <v>0.18620689655172418</v>
      </c>
      <c r="R158" s="27">
        <v>0.60000000000000053</v>
      </c>
      <c r="S158" s="27">
        <v>0.38620689655172447</v>
      </c>
      <c r="T158" s="27">
        <v>0.53103448275862097</v>
      </c>
      <c r="U158" s="27">
        <v>1.3103448275862086</v>
      </c>
      <c r="V158" s="27">
        <v>1.4827586206896575</v>
      </c>
      <c r="W158" s="28"/>
      <c r="X158" s="25" t="s">
        <v>621</v>
      </c>
      <c r="Y158" s="31" t="s">
        <v>339</v>
      </c>
      <c r="Z158" s="25" t="s">
        <v>364</v>
      </c>
      <c r="AA158" s="29" t="s">
        <v>749</v>
      </c>
      <c r="AB158" s="25" t="s">
        <v>621</v>
      </c>
      <c r="AC158" s="31" t="s">
        <v>339</v>
      </c>
      <c r="AD158" s="31" t="s">
        <v>364</v>
      </c>
      <c r="AE158" s="41">
        <v>42964</v>
      </c>
    </row>
    <row r="159" spans="1:31" ht="15.75" x14ac:dyDescent="0.25">
      <c r="A159" s="24" t="s">
        <v>34</v>
      </c>
      <c r="B159" s="25" t="s">
        <v>496</v>
      </c>
      <c r="C159" s="25" t="s">
        <v>497</v>
      </c>
      <c r="D159" s="25" t="s">
        <v>359</v>
      </c>
      <c r="E159" s="30">
        <v>10924</v>
      </c>
      <c r="F159" s="25" t="s">
        <v>399</v>
      </c>
      <c r="G159" s="25" t="s">
        <v>230</v>
      </c>
      <c r="H159" s="25" t="s">
        <v>201</v>
      </c>
      <c r="I159" s="26">
        <v>74.056277056277096</v>
      </c>
      <c r="J159" s="27">
        <v>28.544827586206896</v>
      </c>
      <c r="K159" s="27">
        <v>22.351724137931033</v>
      </c>
      <c r="L159" s="27">
        <v>42.655172413793117</v>
      </c>
      <c r="M159" s="27">
        <v>18.317241379310339</v>
      </c>
      <c r="N159" s="27">
        <v>74.882758620689671</v>
      </c>
      <c r="O159" s="27">
        <v>34.682758620689654</v>
      </c>
      <c r="P159" s="27">
        <v>0.50344827586206897</v>
      </c>
      <c r="Q159" s="27">
        <v>1.7999999999999998</v>
      </c>
      <c r="R159" s="27">
        <v>28.765517241379307</v>
      </c>
      <c r="S159" s="27">
        <v>12.793103448275863</v>
      </c>
      <c r="T159" s="27">
        <v>33.972413793103449</v>
      </c>
      <c r="U159" s="27">
        <v>36.337931034482757</v>
      </c>
      <c r="V159" s="27">
        <v>46.772413793103404</v>
      </c>
      <c r="W159" s="28"/>
      <c r="X159" s="25" t="s">
        <v>202</v>
      </c>
      <c r="Y159" s="31" t="s">
        <v>339</v>
      </c>
      <c r="Z159" s="25" t="s">
        <v>364</v>
      </c>
      <c r="AA159" s="29" t="s">
        <v>495</v>
      </c>
      <c r="AB159" s="25" t="s">
        <v>202</v>
      </c>
      <c r="AC159" s="31" t="s">
        <v>339</v>
      </c>
      <c r="AD159" s="31" t="s">
        <v>364</v>
      </c>
      <c r="AE159" s="41">
        <v>43209</v>
      </c>
    </row>
    <row r="160" spans="1:31" ht="15.75" x14ac:dyDescent="0.25">
      <c r="A160" s="24" t="s">
        <v>750</v>
      </c>
      <c r="B160" s="25" t="s">
        <v>751</v>
      </c>
      <c r="C160" s="25" t="s">
        <v>752</v>
      </c>
      <c r="D160" s="25" t="s">
        <v>234</v>
      </c>
      <c r="E160" s="30">
        <v>85344</v>
      </c>
      <c r="F160" s="25" t="s">
        <v>235</v>
      </c>
      <c r="G160" s="25" t="s">
        <v>286</v>
      </c>
      <c r="H160" s="25" t="s">
        <v>201</v>
      </c>
      <c r="I160" s="26">
        <v>2.01630434782609</v>
      </c>
      <c r="J160" s="27">
        <v>0.11724137931034483</v>
      </c>
      <c r="K160" s="27">
        <v>2.4275862068965486</v>
      </c>
      <c r="L160" s="27">
        <v>2.0689655172413793E-2</v>
      </c>
      <c r="M160" s="27">
        <v>0</v>
      </c>
      <c r="N160" s="27">
        <v>2.2965517241379296</v>
      </c>
      <c r="O160" s="27">
        <v>0.10344827586206896</v>
      </c>
      <c r="P160" s="27">
        <v>0.10344827586206896</v>
      </c>
      <c r="Q160" s="27">
        <v>6.2068965517241378E-2</v>
      </c>
      <c r="R160" s="27">
        <v>0.11724137931034483</v>
      </c>
      <c r="S160" s="27">
        <v>0.53793103448275859</v>
      </c>
      <c r="T160" s="27">
        <v>1.7103448275862092</v>
      </c>
      <c r="U160" s="27">
        <v>0.2</v>
      </c>
      <c r="V160" s="27">
        <v>2.1379310344827598</v>
      </c>
      <c r="W160" s="28"/>
      <c r="X160" s="25" t="s">
        <v>621</v>
      </c>
      <c r="Y160" s="31" t="s">
        <v>339</v>
      </c>
      <c r="Z160" s="25" t="s">
        <v>364</v>
      </c>
      <c r="AA160" s="29" t="s">
        <v>728</v>
      </c>
      <c r="AB160" s="25" t="s">
        <v>621</v>
      </c>
      <c r="AC160" s="31" t="s">
        <v>339</v>
      </c>
      <c r="AD160" s="31" t="s">
        <v>364</v>
      </c>
      <c r="AE160" s="41">
        <v>42986</v>
      </c>
    </row>
    <row r="161" spans="1:31" ht="15.75" x14ac:dyDescent="0.25">
      <c r="A161" s="24" t="s">
        <v>753</v>
      </c>
      <c r="B161" s="25" t="s">
        <v>754</v>
      </c>
      <c r="C161" s="25" t="s">
        <v>696</v>
      </c>
      <c r="D161" s="25" t="s">
        <v>359</v>
      </c>
      <c r="E161" s="30">
        <v>12180</v>
      </c>
      <c r="F161" s="25" t="s">
        <v>360</v>
      </c>
      <c r="G161" s="25" t="s">
        <v>286</v>
      </c>
      <c r="H161" s="25" t="s">
        <v>201</v>
      </c>
      <c r="I161" s="26">
        <v>4.1086956521739104</v>
      </c>
      <c r="J161" s="27">
        <v>0.74482758620689693</v>
      </c>
      <c r="K161" s="27">
        <v>1.5931034482758633</v>
      </c>
      <c r="L161" s="27">
        <v>0.17241379310344829</v>
      </c>
      <c r="M161" s="27">
        <v>4.8275862068965517E-2</v>
      </c>
      <c r="N161" s="27">
        <v>1.2344827586206899</v>
      </c>
      <c r="O161" s="27">
        <v>1.0758620689655178</v>
      </c>
      <c r="P161" s="27">
        <v>0.10344827586206896</v>
      </c>
      <c r="Q161" s="27">
        <v>0.14482758620689654</v>
      </c>
      <c r="R161" s="27">
        <v>0.44827586206896552</v>
      </c>
      <c r="S161" s="27">
        <v>0.27586206896551724</v>
      </c>
      <c r="T161" s="27">
        <v>0.89655172413793094</v>
      </c>
      <c r="U161" s="27">
        <v>0.93793103448275883</v>
      </c>
      <c r="V161" s="27">
        <v>1.6758620689655179</v>
      </c>
      <c r="W161" s="28"/>
      <c r="X161" s="25" t="s">
        <v>232</v>
      </c>
      <c r="Y161" s="31"/>
      <c r="Z161" s="25"/>
      <c r="AA161" s="29"/>
      <c r="AB161" s="25" t="s">
        <v>232</v>
      </c>
      <c r="AC161" s="31"/>
      <c r="AD161" s="31"/>
      <c r="AE161" s="41"/>
    </row>
    <row r="162" spans="1:31" ht="15.75" x14ac:dyDescent="0.25">
      <c r="A162" s="24" t="s">
        <v>755</v>
      </c>
      <c r="B162" s="25" t="s">
        <v>756</v>
      </c>
      <c r="C162" s="25" t="s">
        <v>757</v>
      </c>
      <c r="D162" s="25" t="s">
        <v>741</v>
      </c>
      <c r="E162" s="30">
        <v>38049</v>
      </c>
      <c r="F162" s="25" t="s">
        <v>229</v>
      </c>
      <c r="G162" s="25" t="s">
        <v>286</v>
      </c>
      <c r="H162" s="25" t="s">
        <v>201</v>
      </c>
      <c r="I162" s="26">
        <v>1.71980676328502</v>
      </c>
      <c r="J162" s="27">
        <v>0.63448275862069015</v>
      </c>
      <c r="K162" s="27">
        <v>1.2620689655172428</v>
      </c>
      <c r="L162" s="27">
        <v>0.4344827586206898</v>
      </c>
      <c r="M162" s="27">
        <v>0.10344827586206896</v>
      </c>
      <c r="N162" s="27">
        <v>1.5379310344827604</v>
      </c>
      <c r="O162" s="27">
        <v>0.82068965517241466</v>
      </c>
      <c r="P162" s="27">
        <v>4.1379310344827586E-2</v>
      </c>
      <c r="Q162" s="27">
        <v>3.4482758620689655E-2</v>
      </c>
      <c r="R162" s="27">
        <v>0.48275862068965536</v>
      </c>
      <c r="S162" s="27">
        <v>0.47586206896551747</v>
      </c>
      <c r="T162" s="27">
        <v>0.57241379310344875</v>
      </c>
      <c r="U162" s="27">
        <v>0.90344827586206999</v>
      </c>
      <c r="V162" s="27">
        <v>1.5034482758620709</v>
      </c>
      <c r="W162" s="28"/>
      <c r="X162" s="25" t="s">
        <v>202</v>
      </c>
      <c r="Y162" s="31" t="s">
        <v>287</v>
      </c>
      <c r="Z162" s="25" t="s">
        <v>204</v>
      </c>
      <c r="AA162" s="29" t="s">
        <v>305</v>
      </c>
      <c r="AB162" s="25" t="s">
        <v>202</v>
      </c>
      <c r="AC162" s="31" t="s">
        <v>287</v>
      </c>
      <c r="AD162" s="31" t="s">
        <v>204</v>
      </c>
      <c r="AE162" s="41">
        <v>43482</v>
      </c>
    </row>
    <row r="163" spans="1:31" ht="15.75" x14ac:dyDescent="0.25">
      <c r="A163" s="24" t="s">
        <v>758</v>
      </c>
      <c r="B163" s="25" t="s">
        <v>759</v>
      </c>
      <c r="C163" s="25" t="s">
        <v>760</v>
      </c>
      <c r="D163" s="25" t="s">
        <v>761</v>
      </c>
      <c r="E163" s="30">
        <v>72701</v>
      </c>
      <c r="F163" s="25" t="s">
        <v>229</v>
      </c>
      <c r="G163" s="25" t="s">
        <v>286</v>
      </c>
      <c r="H163" s="25" t="s">
        <v>201</v>
      </c>
      <c r="I163" s="26">
        <v>2.4583333333333299</v>
      </c>
      <c r="J163" s="27">
        <v>0.50344827586206908</v>
      </c>
      <c r="K163" s="27">
        <v>0.81379310344827638</v>
      </c>
      <c r="L163" s="27">
        <v>0.90344827586206966</v>
      </c>
      <c r="M163" s="27">
        <v>0.20689655172413793</v>
      </c>
      <c r="N163" s="27">
        <v>1.3034482758620702</v>
      </c>
      <c r="O163" s="27">
        <v>0.97241379310344933</v>
      </c>
      <c r="P163" s="27">
        <v>8.2758620689655171E-2</v>
      </c>
      <c r="Q163" s="27">
        <v>6.8965517241379309E-2</v>
      </c>
      <c r="R163" s="27">
        <v>0.46206896551724125</v>
      </c>
      <c r="S163" s="27">
        <v>0.37241379310344835</v>
      </c>
      <c r="T163" s="27">
        <v>0.53103448275862064</v>
      </c>
      <c r="U163" s="27">
        <v>1.0620689655172422</v>
      </c>
      <c r="V163" s="27">
        <v>1.1724137931034495</v>
      </c>
      <c r="W163" s="28"/>
      <c r="X163" s="25" t="s">
        <v>621</v>
      </c>
      <c r="Y163" s="31" t="s">
        <v>339</v>
      </c>
      <c r="Z163" s="25" t="s">
        <v>364</v>
      </c>
      <c r="AA163" s="29" t="s">
        <v>762</v>
      </c>
      <c r="AB163" s="25" t="s">
        <v>202</v>
      </c>
      <c r="AC163" s="31" t="s">
        <v>339</v>
      </c>
      <c r="AD163" s="31" t="s">
        <v>340</v>
      </c>
      <c r="AE163" s="41">
        <v>40043</v>
      </c>
    </row>
    <row r="164" spans="1:31" ht="15.75" x14ac:dyDescent="0.25">
      <c r="A164" s="24" t="s">
        <v>763</v>
      </c>
      <c r="B164" s="25" t="s">
        <v>764</v>
      </c>
      <c r="C164" s="25" t="s">
        <v>765</v>
      </c>
      <c r="D164" s="25" t="s">
        <v>215</v>
      </c>
      <c r="E164" s="30">
        <v>78562</v>
      </c>
      <c r="F164" s="25" t="s">
        <v>216</v>
      </c>
      <c r="G164" s="25" t="s">
        <v>286</v>
      </c>
      <c r="H164" s="25" t="s">
        <v>201</v>
      </c>
      <c r="I164" s="26">
        <v>2.5206611570247901</v>
      </c>
      <c r="J164" s="27">
        <v>1.5931034482758633</v>
      </c>
      <c r="K164" s="27">
        <v>0.51724137931034508</v>
      </c>
      <c r="L164" s="27">
        <v>0.22758620689655179</v>
      </c>
      <c r="M164" s="27">
        <v>6.2068965517241378E-2</v>
      </c>
      <c r="N164" s="27">
        <v>2.351724137931031</v>
      </c>
      <c r="O164" s="27">
        <v>3.4482758620689655E-2</v>
      </c>
      <c r="P164" s="27">
        <v>6.8965517241379309E-3</v>
      </c>
      <c r="Q164" s="27">
        <v>6.8965517241379309E-3</v>
      </c>
      <c r="R164" s="27">
        <v>0.92413793103448372</v>
      </c>
      <c r="S164" s="27">
        <v>1.4068965517241387</v>
      </c>
      <c r="T164" s="27">
        <v>2.7586206896551724E-2</v>
      </c>
      <c r="U164" s="27">
        <v>4.1379310344827586E-2</v>
      </c>
      <c r="V164" s="27">
        <v>2.2896551724137897</v>
      </c>
      <c r="W164" s="28"/>
      <c r="X164" s="25" t="s">
        <v>202</v>
      </c>
      <c r="Y164" s="31" t="s">
        <v>339</v>
      </c>
      <c r="Z164" s="25" t="s">
        <v>364</v>
      </c>
      <c r="AA164" s="29" t="s">
        <v>766</v>
      </c>
      <c r="AB164" s="25" t="s">
        <v>202</v>
      </c>
      <c r="AC164" s="31" t="s">
        <v>339</v>
      </c>
      <c r="AD164" s="31" t="s">
        <v>364</v>
      </c>
      <c r="AE164" s="41">
        <v>43307</v>
      </c>
    </row>
    <row r="165" spans="1:31" ht="15.75" x14ac:dyDescent="0.25">
      <c r="A165" s="24" t="s">
        <v>767</v>
      </c>
      <c r="B165" s="25" t="s">
        <v>768</v>
      </c>
      <c r="C165" s="25" t="s">
        <v>769</v>
      </c>
      <c r="D165" s="25" t="s">
        <v>489</v>
      </c>
      <c r="E165" s="30">
        <v>40510</v>
      </c>
      <c r="F165" s="25" t="s">
        <v>43</v>
      </c>
      <c r="G165" s="25" t="s">
        <v>286</v>
      </c>
      <c r="H165" s="25" t="s">
        <v>201</v>
      </c>
      <c r="I165" s="26">
        <v>1.6490384615384599</v>
      </c>
      <c r="J165" s="27">
        <v>0.31034482758620691</v>
      </c>
      <c r="K165" s="27">
        <v>0.3448275862068968</v>
      </c>
      <c r="L165" s="27">
        <v>0.93103448275862166</v>
      </c>
      <c r="M165" s="27">
        <v>0.77931034482758665</v>
      </c>
      <c r="N165" s="27">
        <v>1.6275862068965541</v>
      </c>
      <c r="O165" s="27">
        <v>0.64827586206896581</v>
      </c>
      <c r="P165" s="27">
        <v>8.2758620689655171E-2</v>
      </c>
      <c r="Q165" s="27">
        <v>6.8965517241379309E-3</v>
      </c>
      <c r="R165" s="27">
        <v>0.59310344827586214</v>
      </c>
      <c r="S165" s="27">
        <v>0.80000000000000071</v>
      </c>
      <c r="T165" s="27">
        <v>0.3310344827586208</v>
      </c>
      <c r="U165" s="27">
        <v>0.64137931034482787</v>
      </c>
      <c r="V165" s="27">
        <v>0.96551724137931116</v>
      </c>
      <c r="W165" s="28"/>
      <c r="X165" s="25" t="s">
        <v>621</v>
      </c>
      <c r="Y165" s="31" t="s">
        <v>339</v>
      </c>
      <c r="Z165" s="25" t="s">
        <v>364</v>
      </c>
      <c r="AA165" s="29" t="s">
        <v>770</v>
      </c>
      <c r="AB165" s="25" t="s">
        <v>621</v>
      </c>
      <c r="AC165" s="31" t="s">
        <v>339</v>
      </c>
      <c r="AD165" s="31" t="s">
        <v>364</v>
      </c>
      <c r="AE165" s="41">
        <v>42983</v>
      </c>
    </row>
    <row r="166" spans="1:31" ht="15.75" x14ac:dyDescent="0.25">
      <c r="A166" s="24" t="s">
        <v>771</v>
      </c>
      <c r="B166" s="25" t="s">
        <v>772</v>
      </c>
      <c r="C166" s="25" t="s">
        <v>769</v>
      </c>
      <c r="D166" s="25" t="s">
        <v>642</v>
      </c>
      <c r="E166" s="30">
        <v>29072</v>
      </c>
      <c r="F166" s="25" t="s">
        <v>211</v>
      </c>
      <c r="G166" s="25" t="s">
        <v>286</v>
      </c>
      <c r="H166" s="25" t="s">
        <v>201</v>
      </c>
      <c r="I166" s="26">
        <v>1.2992424242424201</v>
      </c>
      <c r="J166" s="27">
        <v>0.4758620689655173</v>
      </c>
      <c r="K166" s="27">
        <v>0.77931034482758699</v>
      </c>
      <c r="L166" s="27">
        <v>0.71034482758620754</v>
      </c>
      <c r="M166" s="27">
        <v>0.35862068965517269</v>
      </c>
      <c r="N166" s="27">
        <v>1.4482758620689677</v>
      </c>
      <c r="O166" s="27">
        <v>0.80689655172413888</v>
      </c>
      <c r="P166" s="27">
        <v>2.7586206896551724E-2</v>
      </c>
      <c r="Q166" s="27">
        <v>4.1379310344827586E-2</v>
      </c>
      <c r="R166" s="27">
        <v>0.54482758620689697</v>
      </c>
      <c r="S166" s="27">
        <v>0.41379310344827613</v>
      </c>
      <c r="T166" s="27">
        <v>0.53103448275862097</v>
      </c>
      <c r="U166" s="27">
        <v>0.83448275862069055</v>
      </c>
      <c r="V166" s="27">
        <v>1.0689655172413806</v>
      </c>
      <c r="W166" s="28"/>
      <c r="X166" s="25" t="s">
        <v>621</v>
      </c>
      <c r="Y166" s="31" t="s">
        <v>339</v>
      </c>
      <c r="Z166" s="25" t="s">
        <v>364</v>
      </c>
      <c r="AA166" s="29" t="s">
        <v>773</v>
      </c>
      <c r="AB166" s="25" t="s">
        <v>621</v>
      </c>
      <c r="AC166" s="31" t="s">
        <v>339</v>
      </c>
      <c r="AD166" s="31" t="s">
        <v>364</v>
      </c>
      <c r="AE166" s="41">
        <v>42629</v>
      </c>
    </row>
    <row r="167" spans="1:31" ht="15.75" x14ac:dyDescent="0.25">
      <c r="A167" s="24" t="s">
        <v>774</v>
      </c>
      <c r="B167" s="25" t="s">
        <v>775</v>
      </c>
      <c r="C167" s="25" t="s">
        <v>776</v>
      </c>
      <c r="D167" s="25" t="s">
        <v>530</v>
      </c>
      <c r="E167" s="30">
        <v>68731</v>
      </c>
      <c r="F167" s="25" t="s">
        <v>395</v>
      </c>
      <c r="G167" s="25" t="s">
        <v>286</v>
      </c>
      <c r="H167" s="25" t="s">
        <v>201</v>
      </c>
      <c r="I167" s="26">
        <v>3.48314606741573</v>
      </c>
      <c r="J167" s="27">
        <v>0.1586206896551724</v>
      </c>
      <c r="K167" s="27">
        <v>0.64137931034482765</v>
      </c>
      <c r="L167" s="27">
        <v>1.1586206896551727</v>
      </c>
      <c r="M167" s="27">
        <v>0.1586206896551724</v>
      </c>
      <c r="N167" s="27">
        <v>1.4482758620689662</v>
      </c>
      <c r="O167" s="27">
        <v>0.37931034482758619</v>
      </c>
      <c r="P167" s="27">
        <v>0.24827586206896551</v>
      </c>
      <c r="Q167" s="27">
        <v>4.1379310344827586E-2</v>
      </c>
      <c r="R167" s="27">
        <v>0.48965517241379297</v>
      </c>
      <c r="S167" s="27">
        <v>0.54482758620689653</v>
      </c>
      <c r="T167" s="27">
        <v>0.6206896551724137</v>
      </c>
      <c r="U167" s="27">
        <v>0.46206896551724141</v>
      </c>
      <c r="V167" s="27">
        <v>0.97241379310344844</v>
      </c>
      <c r="W167" s="28"/>
      <c r="X167" s="25" t="s">
        <v>621</v>
      </c>
      <c r="Y167" s="31" t="s">
        <v>339</v>
      </c>
      <c r="Z167" s="25" t="s">
        <v>364</v>
      </c>
      <c r="AA167" s="29" t="s">
        <v>777</v>
      </c>
      <c r="AB167" s="25" t="s">
        <v>621</v>
      </c>
      <c r="AC167" s="31" t="s">
        <v>339</v>
      </c>
      <c r="AD167" s="31" t="s">
        <v>364</v>
      </c>
      <c r="AE167" s="41">
        <v>42999</v>
      </c>
    </row>
    <row r="168" spans="1:31" ht="15.75" x14ac:dyDescent="0.25">
      <c r="A168" s="24" t="s">
        <v>778</v>
      </c>
      <c r="B168" s="25" t="s">
        <v>779</v>
      </c>
      <c r="C168" s="25" t="s">
        <v>60</v>
      </c>
      <c r="D168" s="25" t="s">
        <v>210</v>
      </c>
      <c r="E168" s="30">
        <v>30720</v>
      </c>
      <c r="F168" s="25" t="s">
        <v>211</v>
      </c>
      <c r="G168" s="25" t="s">
        <v>230</v>
      </c>
      <c r="H168" s="25" t="s">
        <v>201</v>
      </c>
      <c r="I168" s="26">
        <v>2.4102564102564101</v>
      </c>
      <c r="J168" s="27">
        <v>0.7241379310344831</v>
      </c>
      <c r="K168" s="27">
        <v>0.76551724137931088</v>
      </c>
      <c r="L168" s="27">
        <v>0.33793103448275863</v>
      </c>
      <c r="M168" s="27">
        <v>0.1103448275862069</v>
      </c>
      <c r="N168" s="27">
        <v>0.8000000000000006</v>
      </c>
      <c r="O168" s="27">
        <v>0.86896551724137994</v>
      </c>
      <c r="P168" s="27">
        <v>6.2068965517241378E-2</v>
      </c>
      <c r="Q168" s="27">
        <v>0.2068965517241379</v>
      </c>
      <c r="R168" s="27">
        <v>0.26896551724137929</v>
      </c>
      <c r="S168" s="27">
        <v>0.13103448275862067</v>
      </c>
      <c r="T168" s="27">
        <v>0.48275862068965525</v>
      </c>
      <c r="U168" s="27">
        <v>1.0551724137931044</v>
      </c>
      <c r="V168" s="27">
        <v>0.62758620689655187</v>
      </c>
      <c r="W168" s="28"/>
      <c r="X168" s="25" t="s">
        <v>621</v>
      </c>
      <c r="Y168" s="31" t="s">
        <v>339</v>
      </c>
      <c r="Z168" s="25" t="s">
        <v>364</v>
      </c>
      <c r="AA168" s="29" t="s">
        <v>780</v>
      </c>
      <c r="AB168" s="25" t="s">
        <v>621</v>
      </c>
      <c r="AC168" s="31" t="s">
        <v>339</v>
      </c>
      <c r="AD168" s="31" t="s">
        <v>364</v>
      </c>
      <c r="AE168" s="41">
        <v>42993</v>
      </c>
    </row>
    <row r="169" spans="1:31" ht="15.75" x14ac:dyDescent="0.25">
      <c r="A169" s="24" t="s">
        <v>781</v>
      </c>
      <c r="B169" s="25" t="s">
        <v>782</v>
      </c>
      <c r="C169" s="25" t="s">
        <v>783</v>
      </c>
      <c r="D169" s="25" t="s">
        <v>344</v>
      </c>
      <c r="E169" s="30">
        <v>15001</v>
      </c>
      <c r="F169" s="25" t="s">
        <v>345</v>
      </c>
      <c r="G169" s="25" t="s">
        <v>286</v>
      </c>
      <c r="H169" s="25" t="s">
        <v>201</v>
      </c>
      <c r="I169" s="26">
        <v>4.75</v>
      </c>
      <c r="J169" s="27">
        <v>0.11724137931034483</v>
      </c>
      <c r="K169" s="27">
        <v>0.99310344827586183</v>
      </c>
      <c r="L169" s="27">
        <v>0.51724137931034486</v>
      </c>
      <c r="M169" s="27">
        <v>0.17241379310344826</v>
      </c>
      <c r="N169" s="27">
        <v>0.91034482758620683</v>
      </c>
      <c r="O169" s="27">
        <v>0.83448275862068966</v>
      </c>
      <c r="P169" s="27">
        <v>5.5172413793103448E-2</v>
      </c>
      <c r="Q169" s="27">
        <v>0</v>
      </c>
      <c r="R169" s="27">
        <v>0.48275862068965536</v>
      </c>
      <c r="S169" s="27">
        <v>9.6551724137931033E-2</v>
      </c>
      <c r="T169" s="27">
        <v>0.36551724137931041</v>
      </c>
      <c r="U169" s="27">
        <v>0.85517241379310349</v>
      </c>
      <c r="V169" s="27">
        <v>1.0482758620689654</v>
      </c>
      <c r="W169" s="28"/>
      <c r="X169" s="25" t="s">
        <v>621</v>
      </c>
      <c r="Y169" s="31" t="s">
        <v>339</v>
      </c>
      <c r="Z169" s="25" t="s">
        <v>364</v>
      </c>
      <c r="AA169" s="29" t="s">
        <v>784</v>
      </c>
      <c r="AB169" s="25" t="s">
        <v>232</v>
      </c>
      <c r="AC169" s="31"/>
      <c r="AD169" s="31"/>
      <c r="AE169" s="41"/>
    </row>
    <row r="170" spans="1:31" ht="15.75" x14ac:dyDescent="0.25">
      <c r="A170" s="24" t="s">
        <v>785</v>
      </c>
      <c r="B170" s="25" t="s">
        <v>786</v>
      </c>
      <c r="C170" s="25" t="s">
        <v>787</v>
      </c>
      <c r="D170" s="25" t="s">
        <v>584</v>
      </c>
      <c r="E170" s="30">
        <v>28429</v>
      </c>
      <c r="F170" s="25" t="s">
        <v>211</v>
      </c>
      <c r="G170" s="25" t="s">
        <v>230</v>
      </c>
      <c r="H170" s="25" t="s">
        <v>201</v>
      </c>
      <c r="I170" s="26">
        <v>2.3523809523809498</v>
      </c>
      <c r="J170" s="27">
        <v>0.48275862068965508</v>
      </c>
      <c r="K170" s="27">
        <v>0.37241379310344813</v>
      </c>
      <c r="L170" s="27">
        <v>0.43448275862068964</v>
      </c>
      <c r="M170" s="27">
        <v>0.41379310344827569</v>
      </c>
      <c r="N170" s="27">
        <v>1.0827586206896562</v>
      </c>
      <c r="O170" s="27">
        <v>0.53793103448275859</v>
      </c>
      <c r="P170" s="27">
        <v>2.0689655172413793E-2</v>
      </c>
      <c r="Q170" s="27">
        <v>6.2068965517241378E-2</v>
      </c>
      <c r="R170" s="27">
        <v>0.42758620689655163</v>
      </c>
      <c r="S170" s="27">
        <v>0.37931034482758613</v>
      </c>
      <c r="T170" s="27">
        <v>0.30344827586206902</v>
      </c>
      <c r="U170" s="27">
        <v>0.59310344827586226</v>
      </c>
      <c r="V170" s="27">
        <v>0.85517241379310405</v>
      </c>
      <c r="W170" s="28"/>
      <c r="X170" s="25" t="s">
        <v>621</v>
      </c>
      <c r="Y170" s="31" t="s">
        <v>339</v>
      </c>
      <c r="Z170" s="25" t="s">
        <v>364</v>
      </c>
      <c r="AA170" s="29" t="s">
        <v>773</v>
      </c>
      <c r="AB170" s="25" t="s">
        <v>621</v>
      </c>
      <c r="AC170" s="31" t="s">
        <v>339</v>
      </c>
      <c r="AD170" s="31" t="s">
        <v>364</v>
      </c>
      <c r="AE170" s="41">
        <v>42629</v>
      </c>
    </row>
    <row r="171" spans="1:31" ht="15.75" x14ac:dyDescent="0.25">
      <c r="A171" s="24" t="s">
        <v>788</v>
      </c>
      <c r="B171" s="25" t="s">
        <v>789</v>
      </c>
      <c r="C171" s="25" t="s">
        <v>790</v>
      </c>
      <c r="D171" s="25" t="s">
        <v>359</v>
      </c>
      <c r="E171" s="30">
        <v>14757</v>
      </c>
      <c r="F171" s="25" t="s">
        <v>360</v>
      </c>
      <c r="G171" s="25" t="s">
        <v>230</v>
      </c>
      <c r="H171" s="25" t="s">
        <v>201</v>
      </c>
      <c r="I171" s="26">
        <v>40</v>
      </c>
      <c r="J171" s="27">
        <v>0.62068965517241381</v>
      </c>
      <c r="K171" s="27">
        <v>0</v>
      </c>
      <c r="L171" s="27">
        <v>0</v>
      </c>
      <c r="M171" s="27">
        <v>1.0551724137931036</v>
      </c>
      <c r="N171" s="27">
        <v>6.2068965517241378E-2</v>
      </c>
      <c r="O171" s="27">
        <v>0</v>
      </c>
      <c r="P171" s="27">
        <v>0.99310344827586206</v>
      </c>
      <c r="Q171" s="27">
        <v>0.62068965517241381</v>
      </c>
      <c r="R171" s="27">
        <v>1.0551724137931036</v>
      </c>
      <c r="S171" s="27">
        <v>0</v>
      </c>
      <c r="T171" s="27">
        <v>0</v>
      </c>
      <c r="U171" s="27">
        <v>0.62068965517241381</v>
      </c>
      <c r="V171" s="27">
        <v>1.2413793103448276</v>
      </c>
      <c r="W171" s="28"/>
      <c r="X171" s="25" t="s">
        <v>621</v>
      </c>
      <c r="Y171" s="31" t="s">
        <v>339</v>
      </c>
      <c r="Z171" s="25" t="s">
        <v>364</v>
      </c>
      <c r="AA171" s="29" t="s">
        <v>791</v>
      </c>
      <c r="AB171" s="25" t="s">
        <v>621</v>
      </c>
      <c r="AC171" s="31" t="s">
        <v>339</v>
      </c>
      <c r="AD171" s="31" t="s">
        <v>364</v>
      </c>
      <c r="AE171" s="41">
        <v>42957</v>
      </c>
    </row>
    <row r="172" spans="1:31" ht="15.75" x14ac:dyDescent="0.25">
      <c r="A172" s="24" t="s">
        <v>792</v>
      </c>
      <c r="B172" s="25" t="s">
        <v>793</v>
      </c>
      <c r="C172" s="25" t="s">
        <v>794</v>
      </c>
      <c r="D172" s="25" t="s">
        <v>761</v>
      </c>
      <c r="E172" s="30">
        <v>72086</v>
      </c>
      <c r="F172" s="25" t="s">
        <v>229</v>
      </c>
      <c r="G172" s="25" t="s">
        <v>230</v>
      </c>
      <c r="H172" s="25" t="s">
        <v>201</v>
      </c>
      <c r="I172" s="26">
        <v>2.0925925925925899</v>
      </c>
      <c r="J172" s="27">
        <v>2.7586206896551724E-2</v>
      </c>
      <c r="K172" s="27">
        <v>0.82068965517241454</v>
      </c>
      <c r="L172" s="27">
        <v>0.59310344827586214</v>
      </c>
      <c r="M172" s="27">
        <v>0.13103448275862067</v>
      </c>
      <c r="N172" s="27">
        <v>0.93793103448275961</v>
      </c>
      <c r="O172" s="27">
        <v>0.55172413793103448</v>
      </c>
      <c r="P172" s="27">
        <v>8.2758620689655171E-2</v>
      </c>
      <c r="Q172" s="27">
        <v>0</v>
      </c>
      <c r="R172" s="27">
        <v>0.48965517241379314</v>
      </c>
      <c r="S172" s="27">
        <v>0.27586206896551724</v>
      </c>
      <c r="T172" s="27">
        <v>0.26896551724137935</v>
      </c>
      <c r="U172" s="27">
        <v>0.53793103448275859</v>
      </c>
      <c r="V172" s="27">
        <v>1.0137931034482768</v>
      </c>
      <c r="W172" s="28"/>
      <c r="X172" s="25" t="s">
        <v>621</v>
      </c>
      <c r="Y172" s="31" t="s">
        <v>339</v>
      </c>
      <c r="Z172" s="25" t="s">
        <v>364</v>
      </c>
      <c r="AA172" s="29" t="s">
        <v>762</v>
      </c>
      <c r="AB172" s="25" t="s">
        <v>621</v>
      </c>
      <c r="AC172" s="31" t="s">
        <v>339</v>
      </c>
      <c r="AD172" s="31" t="s">
        <v>364</v>
      </c>
      <c r="AE172" s="41">
        <v>42976</v>
      </c>
    </row>
    <row r="173" spans="1:31" ht="15.75" x14ac:dyDescent="0.25">
      <c r="A173" s="24" t="s">
        <v>490</v>
      </c>
      <c r="B173" s="25" t="s">
        <v>491</v>
      </c>
      <c r="C173" s="25" t="s">
        <v>33</v>
      </c>
      <c r="D173" s="25" t="s">
        <v>460</v>
      </c>
      <c r="E173" s="30">
        <v>45011</v>
      </c>
      <c r="F173" s="25" t="s">
        <v>461</v>
      </c>
      <c r="G173" s="25" t="s">
        <v>230</v>
      </c>
      <c r="H173" s="25" t="s">
        <v>201</v>
      </c>
      <c r="I173" s="26">
        <v>42.724409448818903</v>
      </c>
      <c r="J173" s="27">
        <v>40.220689655172443</v>
      </c>
      <c r="K173" s="27">
        <v>32.958620689655199</v>
      </c>
      <c r="L173" s="27">
        <v>30.365517241379305</v>
      </c>
      <c r="M173" s="27">
        <v>10.524137931034485</v>
      </c>
      <c r="N173" s="27">
        <v>66.937931034482773</v>
      </c>
      <c r="O173" s="27">
        <v>38.641379310344824</v>
      </c>
      <c r="P173" s="27">
        <v>2.241379310344827</v>
      </c>
      <c r="Q173" s="27">
        <v>6.2482758620689633</v>
      </c>
      <c r="R173" s="27">
        <v>13.717241379310348</v>
      </c>
      <c r="S173" s="27">
        <v>24.400000000000002</v>
      </c>
      <c r="T173" s="27">
        <v>31.075862068965524</v>
      </c>
      <c r="U173" s="27">
        <v>44.875862068965517</v>
      </c>
      <c r="V173" s="27">
        <v>34.827586206896505</v>
      </c>
      <c r="W173" s="28"/>
      <c r="X173" s="25" t="s">
        <v>202</v>
      </c>
      <c r="Y173" s="31" t="s">
        <v>339</v>
      </c>
      <c r="Z173" s="25" t="s">
        <v>364</v>
      </c>
      <c r="AA173" s="29" t="s">
        <v>408</v>
      </c>
      <c r="AB173" s="25" t="s">
        <v>202</v>
      </c>
      <c r="AC173" s="31" t="s">
        <v>339</v>
      </c>
      <c r="AD173" s="31" t="s">
        <v>364</v>
      </c>
      <c r="AE173" s="41">
        <v>43154</v>
      </c>
    </row>
    <row r="174" spans="1:31" ht="15.75" x14ac:dyDescent="0.25">
      <c r="A174" s="24" t="s">
        <v>795</v>
      </c>
      <c r="B174" s="25" t="s">
        <v>796</v>
      </c>
      <c r="C174" s="25" t="s">
        <v>797</v>
      </c>
      <c r="D174" s="25" t="s">
        <v>625</v>
      </c>
      <c r="E174" s="30">
        <v>84119</v>
      </c>
      <c r="F174" s="25" t="s">
        <v>438</v>
      </c>
      <c r="G174" s="25" t="s">
        <v>286</v>
      </c>
      <c r="H174" s="25" t="s">
        <v>201</v>
      </c>
      <c r="I174" s="26">
        <v>1.5680000000000001</v>
      </c>
      <c r="J174" s="27">
        <v>8.9655172413793102E-2</v>
      </c>
      <c r="K174" s="27">
        <v>0.37241379310344846</v>
      </c>
      <c r="L174" s="27">
        <v>0.61379310344827642</v>
      </c>
      <c r="M174" s="27">
        <v>0.28965517241379324</v>
      </c>
      <c r="N174" s="27">
        <v>1.0206896551724152</v>
      </c>
      <c r="O174" s="27">
        <v>0.22068965517241382</v>
      </c>
      <c r="P174" s="27">
        <v>6.8965517241379309E-2</v>
      </c>
      <c r="Q174" s="27">
        <v>5.5172413793103448E-2</v>
      </c>
      <c r="R174" s="27">
        <v>0.62758620689655209</v>
      </c>
      <c r="S174" s="27">
        <v>0.3241379310344828</v>
      </c>
      <c r="T174" s="27">
        <v>0.15172413793103451</v>
      </c>
      <c r="U174" s="27">
        <v>0.26206896551724146</v>
      </c>
      <c r="V174" s="27">
        <v>0.91034482758620805</v>
      </c>
      <c r="W174" s="28"/>
      <c r="X174" s="25" t="s">
        <v>621</v>
      </c>
      <c r="Y174" s="31" t="s">
        <v>339</v>
      </c>
      <c r="Z174" s="25" t="s">
        <v>364</v>
      </c>
      <c r="AA174" s="29" t="s">
        <v>680</v>
      </c>
      <c r="AB174" s="25" t="s">
        <v>621</v>
      </c>
      <c r="AC174" s="31" t="s">
        <v>339</v>
      </c>
      <c r="AD174" s="31" t="s">
        <v>364</v>
      </c>
      <c r="AE174" s="41">
        <v>43041</v>
      </c>
    </row>
    <row r="175" spans="1:31" ht="15.75" x14ac:dyDescent="0.25">
      <c r="A175" s="24" t="s">
        <v>798</v>
      </c>
      <c r="B175" s="25" t="s">
        <v>799</v>
      </c>
      <c r="C175" s="25" t="s">
        <v>533</v>
      </c>
      <c r="D175" s="25" t="s">
        <v>473</v>
      </c>
      <c r="E175" s="30">
        <v>48161</v>
      </c>
      <c r="F175" s="25" t="s">
        <v>461</v>
      </c>
      <c r="G175" s="25" t="s">
        <v>230</v>
      </c>
      <c r="H175" s="25" t="s">
        <v>201</v>
      </c>
      <c r="I175" s="26">
        <v>1.58536585365854</v>
      </c>
      <c r="J175" s="27">
        <v>0.15862068965517243</v>
      </c>
      <c r="K175" s="27">
        <v>0.60689655172413848</v>
      </c>
      <c r="L175" s="27">
        <v>0.2137931034482759</v>
      </c>
      <c r="M175" s="27">
        <v>0.3724137931034483</v>
      </c>
      <c r="N175" s="27">
        <v>0.84137931034482794</v>
      </c>
      <c r="O175" s="27">
        <v>0.44137931034482791</v>
      </c>
      <c r="P175" s="27">
        <v>2.7586206896551724E-2</v>
      </c>
      <c r="Q175" s="27">
        <v>4.1379310344827586E-2</v>
      </c>
      <c r="R175" s="27">
        <v>0.46896551724137947</v>
      </c>
      <c r="S175" s="27">
        <v>0.16551724137931034</v>
      </c>
      <c r="T175" s="27">
        <v>0.23448275862068968</v>
      </c>
      <c r="U175" s="27">
        <v>0.48275862068965569</v>
      </c>
      <c r="V175" s="27">
        <v>0.89655172413793172</v>
      </c>
      <c r="W175" s="28"/>
      <c r="X175" s="25" t="s">
        <v>202</v>
      </c>
      <c r="Y175" s="31" t="s">
        <v>339</v>
      </c>
      <c r="Z175" s="25" t="s">
        <v>364</v>
      </c>
      <c r="AA175" s="29" t="s">
        <v>800</v>
      </c>
      <c r="AB175" s="25" t="s">
        <v>202</v>
      </c>
      <c r="AC175" s="31" t="s">
        <v>339</v>
      </c>
      <c r="AD175" s="31" t="s">
        <v>340</v>
      </c>
      <c r="AE175" s="41">
        <v>40247</v>
      </c>
    </row>
    <row r="176" spans="1:31" ht="15.75" x14ac:dyDescent="0.25">
      <c r="A176" s="24" t="s">
        <v>801</v>
      </c>
      <c r="B176" s="25" t="s">
        <v>802</v>
      </c>
      <c r="C176" s="25" t="s">
        <v>803</v>
      </c>
      <c r="D176" s="25" t="s">
        <v>256</v>
      </c>
      <c r="E176" s="30">
        <v>98901</v>
      </c>
      <c r="F176" s="25" t="s">
        <v>257</v>
      </c>
      <c r="G176" s="25" t="s">
        <v>286</v>
      </c>
      <c r="H176" s="25" t="s">
        <v>201</v>
      </c>
      <c r="I176" s="26">
        <v>0</v>
      </c>
      <c r="J176" s="27">
        <v>1</v>
      </c>
      <c r="K176" s="27">
        <v>0</v>
      </c>
      <c r="L176" s="27">
        <v>0</v>
      </c>
      <c r="M176" s="27">
        <v>0</v>
      </c>
      <c r="N176" s="27">
        <v>0</v>
      </c>
      <c r="O176" s="27">
        <v>1</v>
      </c>
      <c r="P176" s="27">
        <v>0</v>
      </c>
      <c r="Q176" s="27">
        <v>0</v>
      </c>
      <c r="R176" s="27">
        <v>0</v>
      </c>
      <c r="S176" s="27">
        <v>0</v>
      </c>
      <c r="T176" s="27">
        <v>0</v>
      </c>
      <c r="U176" s="27">
        <v>1</v>
      </c>
      <c r="V176" s="27">
        <v>1</v>
      </c>
      <c r="W176" s="28"/>
      <c r="X176" s="25" t="s">
        <v>621</v>
      </c>
      <c r="Y176" s="31" t="s">
        <v>339</v>
      </c>
      <c r="Z176" s="25" t="s">
        <v>364</v>
      </c>
      <c r="AA176" s="29" t="s">
        <v>804</v>
      </c>
      <c r="AB176" s="25" t="s">
        <v>621</v>
      </c>
      <c r="AC176" s="31" t="s">
        <v>339</v>
      </c>
      <c r="AD176" s="31" t="s">
        <v>364</v>
      </c>
      <c r="AE176" s="41">
        <v>42571</v>
      </c>
    </row>
    <row r="177" spans="1:31" ht="15.75" x14ac:dyDescent="0.25">
      <c r="A177" s="24" t="s">
        <v>805</v>
      </c>
      <c r="B177" s="25" t="s">
        <v>806</v>
      </c>
      <c r="C177" s="25" t="s">
        <v>807</v>
      </c>
      <c r="D177" s="25" t="s">
        <v>808</v>
      </c>
      <c r="E177" s="30">
        <v>82201</v>
      </c>
      <c r="F177" s="25" t="s">
        <v>327</v>
      </c>
      <c r="G177" s="25" t="s">
        <v>286</v>
      </c>
      <c r="H177" s="25" t="s">
        <v>201</v>
      </c>
      <c r="I177" s="26">
        <v>1.3548387096774199</v>
      </c>
      <c r="J177" s="27">
        <v>0.17241379310344829</v>
      </c>
      <c r="K177" s="27">
        <v>0.22758620689655173</v>
      </c>
      <c r="L177" s="27">
        <v>0.36551724137931041</v>
      </c>
      <c r="M177" s="27">
        <v>0.11724137931034483</v>
      </c>
      <c r="N177" s="27">
        <v>0.44827586206896569</v>
      </c>
      <c r="O177" s="27">
        <v>0.39999999999999997</v>
      </c>
      <c r="P177" s="27">
        <v>0</v>
      </c>
      <c r="Q177" s="27">
        <v>3.4482758620689655E-2</v>
      </c>
      <c r="R177" s="27">
        <v>0.17241379310344829</v>
      </c>
      <c r="S177" s="27">
        <v>0.1586206896551724</v>
      </c>
      <c r="T177" s="27">
        <v>0.13793103448275862</v>
      </c>
      <c r="U177" s="27">
        <v>0.41379310344827586</v>
      </c>
      <c r="V177" s="27">
        <v>0.38620689655172435</v>
      </c>
      <c r="W177" s="28"/>
      <c r="X177" s="25" t="s">
        <v>621</v>
      </c>
      <c r="Y177" s="31" t="s">
        <v>339</v>
      </c>
      <c r="Z177" s="25" t="s">
        <v>364</v>
      </c>
      <c r="AA177" s="29" t="s">
        <v>762</v>
      </c>
      <c r="AB177" s="25" t="s">
        <v>621</v>
      </c>
      <c r="AC177" s="31" t="s">
        <v>339</v>
      </c>
      <c r="AD177" s="31" t="s">
        <v>364</v>
      </c>
      <c r="AE177" s="41">
        <v>42986</v>
      </c>
    </row>
    <row r="178" spans="1:31" ht="15.75" x14ac:dyDescent="0.25">
      <c r="A178" s="24" t="s">
        <v>809</v>
      </c>
      <c r="B178" s="25" t="s">
        <v>810</v>
      </c>
      <c r="C178" s="25" t="s">
        <v>811</v>
      </c>
      <c r="D178" s="25" t="s">
        <v>761</v>
      </c>
      <c r="E178" s="30">
        <v>72901</v>
      </c>
      <c r="F178" s="25" t="s">
        <v>229</v>
      </c>
      <c r="G178" s="25" t="s">
        <v>286</v>
      </c>
      <c r="H178" s="25" t="s">
        <v>201</v>
      </c>
      <c r="I178" s="26">
        <v>3.0222222222222199</v>
      </c>
      <c r="J178" s="27">
        <v>0.26896551724137935</v>
      </c>
      <c r="K178" s="27">
        <v>0.1103448275862069</v>
      </c>
      <c r="L178" s="27">
        <v>0.32413793103448274</v>
      </c>
      <c r="M178" s="27">
        <v>0.15172413793103448</v>
      </c>
      <c r="N178" s="27">
        <v>0.61379310344827598</v>
      </c>
      <c r="O178" s="27">
        <v>0.19310344827586212</v>
      </c>
      <c r="P178" s="27">
        <v>4.8275862068965517E-2</v>
      </c>
      <c r="Q178" s="27">
        <v>0</v>
      </c>
      <c r="R178" s="27">
        <v>0.25517241379310346</v>
      </c>
      <c r="S178" s="27">
        <v>0.13793103448275862</v>
      </c>
      <c r="T178" s="27">
        <v>0.26896551724137929</v>
      </c>
      <c r="U178" s="27">
        <v>0.19310344827586212</v>
      </c>
      <c r="V178" s="27">
        <v>0.40689655172413791</v>
      </c>
      <c r="W178" s="28"/>
      <c r="X178" s="25" t="s">
        <v>621</v>
      </c>
      <c r="Y178" s="31" t="s">
        <v>339</v>
      </c>
      <c r="Z178" s="25" t="s">
        <v>364</v>
      </c>
      <c r="AA178" s="29" t="s">
        <v>812</v>
      </c>
      <c r="AB178" s="25" t="s">
        <v>621</v>
      </c>
      <c r="AC178" s="31" t="s">
        <v>339</v>
      </c>
      <c r="AD178" s="31" t="s">
        <v>364</v>
      </c>
      <c r="AE178" s="41">
        <v>42976</v>
      </c>
    </row>
    <row r="179" spans="1:31" ht="15.75" x14ac:dyDescent="0.25">
      <c r="A179" s="24" t="s">
        <v>813</v>
      </c>
      <c r="B179" s="25" t="s">
        <v>814</v>
      </c>
      <c r="C179" s="25" t="s">
        <v>649</v>
      </c>
      <c r="D179" s="25" t="s">
        <v>650</v>
      </c>
      <c r="E179" s="30">
        <v>97058</v>
      </c>
      <c r="F179" s="25" t="s">
        <v>257</v>
      </c>
      <c r="G179" s="25" t="s">
        <v>737</v>
      </c>
      <c r="H179" s="25" t="s">
        <v>201</v>
      </c>
      <c r="I179" s="26">
        <v>238</v>
      </c>
      <c r="J179" s="27">
        <v>0.16551724137931034</v>
      </c>
      <c r="K179" s="27">
        <v>0</v>
      </c>
      <c r="L179" s="27">
        <v>0.67586206896551726</v>
      </c>
      <c r="M179" s="27">
        <v>0</v>
      </c>
      <c r="N179" s="27">
        <v>0.16551724137931034</v>
      </c>
      <c r="O179" s="27">
        <v>0.67586206896551726</v>
      </c>
      <c r="P179" s="27">
        <v>0</v>
      </c>
      <c r="Q179" s="27">
        <v>0</v>
      </c>
      <c r="R179" s="27">
        <v>0.16551724137931034</v>
      </c>
      <c r="S179" s="27">
        <v>0</v>
      </c>
      <c r="T179" s="27">
        <v>0</v>
      </c>
      <c r="U179" s="27">
        <v>0.67586206896551726</v>
      </c>
      <c r="V179" s="27">
        <v>0.40689655172413797</v>
      </c>
      <c r="W179" s="28"/>
      <c r="X179" s="25" t="s">
        <v>202</v>
      </c>
      <c r="Y179" s="31" t="s">
        <v>738</v>
      </c>
      <c r="Z179" s="25" t="s">
        <v>206</v>
      </c>
      <c r="AA179" s="29" t="s">
        <v>424</v>
      </c>
      <c r="AB179" s="25" t="s">
        <v>232</v>
      </c>
      <c r="AC179" s="31"/>
      <c r="AD179" s="31"/>
      <c r="AE179" s="41"/>
    </row>
    <row r="180" spans="1:31" ht="15.75" x14ac:dyDescent="0.25">
      <c r="A180" s="24" t="s">
        <v>59</v>
      </c>
      <c r="B180" s="25" t="s">
        <v>815</v>
      </c>
      <c r="C180" s="25" t="s">
        <v>816</v>
      </c>
      <c r="D180" s="25" t="s">
        <v>313</v>
      </c>
      <c r="E180" s="30">
        <v>8098</v>
      </c>
      <c r="F180" s="25" t="s">
        <v>314</v>
      </c>
      <c r="G180" s="25" t="s">
        <v>286</v>
      </c>
      <c r="H180" s="25" t="s">
        <v>201</v>
      </c>
      <c r="I180" s="26">
        <v>1.54285714285714</v>
      </c>
      <c r="J180" s="27">
        <v>7.586206896551724E-2</v>
      </c>
      <c r="K180" s="27">
        <v>6.2068965517241378E-2</v>
      </c>
      <c r="L180" s="27">
        <v>0.49655172413793114</v>
      </c>
      <c r="M180" s="27">
        <v>0.12413793103448276</v>
      </c>
      <c r="N180" s="27">
        <v>0.28275862068965529</v>
      </c>
      <c r="O180" s="27">
        <v>0.43448275862068975</v>
      </c>
      <c r="P180" s="27">
        <v>0</v>
      </c>
      <c r="Q180" s="27">
        <v>4.1379310344827586E-2</v>
      </c>
      <c r="R180" s="27">
        <v>0.1103448275862069</v>
      </c>
      <c r="S180" s="27">
        <v>7.586206896551724E-2</v>
      </c>
      <c r="T180" s="27">
        <v>8.9655172413793102E-2</v>
      </c>
      <c r="U180" s="27">
        <v>0.48275862068965525</v>
      </c>
      <c r="V180" s="27">
        <v>0.29655172413793113</v>
      </c>
      <c r="W180" s="28"/>
      <c r="X180" s="25" t="s">
        <v>202</v>
      </c>
      <c r="Y180" s="31" t="s">
        <v>339</v>
      </c>
      <c r="Z180" s="25" t="s">
        <v>364</v>
      </c>
      <c r="AA180" s="29" t="s">
        <v>817</v>
      </c>
      <c r="AB180" s="25" t="s">
        <v>202</v>
      </c>
      <c r="AC180" s="31" t="s">
        <v>339</v>
      </c>
      <c r="AD180" s="31" t="s">
        <v>387</v>
      </c>
      <c r="AE180" s="41">
        <v>42131</v>
      </c>
    </row>
    <row r="181" spans="1:31" ht="15.75" x14ac:dyDescent="0.25">
      <c r="A181" s="24" t="s">
        <v>818</v>
      </c>
      <c r="B181" s="25" t="s">
        <v>819</v>
      </c>
      <c r="C181" s="25" t="s">
        <v>820</v>
      </c>
      <c r="D181" s="25" t="s">
        <v>552</v>
      </c>
      <c r="E181" s="30">
        <v>50201</v>
      </c>
      <c r="F181" s="25" t="s">
        <v>395</v>
      </c>
      <c r="G181" s="25" t="s">
        <v>286</v>
      </c>
      <c r="H181" s="25" t="s">
        <v>201</v>
      </c>
      <c r="I181" s="26">
        <v>4.3636363636363598</v>
      </c>
      <c r="J181" s="27">
        <v>8.9655172413793102E-2</v>
      </c>
      <c r="K181" s="27">
        <v>0.16551724137931034</v>
      </c>
      <c r="L181" s="27">
        <v>0.24137931034482757</v>
      </c>
      <c r="M181" s="27">
        <v>0.2</v>
      </c>
      <c r="N181" s="27">
        <v>0.60689655172413803</v>
      </c>
      <c r="O181" s="27">
        <v>8.9655172413793102E-2</v>
      </c>
      <c r="P181" s="27">
        <v>0</v>
      </c>
      <c r="Q181" s="27">
        <v>0</v>
      </c>
      <c r="R181" s="27">
        <v>0.21379310344827585</v>
      </c>
      <c r="S181" s="27">
        <v>0.21379310344827585</v>
      </c>
      <c r="T181" s="27">
        <v>0.1793103448275862</v>
      </c>
      <c r="U181" s="27">
        <v>8.9655172413793102E-2</v>
      </c>
      <c r="V181" s="27">
        <v>0.34482758620689652</v>
      </c>
      <c r="W181" s="28"/>
      <c r="X181" s="25" t="s">
        <v>621</v>
      </c>
      <c r="Y181" s="31" t="s">
        <v>339</v>
      </c>
      <c r="Z181" s="25" t="s">
        <v>364</v>
      </c>
      <c r="AA181" s="29" t="s">
        <v>791</v>
      </c>
      <c r="AB181" s="25" t="s">
        <v>232</v>
      </c>
      <c r="AC181" s="31"/>
      <c r="AD181" s="31"/>
      <c r="AE181" s="41"/>
    </row>
    <row r="182" spans="1:31" ht="15.75" x14ac:dyDescent="0.25">
      <c r="A182" s="24" t="s">
        <v>821</v>
      </c>
      <c r="B182" s="25" t="s">
        <v>822</v>
      </c>
      <c r="C182" s="25" t="s">
        <v>823</v>
      </c>
      <c r="D182" s="25" t="s">
        <v>210</v>
      </c>
      <c r="E182" s="30">
        <v>30161</v>
      </c>
      <c r="F182" s="25" t="s">
        <v>211</v>
      </c>
      <c r="G182" s="25" t="s">
        <v>286</v>
      </c>
      <c r="H182" s="25" t="s">
        <v>201</v>
      </c>
      <c r="I182" s="26">
        <v>2.1627906976744198</v>
      </c>
      <c r="J182" s="27">
        <v>0.31034482758620691</v>
      </c>
      <c r="K182" s="27">
        <v>0.24137931034482751</v>
      </c>
      <c r="L182" s="27">
        <v>3.4482758620689655E-2</v>
      </c>
      <c r="M182" s="27">
        <v>6.2068965517241378E-2</v>
      </c>
      <c r="N182" s="27">
        <v>0.4137931034482758</v>
      </c>
      <c r="O182" s="27">
        <v>0.1586206896551724</v>
      </c>
      <c r="P182" s="27">
        <v>2.0689655172413793E-2</v>
      </c>
      <c r="Q182" s="27">
        <v>5.5172413793103448E-2</v>
      </c>
      <c r="R182" s="27">
        <v>8.2758620689655171E-2</v>
      </c>
      <c r="S182" s="27">
        <v>0.1103448275862069</v>
      </c>
      <c r="T182" s="27">
        <v>0.24827586206896551</v>
      </c>
      <c r="U182" s="27">
        <v>0.20689655172413796</v>
      </c>
      <c r="V182" s="27">
        <v>0.10344827586206896</v>
      </c>
      <c r="W182" s="28"/>
      <c r="X182" s="25" t="s">
        <v>232</v>
      </c>
      <c r="Y182" s="31"/>
      <c r="Z182" s="25"/>
      <c r="AA182" s="29"/>
      <c r="AB182" s="25" t="s">
        <v>232</v>
      </c>
      <c r="AC182" s="31"/>
      <c r="AD182" s="31"/>
      <c r="AE182" s="41"/>
    </row>
    <row r="183" spans="1:31" ht="15.75" x14ac:dyDescent="0.25">
      <c r="A183" s="24" t="s">
        <v>824</v>
      </c>
      <c r="B183" s="25" t="s">
        <v>825</v>
      </c>
      <c r="C183" s="25" t="s">
        <v>826</v>
      </c>
      <c r="D183" s="25" t="s">
        <v>215</v>
      </c>
      <c r="E183" s="30">
        <v>78840</v>
      </c>
      <c r="F183" s="25" t="s">
        <v>216</v>
      </c>
      <c r="G183" s="25" t="s">
        <v>286</v>
      </c>
      <c r="H183" s="25" t="s">
        <v>201</v>
      </c>
      <c r="I183" s="26">
        <v>1.57407407407407</v>
      </c>
      <c r="J183" s="27">
        <v>0.39310344827586219</v>
      </c>
      <c r="K183" s="27">
        <v>0.1103448275862069</v>
      </c>
      <c r="L183" s="27">
        <v>7.586206896551724E-2</v>
      </c>
      <c r="M183" s="27">
        <v>3.4482758620689655E-2</v>
      </c>
      <c r="N183" s="27">
        <v>0.24137931034482757</v>
      </c>
      <c r="O183" s="27">
        <v>0.21379310344827601</v>
      </c>
      <c r="P183" s="27">
        <v>0.11724137931034483</v>
      </c>
      <c r="Q183" s="27">
        <v>4.1379310344827586E-2</v>
      </c>
      <c r="R183" s="27">
        <v>0.18620689655172418</v>
      </c>
      <c r="S183" s="27">
        <v>5.5172413793103448E-2</v>
      </c>
      <c r="T183" s="27">
        <v>0.10344827586206896</v>
      </c>
      <c r="U183" s="27">
        <v>0.26896551724137946</v>
      </c>
      <c r="V183" s="27">
        <v>0.52413793103448292</v>
      </c>
      <c r="W183" s="28"/>
      <c r="X183" s="25" t="s">
        <v>202</v>
      </c>
      <c r="Y183" s="31" t="s">
        <v>339</v>
      </c>
      <c r="Z183" s="25" t="s">
        <v>364</v>
      </c>
      <c r="AA183" s="29" t="s">
        <v>430</v>
      </c>
      <c r="AB183" s="25" t="s">
        <v>621</v>
      </c>
      <c r="AC183" s="31" t="s">
        <v>339</v>
      </c>
      <c r="AD183" s="31" t="s">
        <v>364</v>
      </c>
      <c r="AE183" s="41">
        <v>43374</v>
      </c>
    </row>
    <row r="184" spans="1:31" ht="15.75" x14ac:dyDescent="0.25">
      <c r="A184" s="24" t="s">
        <v>827</v>
      </c>
      <c r="B184" s="25" t="s">
        <v>828</v>
      </c>
      <c r="C184" s="25" t="s">
        <v>829</v>
      </c>
      <c r="D184" s="25" t="s">
        <v>830</v>
      </c>
      <c r="E184" s="30">
        <v>57025</v>
      </c>
      <c r="F184" s="25" t="s">
        <v>395</v>
      </c>
      <c r="G184" s="25" t="s">
        <v>286</v>
      </c>
      <c r="H184" s="25" t="s">
        <v>201</v>
      </c>
      <c r="I184" s="26">
        <v>2.7333333333333298</v>
      </c>
      <c r="J184" s="27">
        <v>0.12413793103448276</v>
      </c>
      <c r="K184" s="27">
        <v>6.2068965517241378E-2</v>
      </c>
      <c r="L184" s="27">
        <v>0.2413793103448276</v>
      </c>
      <c r="M184" s="27">
        <v>0.16551724137931034</v>
      </c>
      <c r="N184" s="27">
        <v>0.41379310344827575</v>
      </c>
      <c r="O184" s="27">
        <v>0.15172413793103448</v>
      </c>
      <c r="P184" s="27">
        <v>6.8965517241379309E-3</v>
      </c>
      <c r="Q184" s="27">
        <v>2.0689655172413793E-2</v>
      </c>
      <c r="R184" s="27">
        <v>0.16551724137931034</v>
      </c>
      <c r="S184" s="27">
        <v>0.18620689655172412</v>
      </c>
      <c r="T184" s="27">
        <v>7.586206896551724E-2</v>
      </c>
      <c r="U184" s="27">
        <v>0.16551724137931034</v>
      </c>
      <c r="V184" s="27">
        <v>0.31034482758620691</v>
      </c>
      <c r="W184" s="28"/>
      <c r="X184" s="25" t="s">
        <v>232</v>
      </c>
      <c r="Y184" s="31"/>
      <c r="Z184" s="25"/>
      <c r="AA184" s="29"/>
      <c r="AB184" s="25" t="s">
        <v>232</v>
      </c>
      <c r="AC184" s="31"/>
      <c r="AD184" s="31"/>
      <c r="AE184" s="41"/>
    </row>
    <row r="185" spans="1:31" ht="15.75" x14ac:dyDescent="0.25">
      <c r="A185" s="24" t="s">
        <v>831</v>
      </c>
      <c r="B185" s="25" t="s">
        <v>832</v>
      </c>
      <c r="C185" s="25" t="s">
        <v>833</v>
      </c>
      <c r="D185" s="25" t="s">
        <v>215</v>
      </c>
      <c r="E185" s="30">
        <v>79701</v>
      </c>
      <c r="F185" s="25" t="s">
        <v>268</v>
      </c>
      <c r="G185" s="25" t="s">
        <v>286</v>
      </c>
      <c r="H185" s="25" t="s">
        <v>201</v>
      </c>
      <c r="I185" s="26">
        <v>1.5208333333333299</v>
      </c>
      <c r="J185" s="27">
        <v>4.1379310344827586E-2</v>
      </c>
      <c r="K185" s="27">
        <v>0.39310344827586208</v>
      </c>
      <c r="L185" s="27">
        <v>7.586206896551724E-2</v>
      </c>
      <c r="M185" s="27">
        <v>6.8965517241379309E-3</v>
      </c>
      <c r="N185" s="27">
        <v>0.23448275862068974</v>
      </c>
      <c r="O185" s="27">
        <v>0.22068965517241387</v>
      </c>
      <c r="P185" s="27">
        <v>0</v>
      </c>
      <c r="Q185" s="27">
        <v>6.2068965517241378E-2</v>
      </c>
      <c r="R185" s="27">
        <v>1.3793103448275862E-2</v>
      </c>
      <c r="S185" s="27">
        <v>0.12413793103448276</v>
      </c>
      <c r="T185" s="27">
        <v>9.6551724137931033E-2</v>
      </c>
      <c r="U185" s="27">
        <v>0.28275862068965529</v>
      </c>
      <c r="V185" s="27">
        <v>0.15172413793103451</v>
      </c>
      <c r="W185" s="28"/>
      <c r="X185" s="25" t="s">
        <v>621</v>
      </c>
      <c r="Y185" s="31" t="s">
        <v>339</v>
      </c>
      <c r="Z185" s="25" t="s">
        <v>364</v>
      </c>
      <c r="AA185" s="29" t="s">
        <v>834</v>
      </c>
      <c r="AB185" s="25" t="s">
        <v>202</v>
      </c>
      <c r="AC185" s="31" t="s">
        <v>339</v>
      </c>
      <c r="AD185" s="31" t="s">
        <v>364</v>
      </c>
      <c r="AE185" s="41">
        <v>40703</v>
      </c>
    </row>
    <row r="186" spans="1:31" ht="15.75" x14ac:dyDescent="0.25">
      <c r="A186" s="24" t="s">
        <v>835</v>
      </c>
      <c r="B186" s="25" t="s">
        <v>836</v>
      </c>
      <c r="C186" s="25" t="s">
        <v>837</v>
      </c>
      <c r="D186" s="25" t="s">
        <v>761</v>
      </c>
      <c r="E186" s="30">
        <v>71854</v>
      </c>
      <c r="F186" s="25" t="s">
        <v>229</v>
      </c>
      <c r="G186" s="25" t="s">
        <v>286</v>
      </c>
      <c r="H186" s="25" t="s">
        <v>201</v>
      </c>
      <c r="I186" s="26">
        <v>2</v>
      </c>
      <c r="J186" s="27">
        <v>4.8275862068965517E-2</v>
      </c>
      <c r="K186" s="27">
        <v>0.10344827586206896</v>
      </c>
      <c r="L186" s="27">
        <v>0.16551724137931034</v>
      </c>
      <c r="M186" s="27">
        <v>9.6551724137931033E-2</v>
      </c>
      <c r="N186" s="27">
        <v>0.33793103448275863</v>
      </c>
      <c r="O186" s="27">
        <v>6.2068965517241378E-2</v>
      </c>
      <c r="P186" s="27">
        <v>1.3793103448275862E-2</v>
      </c>
      <c r="Q186" s="27">
        <v>0</v>
      </c>
      <c r="R186" s="27">
        <v>0.2</v>
      </c>
      <c r="S186" s="27">
        <v>0.13793103448275862</v>
      </c>
      <c r="T186" s="27">
        <v>1.3793103448275862E-2</v>
      </c>
      <c r="U186" s="27">
        <v>6.2068965517241378E-2</v>
      </c>
      <c r="V186" s="27">
        <v>0.31724137931034491</v>
      </c>
      <c r="W186" s="28"/>
      <c r="X186" s="25" t="s">
        <v>621</v>
      </c>
      <c r="Y186" s="31" t="s">
        <v>339</v>
      </c>
      <c r="Z186" s="25" t="s">
        <v>364</v>
      </c>
      <c r="AA186" s="29" t="s">
        <v>717</v>
      </c>
      <c r="AB186" s="25" t="s">
        <v>621</v>
      </c>
      <c r="AC186" s="31" t="s">
        <v>339</v>
      </c>
      <c r="AD186" s="31" t="s">
        <v>364</v>
      </c>
      <c r="AE186" s="41">
        <v>42999</v>
      </c>
    </row>
    <row r="187" spans="1:31" ht="15.75" x14ac:dyDescent="0.25">
      <c r="A187" s="24" t="s">
        <v>838</v>
      </c>
      <c r="B187" s="25" t="s">
        <v>839</v>
      </c>
      <c r="C187" s="25" t="s">
        <v>840</v>
      </c>
      <c r="D187" s="25" t="s">
        <v>344</v>
      </c>
      <c r="E187" s="30">
        <v>16503</v>
      </c>
      <c r="F187" s="25" t="s">
        <v>345</v>
      </c>
      <c r="G187" s="25" t="s">
        <v>286</v>
      </c>
      <c r="H187" s="25" t="s">
        <v>201</v>
      </c>
      <c r="I187" s="26">
        <v>3.1538461538461502</v>
      </c>
      <c r="J187" s="27">
        <v>4.1379310344827586E-2</v>
      </c>
      <c r="K187" s="27">
        <v>0.26896551724137935</v>
      </c>
      <c r="L187" s="27">
        <v>4.1379310344827586E-2</v>
      </c>
      <c r="M187" s="27">
        <v>0</v>
      </c>
      <c r="N187" s="27">
        <v>8.9655172413793102E-2</v>
      </c>
      <c r="O187" s="27">
        <v>0.25517241379310346</v>
      </c>
      <c r="P187" s="27">
        <v>0</v>
      </c>
      <c r="Q187" s="27">
        <v>6.8965517241379309E-3</v>
      </c>
      <c r="R187" s="27">
        <v>1.3793103448275862E-2</v>
      </c>
      <c r="S187" s="27">
        <v>7.586206896551724E-2</v>
      </c>
      <c r="T187" s="27">
        <v>0</v>
      </c>
      <c r="U187" s="27">
        <v>0.2620689655172414</v>
      </c>
      <c r="V187" s="27">
        <v>8.9655172413793102E-2</v>
      </c>
      <c r="W187" s="28"/>
      <c r="X187" s="25" t="s">
        <v>621</v>
      </c>
      <c r="Y187" s="31" t="s">
        <v>339</v>
      </c>
      <c r="Z187" s="25" t="s">
        <v>364</v>
      </c>
      <c r="AA187" s="29" t="s">
        <v>841</v>
      </c>
      <c r="AB187" s="25" t="s">
        <v>621</v>
      </c>
      <c r="AC187" s="31" t="s">
        <v>339</v>
      </c>
      <c r="AD187" s="31" t="s">
        <v>364</v>
      </c>
      <c r="AE187" s="41">
        <v>42961</v>
      </c>
    </row>
    <row r="188" spans="1:31" ht="15.75" x14ac:dyDescent="0.25">
      <c r="A188" s="24" t="s">
        <v>842</v>
      </c>
      <c r="B188" s="25" t="s">
        <v>843</v>
      </c>
      <c r="C188" s="25" t="s">
        <v>844</v>
      </c>
      <c r="D188" s="25" t="s">
        <v>215</v>
      </c>
      <c r="E188" s="30">
        <v>75751</v>
      </c>
      <c r="F188" s="25" t="s">
        <v>308</v>
      </c>
      <c r="G188" s="25" t="s">
        <v>230</v>
      </c>
      <c r="H188" s="25" t="s">
        <v>201</v>
      </c>
      <c r="I188" s="26">
        <v>1.24242424242424</v>
      </c>
      <c r="J188" s="27">
        <v>0.11724137931034483</v>
      </c>
      <c r="K188" s="27">
        <v>8.2758620689655171E-2</v>
      </c>
      <c r="L188" s="27">
        <v>9.6551724137931033E-2</v>
      </c>
      <c r="M188" s="27">
        <v>1.3793103448275862E-2</v>
      </c>
      <c r="N188" s="27">
        <v>0.22068965517241379</v>
      </c>
      <c r="O188" s="27">
        <v>7.586206896551724E-2</v>
      </c>
      <c r="P188" s="27">
        <v>6.8965517241379309E-3</v>
      </c>
      <c r="Q188" s="27">
        <v>6.8965517241379309E-3</v>
      </c>
      <c r="R188" s="27">
        <v>7.586206896551724E-2</v>
      </c>
      <c r="S188" s="27">
        <v>1.3793103448275862E-2</v>
      </c>
      <c r="T188" s="27">
        <v>0.13793103448275862</v>
      </c>
      <c r="U188" s="27">
        <v>8.2758620689655171E-2</v>
      </c>
      <c r="V188" s="27">
        <v>0.11724137931034483</v>
      </c>
      <c r="W188" s="28"/>
      <c r="X188" s="25" t="s">
        <v>232</v>
      </c>
      <c r="Y188" s="31"/>
      <c r="Z188" s="25"/>
      <c r="AA188" s="29"/>
      <c r="AB188" s="25" t="s">
        <v>232</v>
      </c>
      <c r="AC188" s="31"/>
      <c r="AD188" s="31"/>
      <c r="AE188" s="41"/>
    </row>
    <row r="189" spans="1:31" ht="15.75" x14ac:dyDescent="0.25">
      <c r="A189" s="24" t="s">
        <v>845</v>
      </c>
      <c r="B189" s="25" t="s">
        <v>846</v>
      </c>
      <c r="C189" s="25" t="s">
        <v>343</v>
      </c>
      <c r="D189" s="25" t="s">
        <v>642</v>
      </c>
      <c r="E189" s="30">
        <v>29745</v>
      </c>
      <c r="F189" s="25" t="s">
        <v>211</v>
      </c>
      <c r="G189" s="25" t="s">
        <v>286</v>
      </c>
      <c r="H189" s="25" t="s">
        <v>201</v>
      </c>
      <c r="I189" s="26">
        <v>1.625</v>
      </c>
      <c r="J189" s="27">
        <v>0.17241379310344829</v>
      </c>
      <c r="K189" s="27">
        <v>8.9655172413793102E-2</v>
      </c>
      <c r="L189" s="27">
        <v>2.0689655172413793E-2</v>
      </c>
      <c r="M189" s="27">
        <v>0</v>
      </c>
      <c r="N189" s="27">
        <v>0.12413793103448276</v>
      </c>
      <c r="O189" s="27">
        <v>0.1586206896551724</v>
      </c>
      <c r="P189" s="27">
        <v>0</v>
      </c>
      <c r="Q189" s="27">
        <v>0</v>
      </c>
      <c r="R189" s="27">
        <v>2.0689655172413793E-2</v>
      </c>
      <c r="S189" s="27">
        <v>6.8965517241379309E-2</v>
      </c>
      <c r="T189" s="27">
        <v>3.4482758620689655E-2</v>
      </c>
      <c r="U189" s="27">
        <v>0.1586206896551724</v>
      </c>
      <c r="V189" s="27">
        <v>9.6551724137931033E-2</v>
      </c>
      <c r="W189" s="28"/>
      <c r="X189" s="25" t="s">
        <v>202</v>
      </c>
      <c r="Y189" s="31" t="s">
        <v>339</v>
      </c>
      <c r="Z189" s="25" t="s">
        <v>364</v>
      </c>
      <c r="AA189" s="29" t="s">
        <v>847</v>
      </c>
      <c r="AB189" s="25" t="s">
        <v>202</v>
      </c>
      <c r="AC189" s="31" t="s">
        <v>339</v>
      </c>
      <c r="AD189" s="31" t="s">
        <v>364</v>
      </c>
      <c r="AE189" s="41">
        <v>41865</v>
      </c>
    </row>
    <row r="190" spans="1:31" ht="15.75" x14ac:dyDescent="0.25">
      <c r="A190" s="24" t="s">
        <v>848</v>
      </c>
      <c r="B190" s="25" t="s">
        <v>849</v>
      </c>
      <c r="C190" s="25" t="s">
        <v>446</v>
      </c>
      <c r="D190" s="25" t="s">
        <v>215</v>
      </c>
      <c r="E190" s="30">
        <v>78118</v>
      </c>
      <c r="F190" s="25" t="s">
        <v>216</v>
      </c>
      <c r="G190" s="25" t="s">
        <v>286</v>
      </c>
      <c r="H190" s="25" t="s">
        <v>201</v>
      </c>
      <c r="I190" s="26">
        <v>0.14583333333333301</v>
      </c>
      <c r="J190" s="27">
        <v>4.8275862068965517E-2</v>
      </c>
      <c r="K190" s="27">
        <v>4.1379310344827586E-2</v>
      </c>
      <c r="L190" s="27">
        <v>0</v>
      </c>
      <c r="M190" s="27">
        <v>0</v>
      </c>
      <c r="N190" s="27">
        <v>1.3793103448275862E-2</v>
      </c>
      <c r="O190" s="27">
        <v>7.586206896551724E-2</v>
      </c>
      <c r="P190" s="27">
        <v>0</v>
      </c>
      <c r="Q190" s="27">
        <v>0</v>
      </c>
      <c r="R190" s="27">
        <v>0</v>
      </c>
      <c r="S190" s="27">
        <v>1.3793103448275862E-2</v>
      </c>
      <c r="T190" s="27">
        <v>0</v>
      </c>
      <c r="U190" s="27">
        <v>7.586206896551724E-2</v>
      </c>
      <c r="V190" s="27">
        <v>6.2068965517241378E-2</v>
      </c>
      <c r="W190" s="28"/>
      <c r="X190" s="25" t="s">
        <v>202</v>
      </c>
      <c r="Y190" s="31" t="s">
        <v>339</v>
      </c>
      <c r="Z190" s="25" t="s">
        <v>364</v>
      </c>
      <c r="AA190" s="29" t="s">
        <v>850</v>
      </c>
      <c r="AB190" s="25" t="s">
        <v>202</v>
      </c>
      <c r="AC190" s="31" t="s">
        <v>339</v>
      </c>
      <c r="AD190" s="31" t="s">
        <v>364</v>
      </c>
      <c r="AE190" s="41">
        <v>42446</v>
      </c>
    </row>
    <row r="191" spans="1:31" ht="15.75" x14ac:dyDescent="0.25">
      <c r="A191" s="24" t="s">
        <v>851</v>
      </c>
      <c r="B191" s="25" t="s">
        <v>852</v>
      </c>
      <c r="C191" s="25" t="s">
        <v>853</v>
      </c>
      <c r="D191" s="25" t="s">
        <v>215</v>
      </c>
      <c r="E191" s="30">
        <v>75455</v>
      </c>
      <c r="F191" s="25" t="s">
        <v>308</v>
      </c>
      <c r="G191" s="25" t="s">
        <v>286</v>
      </c>
      <c r="H191" s="25" t="s">
        <v>201</v>
      </c>
      <c r="I191" s="26">
        <v>1</v>
      </c>
      <c r="J191" s="27">
        <v>1.3793103448275862E-2</v>
      </c>
      <c r="K191" s="27">
        <v>6.8965517241379309E-3</v>
      </c>
      <c r="L191" s="27">
        <v>3.4482758620689655E-2</v>
      </c>
      <c r="M191" s="27">
        <v>6.8965517241379309E-3</v>
      </c>
      <c r="N191" s="27">
        <v>4.8275862068965517E-2</v>
      </c>
      <c r="O191" s="27">
        <v>6.8965517241379309E-3</v>
      </c>
      <c r="P191" s="27">
        <v>6.8965517241379309E-3</v>
      </c>
      <c r="Q191" s="27">
        <v>0</v>
      </c>
      <c r="R191" s="27">
        <v>4.1379310344827586E-2</v>
      </c>
      <c r="S191" s="27">
        <v>6.8965517241379309E-3</v>
      </c>
      <c r="T191" s="27">
        <v>6.8965517241379309E-3</v>
      </c>
      <c r="U191" s="27">
        <v>6.8965517241379309E-3</v>
      </c>
      <c r="V191" s="27">
        <v>4.1379310344827586E-2</v>
      </c>
      <c r="W191" s="28"/>
      <c r="X191" s="25" t="s">
        <v>621</v>
      </c>
      <c r="Y191" s="31" t="s">
        <v>339</v>
      </c>
      <c r="Z191" s="25" t="s">
        <v>364</v>
      </c>
      <c r="AA191" s="29" t="s">
        <v>854</v>
      </c>
      <c r="AB191" s="25" t="s">
        <v>621</v>
      </c>
      <c r="AC191" s="31" t="s">
        <v>339</v>
      </c>
      <c r="AD191" s="31" t="s">
        <v>364</v>
      </c>
      <c r="AE191" s="41">
        <v>42228</v>
      </c>
    </row>
  </sheetData>
  <autoFilter ref="A1:AE6" xr:uid="{DD802CE3-7111-4A68-AAC8-082F160A76DA}">
    <filterColumn colId="0" showButton="0"/>
    <filterColumn colId="1" showButton="0"/>
    <filterColumn colId="2" showButton="0"/>
  </autoFilter>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0"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zoomScaleNormal="100" workbookViewId="0">
      <selection activeCell="B55" sqref="B55"/>
    </sheetView>
  </sheetViews>
  <sheetFormatPr defaultRowHeight="15" x14ac:dyDescent="0.25"/>
  <cols>
    <col min="1" max="1" width="26.5703125" style="8" customWidth="1"/>
    <col min="2" max="2" width="151.42578125" style="8"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2" customFormat="1" ht="26.25" x14ac:dyDescent="0.25">
      <c r="A1" s="206" t="s">
        <v>63</v>
      </c>
      <c r="B1" s="206"/>
      <c r="C1" s="206"/>
      <c r="D1" s="206"/>
      <c r="E1" s="38"/>
      <c r="F1" s="38"/>
      <c r="G1" s="38"/>
      <c r="H1" s="38"/>
      <c r="I1" s="38"/>
      <c r="J1" s="38"/>
      <c r="K1" s="38"/>
      <c r="L1" s="38"/>
      <c r="M1" s="38"/>
      <c r="N1" s="38"/>
      <c r="O1" s="38"/>
      <c r="P1" s="38"/>
      <c r="Q1" s="38"/>
      <c r="R1" s="38"/>
      <c r="S1" s="38"/>
      <c r="T1" s="38"/>
      <c r="U1" s="38"/>
      <c r="V1" s="38"/>
      <c r="W1" s="38"/>
      <c r="X1" s="38"/>
      <c r="Y1" s="38"/>
      <c r="Z1" s="38"/>
      <c r="AA1" s="38"/>
      <c r="AB1" s="38"/>
      <c r="AC1" s="38"/>
      <c r="AD1" s="38"/>
      <c r="AE1" s="38"/>
    </row>
    <row r="2" spans="1:31" s="12" customFormat="1" ht="74.25" customHeight="1" x14ac:dyDescent="0.25">
      <c r="A2" s="207" t="s">
        <v>64</v>
      </c>
      <c r="B2" s="207"/>
      <c r="C2" s="207"/>
      <c r="D2" s="207"/>
      <c r="E2" s="38"/>
      <c r="F2" s="38"/>
      <c r="G2" s="38"/>
      <c r="H2" s="38"/>
      <c r="I2" s="38"/>
      <c r="J2" s="38"/>
      <c r="K2" s="38"/>
      <c r="L2" s="38"/>
      <c r="M2" s="38"/>
      <c r="N2" s="38"/>
      <c r="O2" s="38"/>
      <c r="P2" s="38"/>
      <c r="Q2" s="38"/>
      <c r="R2" s="38"/>
      <c r="S2" s="38"/>
      <c r="T2" s="38"/>
      <c r="U2" s="38"/>
      <c r="V2" s="38"/>
      <c r="W2" s="38"/>
      <c r="X2" s="38"/>
      <c r="Y2" s="38"/>
      <c r="Z2" s="38"/>
      <c r="AA2" s="38"/>
      <c r="AB2" s="38"/>
      <c r="AC2" s="38"/>
      <c r="AD2" s="38"/>
      <c r="AE2" s="38"/>
    </row>
    <row r="3" spans="1:31" s="12" customFormat="1" ht="48.6" customHeight="1" thickBot="1" x14ac:dyDescent="0.3">
      <c r="A3" s="70" t="s">
        <v>889</v>
      </c>
      <c r="B3" s="70"/>
      <c r="C3" s="75"/>
      <c r="D3" s="75"/>
      <c r="E3" s="271"/>
      <c r="F3" s="271"/>
      <c r="G3" s="271"/>
      <c r="H3" s="271"/>
      <c r="I3" s="271"/>
      <c r="J3" s="271"/>
      <c r="K3" s="271"/>
      <c r="L3" s="271"/>
      <c r="M3" s="271"/>
      <c r="N3" s="271"/>
      <c r="O3" s="271"/>
      <c r="P3" s="271"/>
      <c r="Q3" s="271"/>
      <c r="R3" s="271"/>
      <c r="S3" s="271"/>
      <c r="T3" s="271"/>
      <c r="U3" s="271"/>
      <c r="V3" s="271"/>
      <c r="W3" s="271"/>
      <c r="X3" s="271"/>
      <c r="Y3" s="271"/>
      <c r="Z3" s="271"/>
      <c r="AA3" s="271"/>
      <c r="AB3" s="271"/>
      <c r="AC3" s="271"/>
      <c r="AD3" s="271"/>
      <c r="AE3" s="271"/>
    </row>
    <row r="4" spans="1:31" ht="18.75" x14ac:dyDescent="0.25">
      <c r="A4" s="181" t="s">
        <v>134</v>
      </c>
      <c r="B4" s="182" t="s">
        <v>135</v>
      </c>
    </row>
    <row r="5" spans="1:31" ht="15.75" x14ac:dyDescent="0.25">
      <c r="A5" s="183" t="s">
        <v>65</v>
      </c>
      <c r="B5" s="184" t="s">
        <v>66</v>
      </c>
    </row>
    <row r="6" spans="1:31" ht="15.75" x14ac:dyDescent="0.25">
      <c r="A6" s="183" t="s">
        <v>67</v>
      </c>
      <c r="B6" s="184" t="s">
        <v>68</v>
      </c>
    </row>
    <row r="7" spans="1:31" ht="15.75" x14ac:dyDescent="0.25">
      <c r="A7" s="183" t="s">
        <v>69</v>
      </c>
      <c r="B7" s="184" t="s">
        <v>70</v>
      </c>
    </row>
    <row r="8" spans="1:31" ht="15.75" x14ac:dyDescent="0.25">
      <c r="A8" s="183" t="s">
        <v>71</v>
      </c>
      <c r="B8" s="184" t="s">
        <v>72</v>
      </c>
    </row>
    <row r="9" spans="1:31" ht="15.75" x14ac:dyDescent="0.25">
      <c r="A9" s="183" t="s">
        <v>4</v>
      </c>
      <c r="B9" s="184" t="s">
        <v>73</v>
      </c>
    </row>
    <row r="10" spans="1:31" ht="15.75" x14ac:dyDescent="0.25">
      <c r="A10" s="183" t="s">
        <v>74</v>
      </c>
      <c r="B10" s="184" t="s">
        <v>75</v>
      </c>
    </row>
    <row r="11" spans="1:31" ht="15.75" x14ac:dyDescent="0.25">
      <c r="A11" s="183" t="s">
        <v>76</v>
      </c>
      <c r="B11" s="184" t="s">
        <v>77</v>
      </c>
    </row>
    <row r="12" spans="1:31" ht="15.75" x14ac:dyDescent="0.25">
      <c r="A12" s="183" t="s">
        <v>78</v>
      </c>
      <c r="B12" s="184" t="s">
        <v>79</v>
      </c>
      <c r="Z12" s="74"/>
    </row>
    <row r="13" spans="1:31" ht="47.25" x14ac:dyDescent="0.25">
      <c r="A13" s="183" t="s">
        <v>80</v>
      </c>
      <c r="B13" s="184" t="s">
        <v>81</v>
      </c>
    </row>
    <row r="14" spans="1:31" ht="47.25" x14ac:dyDescent="0.25">
      <c r="A14" s="183" t="s">
        <v>83</v>
      </c>
      <c r="B14" s="184" t="s">
        <v>84</v>
      </c>
    </row>
    <row r="15" spans="1:31" ht="15.75" x14ac:dyDescent="0.25">
      <c r="A15" s="183" t="s">
        <v>85</v>
      </c>
      <c r="B15" s="184" t="s">
        <v>86</v>
      </c>
    </row>
    <row r="16" spans="1:31" ht="47.25" customHeight="1" x14ac:dyDescent="0.25">
      <c r="A16" s="274" t="s">
        <v>87</v>
      </c>
      <c r="B16" s="184" t="s">
        <v>88</v>
      </c>
    </row>
    <row r="17" spans="1:2" ht="47.25" x14ac:dyDescent="0.25">
      <c r="A17" s="274"/>
      <c r="B17" s="184" t="s">
        <v>89</v>
      </c>
    </row>
    <row r="18" spans="1:2" ht="47.1" customHeight="1" x14ac:dyDescent="0.25">
      <c r="A18" s="272" t="s">
        <v>897</v>
      </c>
      <c r="B18" s="184" t="s">
        <v>898</v>
      </c>
    </row>
    <row r="19" spans="1:2" ht="47.25" x14ac:dyDescent="0.25">
      <c r="A19" s="273"/>
      <c r="B19" s="184" t="s">
        <v>899</v>
      </c>
    </row>
    <row r="20" spans="1:2" ht="15.75" x14ac:dyDescent="0.25">
      <c r="A20" s="183" t="s">
        <v>90</v>
      </c>
      <c r="B20" s="184" t="s">
        <v>91</v>
      </c>
    </row>
    <row r="21" spans="1:2" ht="15.75" x14ac:dyDescent="0.25">
      <c r="A21" s="183" t="s">
        <v>92</v>
      </c>
      <c r="B21" s="184" t="s">
        <v>93</v>
      </c>
    </row>
    <row r="22" spans="1:2" ht="15.75" x14ac:dyDescent="0.25">
      <c r="A22" s="183" t="s">
        <v>94</v>
      </c>
      <c r="B22" s="184" t="s">
        <v>95</v>
      </c>
    </row>
    <row r="23" spans="1:2" ht="15.75" x14ac:dyDescent="0.25">
      <c r="A23" s="183" t="s">
        <v>96</v>
      </c>
      <c r="B23" s="184" t="s">
        <v>97</v>
      </c>
    </row>
    <row r="24" spans="1:2" ht="47.25" x14ac:dyDescent="0.25">
      <c r="A24" s="183" t="s">
        <v>98</v>
      </c>
      <c r="B24" s="184" t="s">
        <v>99</v>
      </c>
    </row>
    <row r="25" spans="1:2" ht="31.5" x14ac:dyDescent="0.25">
      <c r="A25" s="183" t="s">
        <v>100</v>
      </c>
      <c r="B25" s="184" t="s">
        <v>101</v>
      </c>
    </row>
    <row r="26" spans="1:2" ht="15.75" x14ac:dyDescent="0.25">
      <c r="A26" s="183" t="s">
        <v>102</v>
      </c>
      <c r="B26" s="184" t="s">
        <v>103</v>
      </c>
    </row>
    <row r="27" spans="1:2" ht="15.75" x14ac:dyDescent="0.25">
      <c r="A27" s="183" t="s">
        <v>104</v>
      </c>
      <c r="B27" s="184" t="s">
        <v>105</v>
      </c>
    </row>
    <row r="28" spans="1:2" ht="15.75" x14ac:dyDescent="0.25">
      <c r="A28" s="183" t="s">
        <v>106</v>
      </c>
      <c r="B28" s="184" t="s">
        <v>107</v>
      </c>
    </row>
    <row r="29" spans="1:2" ht="31.5" x14ac:dyDescent="0.25">
      <c r="A29" s="183" t="s">
        <v>108</v>
      </c>
      <c r="B29" s="184" t="s">
        <v>109</v>
      </c>
    </row>
    <row r="30" spans="1:2" ht="15.75" x14ac:dyDescent="0.25">
      <c r="A30" s="183" t="s">
        <v>110</v>
      </c>
      <c r="B30" s="184" t="s">
        <v>111</v>
      </c>
    </row>
    <row r="31" spans="1:2" ht="15.75" x14ac:dyDescent="0.25">
      <c r="A31" s="183" t="s">
        <v>2</v>
      </c>
      <c r="B31" s="184" t="s">
        <v>112</v>
      </c>
    </row>
    <row r="32" spans="1:2" ht="31.5" x14ac:dyDescent="0.25">
      <c r="A32" s="185" t="s">
        <v>931</v>
      </c>
      <c r="B32" s="186" t="s">
        <v>113</v>
      </c>
    </row>
    <row r="33" spans="1:2" ht="15.75" x14ac:dyDescent="0.25">
      <c r="A33" s="183" t="s">
        <v>3</v>
      </c>
      <c r="B33" s="184" t="s">
        <v>114</v>
      </c>
    </row>
    <row r="34" spans="1:2" ht="31.5" x14ac:dyDescent="0.25">
      <c r="A34" s="183" t="s">
        <v>116</v>
      </c>
      <c r="B34" s="184" t="s">
        <v>117</v>
      </c>
    </row>
    <row r="35" spans="1:2" ht="15.75" x14ac:dyDescent="0.25">
      <c r="A35" s="183" t="s">
        <v>118</v>
      </c>
      <c r="B35" s="184" t="s">
        <v>119</v>
      </c>
    </row>
    <row r="36" spans="1:2" ht="31.5" x14ac:dyDescent="0.25">
      <c r="A36" s="183" t="s">
        <v>120</v>
      </c>
      <c r="B36" s="184" t="s">
        <v>121</v>
      </c>
    </row>
    <row r="37" spans="1:2" ht="15.75" x14ac:dyDescent="0.25">
      <c r="A37" s="183" t="s">
        <v>122</v>
      </c>
      <c r="B37" s="184" t="s">
        <v>900</v>
      </c>
    </row>
    <row r="38" spans="1:2" ht="15.75" x14ac:dyDescent="0.25">
      <c r="A38" s="183" t="s">
        <v>28</v>
      </c>
      <c r="B38" s="184" t="s">
        <v>901</v>
      </c>
    </row>
    <row r="39" spans="1:2" ht="15.75" x14ac:dyDescent="0.25">
      <c r="A39" s="274" t="s">
        <v>123</v>
      </c>
      <c r="B39" s="184" t="s">
        <v>124</v>
      </c>
    </row>
    <row r="40" spans="1:2" ht="15.75" x14ac:dyDescent="0.25">
      <c r="A40" s="274"/>
      <c r="B40" s="184" t="s">
        <v>125</v>
      </c>
    </row>
    <row r="41" spans="1:2" ht="47.25" x14ac:dyDescent="0.25">
      <c r="A41" s="274"/>
      <c r="B41" s="184" t="s">
        <v>126</v>
      </c>
    </row>
    <row r="42" spans="1:2" ht="15.75" x14ac:dyDescent="0.25">
      <c r="A42" s="274"/>
      <c r="B42" s="184" t="s">
        <v>127</v>
      </c>
    </row>
    <row r="43" spans="1:2" ht="47.25" x14ac:dyDescent="0.25">
      <c r="A43" s="274"/>
      <c r="B43" s="184" t="s">
        <v>128</v>
      </c>
    </row>
    <row r="44" spans="1:2" ht="15.75" x14ac:dyDescent="0.25">
      <c r="A44" s="274"/>
      <c r="B44" s="184" t="s">
        <v>129</v>
      </c>
    </row>
    <row r="45" spans="1:2" ht="31.5" x14ac:dyDescent="0.25">
      <c r="A45" s="274"/>
      <c r="B45" s="184" t="s">
        <v>130</v>
      </c>
    </row>
    <row r="46" spans="1:2" ht="31.5" x14ac:dyDescent="0.25">
      <c r="A46" s="274"/>
      <c r="B46" s="184" t="s">
        <v>131</v>
      </c>
    </row>
    <row r="47" spans="1:2" ht="15.75" x14ac:dyDescent="0.25">
      <c r="A47" s="183" t="s">
        <v>132</v>
      </c>
      <c r="B47" s="184" t="s">
        <v>133</v>
      </c>
    </row>
    <row r="48" spans="1:2" ht="31.5" x14ac:dyDescent="0.25">
      <c r="A48" s="272" t="s">
        <v>959</v>
      </c>
      <c r="B48" s="184" t="s">
        <v>902</v>
      </c>
    </row>
    <row r="49" spans="1:2" ht="15.75" x14ac:dyDescent="0.25">
      <c r="A49" s="281"/>
      <c r="B49" s="184" t="s">
        <v>903</v>
      </c>
    </row>
    <row r="50" spans="1:2" ht="15.75" x14ac:dyDescent="0.25">
      <c r="A50" s="273"/>
      <c r="B50" s="184" t="s">
        <v>904</v>
      </c>
    </row>
    <row r="51" spans="1:2" ht="15.75" customHeight="1" x14ac:dyDescent="0.25">
      <c r="A51" s="275" t="s">
        <v>958</v>
      </c>
      <c r="B51" s="187" t="s">
        <v>970</v>
      </c>
    </row>
    <row r="52" spans="1:2" ht="15.75" x14ac:dyDescent="0.25">
      <c r="A52" s="276"/>
      <c r="B52" s="186" t="s">
        <v>905</v>
      </c>
    </row>
    <row r="53" spans="1:2" ht="35.450000000000003" customHeight="1" x14ac:dyDescent="0.25">
      <c r="A53" s="276"/>
      <c r="B53" s="186" t="s">
        <v>906</v>
      </c>
    </row>
    <row r="54" spans="1:2" ht="86.25" customHeight="1" x14ac:dyDescent="0.25">
      <c r="A54" s="276"/>
      <c r="B54" s="186" t="s">
        <v>955</v>
      </c>
    </row>
    <row r="55" spans="1:2" ht="87.6" customHeight="1" x14ac:dyDescent="0.25">
      <c r="A55" s="276"/>
      <c r="B55" s="186" t="s">
        <v>964</v>
      </c>
    </row>
    <row r="56" spans="1:2" ht="31.5" x14ac:dyDescent="0.25">
      <c r="A56" s="276"/>
      <c r="B56" s="186" t="s">
        <v>907</v>
      </c>
    </row>
    <row r="57" spans="1:2" ht="78.75" x14ac:dyDescent="0.25">
      <c r="A57" s="276"/>
      <c r="B57" s="186" t="s">
        <v>923</v>
      </c>
    </row>
    <row r="58" spans="1:2" ht="15.75" x14ac:dyDescent="0.25">
      <c r="A58" s="276"/>
      <c r="B58" s="186" t="s">
        <v>908</v>
      </c>
    </row>
    <row r="59" spans="1:2" ht="31.5" x14ac:dyDescent="0.25">
      <c r="A59" s="277"/>
      <c r="B59" s="186" t="s">
        <v>909</v>
      </c>
    </row>
    <row r="60" spans="1:2" ht="15.75" x14ac:dyDescent="0.25">
      <c r="A60" s="278" t="s">
        <v>956</v>
      </c>
      <c r="B60" s="187" t="s">
        <v>973</v>
      </c>
    </row>
    <row r="61" spans="1:2" ht="31.5" x14ac:dyDescent="0.25">
      <c r="A61" s="279"/>
      <c r="B61" s="184" t="s">
        <v>910</v>
      </c>
    </row>
    <row r="62" spans="1:2" ht="15.75" x14ac:dyDescent="0.25">
      <c r="A62" s="279"/>
      <c r="B62" s="184" t="s">
        <v>911</v>
      </c>
    </row>
    <row r="63" spans="1:2" ht="15.75" x14ac:dyDescent="0.25">
      <c r="A63" s="279"/>
      <c r="B63" s="184" t="s">
        <v>912</v>
      </c>
    </row>
    <row r="64" spans="1:2" ht="78.75" x14ac:dyDescent="0.25">
      <c r="A64" s="279"/>
      <c r="B64" s="186" t="s">
        <v>962</v>
      </c>
    </row>
    <row r="65" spans="1:2" ht="50.1" customHeight="1" x14ac:dyDescent="0.25">
      <c r="A65" s="280"/>
      <c r="B65" s="184" t="s">
        <v>909</v>
      </c>
    </row>
    <row r="66" spans="1:2" ht="15.75" x14ac:dyDescent="0.25">
      <c r="A66" s="272" t="s">
        <v>960</v>
      </c>
      <c r="B66" s="187" t="s">
        <v>972</v>
      </c>
    </row>
    <row r="67" spans="1:2" ht="15.75" x14ac:dyDescent="0.25">
      <c r="A67" s="281"/>
      <c r="B67" s="184" t="s">
        <v>913</v>
      </c>
    </row>
    <row r="68" spans="1:2" ht="39.950000000000003" customHeight="1" x14ac:dyDescent="0.25">
      <c r="A68" s="281"/>
      <c r="B68" s="184" t="s">
        <v>914</v>
      </c>
    </row>
    <row r="69" spans="1:2" ht="63" x14ac:dyDescent="0.25">
      <c r="A69" s="281"/>
      <c r="B69" s="184" t="s">
        <v>963</v>
      </c>
    </row>
    <row r="70" spans="1:2" ht="31.5" x14ac:dyDescent="0.25">
      <c r="A70" s="273"/>
      <c r="B70" s="184" t="s">
        <v>909</v>
      </c>
    </row>
    <row r="71" spans="1:2" ht="20.45" customHeight="1" x14ac:dyDescent="0.25">
      <c r="A71" s="188" t="s">
        <v>926</v>
      </c>
      <c r="B71" s="187" t="s">
        <v>971</v>
      </c>
    </row>
    <row r="72" spans="1:2" ht="15.75" x14ac:dyDescent="0.25">
      <c r="A72" s="188"/>
      <c r="B72" s="184" t="s">
        <v>915</v>
      </c>
    </row>
    <row r="73" spans="1:2" ht="83.45" customHeight="1" x14ac:dyDescent="0.25">
      <c r="A73" s="189"/>
      <c r="B73" s="186" t="s">
        <v>962</v>
      </c>
    </row>
    <row r="74" spans="1:2" ht="78.75" x14ac:dyDescent="0.25">
      <c r="A74" s="190"/>
      <c r="B74" s="187" t="s">
        <v>923</v>
      </c>
    </row>
    <row r="75" spans="1:2" ht="15.75" x14ac:dyDescent="0.25">
      <c r="A75" s="190"/>
      <c r="B75" s="184" t="s">
        <v>908</v>
      </c>
    </row>
    <row r="76" spans="1:2" ht="31.5" x14ac:dyDescent="0.25">
      <c r="A76" s="190"/>
      <c r="B76" s="184" t="s">
        <v>916</v>
      </c>
    </row>
    <row r="77" spans="1:2" ht="31.5" x14ac:dyDescent="0.25">
      <c r="A77" s="191"/>
      <c r="B77" s="186" t="s">
        <v>924</v>
      </c>
    </row>
    <row r="78" spans="1:2" ht="15.75" x14ac:dyDescent="0.25">
      <c r="A78" s="190" t="s">
        <v>961</v>
      </c>
      <c r="B78" s="187" t="s">
        <v>970</v>
      </c>
    </row>
    <row r="79" spans="1:2" ht="15.75" x14ac:dyDescent="0.25">
      <c r="A79" s="190"/>
      <c r="B79" s="184" t="s">
        <v>915</v>
      </c>
    </row>
    <row r="80" spans="1:2" ht="31.5" x14ac:dyDescent="0.25">
      <c r="A80" s="190"/>
      <c r="B80" s="184" t="s">
        <v>907</v>
      </c>
    </row>
    <row r="81" spans="1:2" ht="15.75" x14ac:dyDescent="0.25">
      <c r="A81" s="190"/>
      <c r="B81" s="184" t="s">
        <v>917</v>
      </c>
    </row>
    <row r="82" spans="1:2" ht="47.25" x14ac:dyDescent="0.25">
      <c r="A82" s="189"/>
      <c r="B82" s="184" t="s">
        <v>918</v>
      </c>
    </row>
    <row r="83" spans="1:2" ht="31.5" x14ac:dyDescent="0.25">
      <c r="A83" s="189"/>
      <c r="B83" s="184" t="s">
        <v>919</v>
      </c>
    </row>
    <row r="84" spans="1:2" ht="15.75" x14ac:dyDescent="0.25">
      <c r="A84" s="189"/>
      <c r="B84" s="184" t="s">
        <v>920</v>
      </c>
    </row>
    <row r="85" spans="1:2" ht="15.75" x14ac:dyDescent="0.25">
      <c r="A85" s="189"/>
      <c r="B85" s="184" t="s">
        <v>908</v>
      </c>
    </row>
    <row r="86" spans="1:2" ht="78.75" x14ac:dyDescent="0.25">
      <c r="A86" s="189"/>
      <c r="B86" s="186" t="s">
        <v>962</v>
      </c>
    </row>
    <row r="87" spans="1:2" ht="31.5" x14ac:dyDescent="0.25">
      <c r="A87" s="192"/>
      <c r="B87" s="184" t="s">
        <v>909</v>
      </c>
    </row>
    <row r="88" spans="1:2" ht="15.6" customHeight="1" x14ac:dyDescent="0.25">
      <c r="A88" s="282" t="s">
        <v>934</v>
      </c>
      <c r="B88" s="193" t="s">
        <v>968</v>
      </c>
    </row>
    <row r="89" spans="1:2" ht="15.75" x14ac:dyDescent="0.25">
      <c r="A89" s="283"/>
      <c r="B89" s="193" t="s">
        <v>969</v>
      </c>
    </row>
    <row r="90" spans="1:2" ht="15.75" x14ac:dyDescent="0.25">
      <c r="A90" s="283"/>
      <c r="B90" s="194" t="s">
        <v>915</v>
      </c>
    </row>
    <row r="91" spans="1:2" ht="15.75" x14ac:dyDescent="0.25">
      <c r="A91" s="283"/>
      <c r="B91" s="193" t="s">
        <v>967</v>
      </c>
    </row>
    <row r="92" spans="1:2" ht="63" x14ac:dyDescent="0.25">
      <c r="A92" s="283"/>
      <c r="B92" s="194" t="s">
        <v>927</v>
      </c>
    </row>
    <row r="93" spans="1:2" ht="31.5" x14ac:dyDescent="0.25">
      <c r="A93" s="283"/>
      <c r="B93" s="194" t="s">
        <v>928</v>
      </c>
    </row>
    <row r="94" spans="1:2" ht="47.25" x14ac:dyDescent="0.25">
      <c r="A94" s="283"/>
      <c r="B94" s="193" t="s">
        <v>966</v>
      </c>
    </row>
    <row r="95" spans="1:2" ht="31.5" x14ac:dyDescent="0.25">
      <c r="A95" s="283"/>
      <c r="B95" s="194" t="s">
        <v>929</v>
      </c>
    </row>
    <row r="96" spans="1:2" ht="141.75" x14ac:dyDescent="0.25">
      <c r="A96" s="283"/>
      <c r="B96" s="193" t="s">
        <v>965</v>
      </c>
    </row>
    <row r="97" spans="1:2" ht="63.75" thickBot="1" x14ac:dyDescent="0.3">
      <c r="A97" s="284"/>
      <c r="B97" s="195" t="s">
        <v>930</v>
      </c>
    </row>
  </sheetData>
  <sheetProtection sheet="1" objects="1" scenarios="1"/>
  <mergeCells count="17">
    <mergeCell ref="A51:A59"/>
    <mergeCell ref="A60:A65"/>
    <mergeCell ref="A66:A70"/>
    <mergeCell ref="A88:A97"/>
    <mergeCell ref="A16:A17"/>
    <mergeCell ref="A48:A50"/>
    <mergeCell ref="A1:D1"/>
    <mergeCell ref="A2:D2"/>
    <mergeCell ref="Y3:AB3"/>
    <mergeCell ref="A18:A19"/>
    <mergeCell ref="A39:A46"/>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42595b092136b02773741809332009bc">
  <xsd:schema xmlns:xsd="http://www.w3.org/2001/XMLSchema" xmlns:xs="http://www.w3.org/2001/XMLSchema" xmlns:p="http://schemas.microsoft.com/office/2006/metadata/properties" xmlns:ns2="4fb1db5d-19c2-4c8a-82e5-c8fdf1b06038" targetNamespace="http://schemas.microsoft.com/office/2006/metadata/properties" ma:root="true" ma:fieldsID="1709c59da27f89f77c362d0f9a22c9b6"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6DC248D8-E86E-4425-860A-D156437490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A08AC0-783C-4C1B-927A-AB27E36B29B1}">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4fb1db5d-19c2-4c8a-82e5-c8fdf1b0603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Jussara Solorzano</cp:lastModifiedBy>
  <cp:lastPrinted>2020-02-10T19:14:43Z</cp:lastPrinted>
  <dcterms:created xsi:type="dcterms:W3CDTF">2020-01-31T18:40:16Z</dcterms:created>
  <dcterms:modified xsi:type="dcterms:W3CDTF">2021-02-22T22:54:01Z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