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fileSharing readOnlyRecommended="1"/>
  <workbookPr defaultThemeVersion="166925"/>
  <mc:AlternateContent xmlns:mc="http://schemas.openxmlformats.org/markup-compatibility/2006">
    <mc:Choice Requires="x15">
      <x15ac:absPath xmlns:x15ac="http://schemas.microsoft.com/office/spreadsheetml/2010/11/ac" url="C:\Users\esolorza\Desktop\Civil Disturbances Special Act Award\"/>
    </mc:Choice>
  </mc:AlternateContent>
  <xr:revisionPtr revIDLastSave="0" documentId="8_{4F488F19-FA8C-47CD-833F-8A99B2102F90}" xr6:coauthVersionLast="44" xr6:coauthVersionMax="44" xr10:uidLastSave="{00000000-0000-0000-0000-000000000000}"/>
  <bookViews>
    <workbookView xWindow="-8400" yWindow="7320" windowWidth="28800" windowHeight="11265" tabRatio="668" xr2:uid="{00000000-000D-0000-FFFF-FFFF00000000}"/>
  </bookViews>
  <sheets>
    <sheet name="Header" sheetId="9" r:id="rId1"/>
    <sheet name="Detention FY20 YTD" sheetId="3" r:id="rId2"/>
    <sheet name="ATD FY20 YTD" sheetId="13" r:id="rId3"/>
    <sheet name="Facilities FY20 YTD" sheetId="14" r:id="rId4"/>
    <sheet name="Footnotes" sheetId="4" r:id="rId5"/>
  </sheets>
  <definedNames>
    <definedName name="_xlnm.Print_Area" localSheetId="1">'Detention FY20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<sst xmlns="http://schemas.openxmlformats.org/spreadsheetml/2006/main" count="2732" uniqueCount="934">
  <si>
    <t>Other</t>
  </si>
  <si>
    <t>Total</t>
  </si>
  <si>
    <t>Order of Recognizance</t>
  </si>
  <si>
    <t>Order of Supervision</t>
  </si>
  <si>
    <t>ATD</t>
  </si>
  <si>
    <t>Male</t>
  </si>
  <si>
    <t>ADELANTO ICE PROCESSING CENTER</t>
  </si>
  <si>
    <t>ALLEN PARISH PUBLIC SAFETY COMPLEX</t>
  </si>
  <si>
    <t>LASALLE CORR CTR OLLA</t>
  </si>
  <si>
    <t>BROWARD TRANSITIONAL CENTER</t>
  </si>
  <si>
    <t>ALEXANDRIA STAGING FACILITY</t>
  </si>
  <si>
    <t>Female</t>
  </si>
  <si>
    <t>CATAHOULA CORRECTIONAL CENTER</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</si>
  <si>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</si>
  <si>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</si>
  <si>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</si>
  <si>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</si>
  <si>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</si>
  <si>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</si>
  <si>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</si>
  <si>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</si>
  <si>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</si>
  <si>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</si>
  <si>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</si>
  <si>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</si>
  <si>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</si>
  <si>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</si>
  <si>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</si>
  <si>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</si>
  <si>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</si>
  <si>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CIBOLA COUNTY CORRECTIONAL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</si>
  <si>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</si>
  <si>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</si>
  <si>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</si>
  <si>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</si>
  <si>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</si>
  <si>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</si>
  <si>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</si>
  <si>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</si>
  <si>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</si>
  <si>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</si>
  <si>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</si>
  <si>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</si>
  <si>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</si>
  <si>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MILAN</t>
  </si>
  <si>
    <t>EDEN</t>
  </si>
  <si>
    <t>MD</t>
  </si>
  <si>
    <t>PINE PRAIRIE ICE PROCESSING CENTER</t>
  </si>
  <si>
    <t>IRWIN COUNTY DETENTION CENTER</t>
  </si>
  <si>
    <t>ALVARADO</t>
  </si>
  <si>
    <t>AURORA</t>
  </si>
  <si>
    <t>PINELLAS COUNTY JAIL</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</si>
  <si>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</si>
  <si>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</si>
  <si>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</si>
  <si>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</si>
  <si>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</si>
  <si>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</si>
  <si>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</si>
  <si>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</si>
  <si>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</si>
  <si>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</si>
  <si>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</si>
  <si>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</si>
  <si>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</si>
  <si>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</si>
  <si>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</si>
  <si>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</si>
  <si>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</si>
  <si>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</si>
  <si>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</si>
  <si>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</si>
  <si>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</si>
  <si>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</si>
  <si>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</si>
  <si>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</si>
  <si>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</si>
  <si>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</si>
  <si>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</si>
  <si>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</si>
  <si>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</si>
  <si>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</si>
  <si>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</si>
  <si>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</si>
  <si>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</si>
  <si>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</si>
  <si>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</si>
  <si>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</si>
  <si>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</si>
  <si>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</si>
  <si>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</si>
  <si>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</si>
  <si>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</si>
  <si>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</si>
  <si>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</si>
  <si>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</si>
  <si>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</si>
  <si>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</si>
  <si>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</si>
  <si>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</si>
  <si>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</si>
  <si>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</si>
  <si>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</si>
  <si>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</si>
  <si>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</si>
  <si>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</si>
  <si>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</si>
  <si>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</si>
  <si>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</si>
  <si>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</si>
  <si>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</si>
  <si>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</si>
  <si>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</si>
  <si>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</si>
  <si>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</si>
  <si>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</si>
  <si>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</si>
  <si>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</si>
  <si>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</si>
  <si>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</si>
  <si>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</si>
  <si>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</si>
  <si>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</si>
  <si>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</si>
  <si>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</si>
  <si>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</si>
  <si>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</si>
  <si>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</si>
  <si>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</si>
  <si>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</si>
  <si>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</si>
  <si>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</si>
  <si>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</si>
  <si>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</si>
  <si>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</si>
  <si>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</si>
  <si>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FY2020</t>
  </si>
  <si>
    <t>Criminality</t>
  </si>
  <si>
    <t>Percent ICE</t>
  </si>
  <si>
    <t>Percent CBP</t>
  </si>
  <si>
    <t>Other Immigration Violator</t>
  </si>
  <si>
    <t>Expedited Removal (I-860)</t>
  </si>
  <si>
    <t>Notice to Appear (I-862)</t>
  </si>
  <si>
    <t>Reinstatement of Deport Order (I-871)</t>
  </si>
  <si>
    <t>ICE Initial Book-Ins by Arresting Agency and Month: FY2020 YTD</t>
  </si>
  <si>
    <t>Agency</t>
  </si>
  <si>
    <t>Oct</t>
  </si>
  <si>
    <t>Nov</t>
  </si>
  <si>
    <t>Dec</t>
  </si>
  <si>
    <t>Jan</t>
  </si>
  <si>
    <t>Feb</t>
  </si>
  <si>
    <t>Mar</t>
  </si>
  <si>
    <t>Apr</t>
  </si>
  <si>
    <t>May</t>
  </si>
  <si>
    <t>Jun</t>
  </si>
  <si>
    <t>ICE Removals: FY2020 YTD</t>
  </si>
  <si>
    <t>Removals</t>
  </si>
  <si>
    <t>Jul</t>
  </si>
  <si>
    <t>Aug</t>
  </si>
  <si>
    <t>Sep</t>
  </si>
  <si>
    <t>Release Reason</t>
  </si>
  <si>
    <t>ICE Final Releases by Facility Type: FY2020 YTD</t>
  </si>
  <si>
    <t>Facility Type</t>
  </si>
  <si>
    <t>ICE Average Daily Population by Arresting Agency, Month and Criminality: FY2020 YTD</t>
  </si>
  <si>
    <t>CBP Average</t>
  </si>
  <si>
    <t xml:space="preserve">ICE Average  </t>
  </si>
  <si>
    <t xml:space="preserve">Average </t>
  </si>
  <si>
    <t>FY Overall</t>
  </si>
  <si>
    <t>ICE Average Length of Stay by Arresting Agency, Month and Criminality: FY2020 YTD</t>
  </si>
  <si>
    <t>ICE Average Daily Population by Facility Type and Month: FY2020 YTD</t>
  </si>
  <si>
    <t>ICE Average Length of Stay by Facility Type and Month: FY2020 YTD</t>
  </si>
  <si>
    <t>Facility Information</t>
  </si>
  <si>
    <t>Facility Average Length of Stay</t>
  </si>
  <si>
    <t>FY20 ADP: Detainee Classification Level</t>
  </si>
  <si>
    <t>FY20 ADP: Criminality</t>
  </si>
  <si>
    <t>FY20 ADP: ICE Threat Level</t>
  </si>
  <si>
    <t>FY20 ADP: Mandatory</t>
  </si>
  <si>
    <t>Contract Facility Inspections Information</t>
  </si>
  <si>
    <t>Name</t>
  </si>
  <si>
    <t>Address</t>
  </si>
  <si>
    <t>City</t>
  </si>
  <si>
    <t>State</t>
  </si>
  <si>
    <t>Zip</t>
  </si>
  <si>
    <t>Type Detailed</t>
  </si>
  <si>
    <t>FY20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</si>
  <si>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</si>
  <si>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</si>
  <si>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</si>
  <si>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</si>
  <si>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</si>
  <si>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</si>
  <si>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</si>
  <si>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</si>
  <si>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</si>
  <si>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</si>
  <si>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</si>
  <si>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</si>
  <si>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</si>
  <si>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</si>
  <si>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</si>
  <si>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</si>
  <si>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</si>
  <si>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</si>
  <si>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</si>
  <si>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</si>
  <si>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</si>
  <si>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</si>
  <si>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</si>
  <si>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</si>
  <si>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</si>
  <si>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</si>
  <si>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</si>
  <si>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</si>
  <si>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</si>
  <si>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</si>
  <si>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</si>
  <si>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</si>
  <si>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</si>
  <si>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</si>
  <si>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5/9/2019</t>
  </si>
  <si>
    <t>566 VETERANS DRIVE</t>
  </si>
  <si>
    <t>PEARSALL</t>
  </si>
  <si>
    <t>TX</t>
  </si>
  <si>
    <t>SNA</t>
  </si>
  <si>
    <t>CDF</t>
  </si>
  <si>
    <t>SOUTH TEXAS FAMILY RESIDENTIAL CENTER</t>
  </si>
  <si>
    <t>1925 WEST HIGHWAY 85</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</si>
  <si>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</si>
  <si>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</si>
  <si>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</si>
  <si>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</si>
  <si>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</si>
  <si>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</si>
  <si>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</si>
  <si>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</si>
  <si>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</si>
  <si>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</si>
  <si>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</si>
  <si>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</si>
  <si>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</si>
  <si>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</si>
  <si>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</si>
  <si>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</si>
  <si>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</si>
  <si>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</si>
  <si>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</si>
  <si>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</si>
  <si>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</si>
  <si>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</si>
  <si>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</si>
  <si>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</si>
  <si>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</si>
  <si>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</si>
  <si>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</si>
  <si>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</si>
  <si>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</si>
  <si>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</si>
  <si>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</si>
  <si>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</si>
  <si>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</si>
  <si>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</si>
  <si>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</si>
  <si>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</si>
  <si>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</si>
  <si>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</si>
  <si>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</si>
  <si>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</si>
  <si>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</si>
  <si>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</si>
  <si>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</si>
  <si>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</si>
  <si>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</si>
  <si>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</si>
  <si>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</si>
  <si>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</si>
  <si>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</si>
  <si>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</si>
  <si>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</si>
  <si>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</si>
  <si>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</si>
  <si>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</si>
  <si>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</si>
  <si>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</si>
  <si>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</si>
  <si>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</si>
  <si>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</si>
  <si>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</si>
  <si>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</si>
  <si>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</si>
  <si>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</si>
  <si>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</si>
  <si>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</si>
  <si>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</si>
  <si>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</si>
  <si>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</si>
  <si>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</si>
  <si>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</si>
  <si>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</si>
  <si>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</si>
  <si>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</si>
  <si>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</si>
  <si>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</si>
  <si>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</si>
  <si>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</si>
  <si>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</si>
  <si>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</si>
  <si>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</si>
  <si>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</si>
  <si>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</si>
  <si>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</si>
  <si>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</si>
  <si>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</si>
  <si>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</si>
  <si>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</si>
  <si>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</si>
  <si>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</si>
  <si>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</si>
  <si>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</si>
  <si>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</si>
  <si>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</si>
  <si>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</si>
  <si>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</si>
  <si>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</si>
  <si>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</si>
  <si>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</si>
  <si>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</si>
  <si>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</si>
  <si>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</si>
  <si>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</si>
  <si>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</si>
  <si>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</si>
  <si>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</si>
  <si>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</si>
  <si>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</si>
  <si>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</si>
  <si>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</si>
  <si>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</si>
  <si>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</si>
  <si>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6/6/2019</t>
  </si>
  <si>
    <t>3900 NORTH POWERLINE ROAD</t>
  </si>
  <si>
    <t>POMPANO BEACH</t>
  </si>
  <si>
    <t>10/31/2019</t>
  </si>
  <si>
    <t>499 OLD COLUMBIA ROAD</t>
  </si>
  <si>
    <t>HARRISONBURG</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</si>
  <si>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</si>
  <si>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</si>
  <si>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</si>
  <si>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</si>
  <si>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</si>
  <si>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</si>
  <si>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</si>
  <si>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</si>
  <si>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</si>
  <si>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</si>
  <si>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</si>
  <si>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</si>
  <si>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</si>
  <si>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</si>
  <si>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15976 HWY 165</t>
  </si>
  <si>
    <t>OLLA</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</si>
  <si>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</si>
  <si>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</si>
  <si>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</si>
  <si>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</si>
  <si>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</si>
  <si>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</si>
  <si>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</si>
  <si>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</si>
  <si>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</si>
  <si>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</si>
  <si>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</si>
  <si>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</si>
  <si>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</si>
  <si>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</si>
  <si>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</si>
  <si>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</si>
  <si>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</si>
  <si>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</si>
  <si>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</si>
  <si>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</si>
  <si>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</si>
  <si>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</si>
  <si>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</si>
  <si>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</si>
  <si>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</si>
  <si>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</si>
  <si>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</si>
  <si>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</si>
  <si>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</si>
  <si>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</si>
  <si>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</si>
  <si>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</si>
  <si>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</si>
  <si>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</si>
  <si>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</si>
  <si>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</si>
  <si>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</si>
  <si>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</si>
  <si>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</si>
  <si>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</si>
  <si>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</si>
  <si>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</si>
  <si>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</si>
  <si>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</si>
  <si>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</si>
  <si>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</si>
  <si>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</si>
  <si>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</si>
  <si>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</si>
  <si>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</si>
  <si>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</si>
  <si>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</si>
  <si>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</si>
  <si>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</si>
  <si>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</si>
  <si>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</si>
  <si>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</si>
  <si>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</si>
  <si>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</si>
  <si>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</si>
  <si>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</si>
  <si>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</si>
  <si>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</si>
  <si>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</si>
  <si>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</si>
  <si>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</si>
  <si>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</si>
  <si>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</si>
  <si>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</si>
  <si>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</si>
  <si>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</si>
  <si>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</si>
  <si>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</si>
  <si>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9/19/2019</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</si>
  <si>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</si>
  <si>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</si>
  <si>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</si>
  <si>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</si>
  <si>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</si>
  <si>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</si>
  <si>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</si>
  <si>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</si>
  <si>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</si>
  <si>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</si>
  <si>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</si>
  <si>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</si>
  <si>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</si>
  <si>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</si>
  <si>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FM 1144 AT US HIGHWAY 181</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</si>
  <si>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</si>
  <si>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</si>
  <si>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</si>
  <si>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</si>
  <si>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</si>
  <si>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</si>
  <si>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</si>
  <si>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</si>
  <si>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</si>
  <si>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</si>
  <si>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</si>
  <si>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</si>
  <si>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</si>
  <si>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</si>
  <si>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</si>
  <si>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</si>
  <si>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</si>
  <si>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</si>
  <si>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</si>
  <si>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</si>
  <si>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</si>
  <si>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</si>
  <si>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</si>
  <si>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</si>
  <si>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</si>
  <si>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</si>
  <si>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</si>
  <si>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</si>
  <si>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</si>
  <si>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</si>
  <si>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</si>
  <si>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</si>
  <si>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</si>
  <si>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</si>
  <si>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</si>
  <si>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</si>
  <si>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</si>
  <si>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</si>
  <si>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</si>
  <si>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</si>
  <si>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</si>
  <si>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</si>
  <si>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</si>
  <si>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</si>
  <si>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</si>
  <si>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</si>
  <si>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</si>
  <si>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2000 CIBOLA LOOP</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</si>
  <si>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</si>
  <si>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</si>
  <si>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</si>
  <si>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</si>
  <si>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</si>
  <si>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</si>
  <si>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</si>
  <si>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</si>
  <si>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</si>
  <si>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</si>
  <si>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</si>
  <si>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</si>
  <si>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</si>
  <si>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</si>
  <si>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8/8/2019</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</si>
  <si>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</si>
  <si>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</si>
  <si>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</si>
  <si>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</si>
  <si>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</si>
  <si>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</si>
  <si>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</si>
  <si>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</si>
  <si>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</si>
  <si>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</si>
  <si>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</si>
  <si>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</si>
  <si>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</si>
  <si>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</si>
  <si>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</si>
  <si>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</si>
  <si>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</si>
  <si>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</si>
  <si>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</si>
  <si>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</si>
  <si>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</si>
  <si>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</si>
  <si>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</si>
  <si>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</si>
  <si>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</si>
  <si>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</si>
  <si>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</si>
  <si>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</si>
  <si>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</si>
  <si>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</si>
  <si>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</si>
  <si>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</si>
  <si>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</si>
  <si>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</si>
  <si>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</si>
  <si>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</si>
  <si>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</si>
  <si>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</si>
  <si>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</si>
  <si>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</si>
  <si>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</si>
  <si>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</si>
  <si>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</si>
  <si>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</si>
  <si>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</si>
  <si>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</si>
  <si>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</si>
  <si>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</si>
  <si>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</si>
  <si>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</si>
  <si>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</si>
  <si>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</si>
  <si>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</si>
  <si>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</si>
  <si>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</si>
  <si>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</si>
  <si>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</si>
  <si>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</si>
  <si>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</si>
  <si>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</si>
  <si>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</si>
  <si>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</si>
  <si>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</si>
  <si>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</si>
  <si>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</si>
  <si>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</si>
  <si>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</si>
  <si>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</si>
  <si>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</si>
  <si>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</si>
  <si>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</si>
  <si>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</si>
  <si>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</si>
  <si>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</si>
  <si>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</si>
  <si>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</si>
  <si>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</si>
  <si>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</si>
  <si>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</si>
  <si>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</si>
  <si>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</si>
  <si>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</si>
  <si>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</si>
  <si>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</si>
  <si>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</si>
  <si>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</si>
  <si>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</si>
  <si>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</si>
  <si>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</si>
  <si>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</si>
  <si>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</si>
  <si>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</si>
  <si>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</si>
  <si>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</si>
  <si>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</si>
  <si>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</si>
  <si>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</si>
  <si>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</si>
  <si>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</si>
  <si>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</si>
  <si>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</si>
  <si>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</si>
  <si>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</si>
  <si>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</si>
  <si>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</si>
  <si>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</si>
  <si>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8/30/2018</t>
  </si>
  <si>
    <t>CHARLESTON COUNTY DETENTION CENTER</t>
  </si>
  <si>
    <t>3841 LEEDS AVENUE</t>
  </si>
  <si>
    <t>NORTH CHARLESTON</t>
  </si>
  <si>
    <t>SC</t>
  </si>
  <si>
    <t>CHRISTIAN COUNTY JAIL</t>
  </si>
  <si>
    <t>110 WEST ELM</t>
  </si>
  <si>
    <t>OZARK</t>
  </si>
  <si>
    <t>5/24/2018</t>
  </si>
  <si>
    <t>DOUGLAS COUNTY DEPARTMENT OF CORRECTIONS</t>
  </si>
  <si>
    <t>710 SOUTH 17TH ST</t>
  </si>
  <si>
    <t>OMAHA</t>
  </si>
  <si>
    <t>DEKALB COUNTY DETENTION CENTER</t>
  </si>
  <si>
    <t>2801 JORDAN ROAD</t>
  </si>
  <si>
    <t>FORT PAYNE</t>
  </si>
  <si>
    <t>CBP CHULA VISTA BPS</t>
  </si>
  <si>
    <t>311 ATHEY AVE</t>
  </si>
  <si>
    <t>PLATTE COUNTY DETENTION CENTER</t>
  </si>
  <si>
    <t>415 THIRD STREET</t>
  </si>
  <si>
    <t>PLATTE CITY</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</si>
  <si>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</si>
  <si>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</si>
  <si>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</si>
  <si>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</si>
  <si>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</si>
  <si>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</si>
  <si>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</si>
  <si>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</si>
  <si>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</si>
  <si>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</si>
  <si>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</si>
  <si>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</si>
  <si>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750 SOUTH 5400 WEST</t>
  </si>
  <si>
    <t>HURRICANE</t>
  </si>
  <si>
    <t>9/15/2018</t>
  </si>
  <si>
    <t>HWY 28 INTSECT OF ROAD 165</t>
  </si>
  <si>
    <t>SAN JUAN</t>
  </si>
  <si>
    <t>PR</t>
  </si>
  <si>
    <t>5/8/2008</t>
  </si>
  <si>
    <t>SAIPAN DEPARTMENT OF CORRECTIONS (SUSUPE)</t>
  </si>
  <si>
    <t>TEKKEN ST., SUSUPE VILLAGE</t>
  </si>
  <si>
    <t>SAIPAN</t>
  </si>
  <si>
    <t>MP</t>
  </si>
  <si>
    <t>LINCOLN COUNTY DETENTION CENTER</t>
  </si>
  <si>
    <t>65 BUSINESS PARK DRIVE</t>
  </si>
  <si>
    <t>TROY</t>
  </si>
  <si>
    <t>9/19/2018</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</si>
  <si>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</si>
  <si>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</si>
  <si>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</si>
  <si>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</si>
  <si>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</si>
  <si>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</si>
  <si>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</si>
  <si>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</si>
  <si>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</si>
  <si>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</si>
  <si>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</si>
  <si>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</si>
  <si>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</si>
  <si>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</si>
  <si>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</si>
  <si>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</si>
  <si>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MINICASSIA DETENTION CENTER</t>
  </si>
  <si>
    <t>1415 ALBION AVENUE</t>
  </si>
  <si>
    <t>BURLEY</t>
  </si>
  <si>
    <t>ID</t>
  </si>
  <si>
    <t>9/17/2018</t>
  </si>
  <si>
    <t>MADISON COUNTY JAIL</t>
  </si>
  <si>
    <t>2935 HIGHWAY 51</t>
  </si>
  <si>
    <t>CANTON</t>
  </si>
  <si>
    <t>9/27/2018</t>
  </si>
  <si>
    <t>Good</t>
  </si>
  <si>
    <t>COWLITZ COUNTY JUVENILE</t>
  </si>
  <si>
    <t>1725 1ST AVE.</t>
  </si>
  <si>
    <t>LONGVIEW</t>
  </si>
  <si>
    <t>JUVENILE</t>
  </si>
  <si>
    <t>JFRMU Juvenile</t>
  </si>
  <si>
    <t>OLDHAM COUNTY JAIL</t>
  </si>
  <si>
    <t>100 W MAIN STREET</t>
  </si>
  <si>
    <t>LA GRANGE</t>
  </si>
  <si>
    <t>8/16/2018</t>
  </si>
  <si>
    <t>RENSSELAER COUNTY CORRECTIONAL FACILITY</t>
  </si>
  <si>
    <t>4000 MAIN STREET</t>
  </si>
  <si>
    <t>WASHINGTON COUNTY DETENTION CENTER</t>
  </si>
  <si>
    <t>1155 WEST CLYDESDALE DRIVE</t>
  </si>
  <si>
    <t>FAYETTEVILLE</t>
  </si>
  <si>
    <t>AR</t>
  </si>
  <si>
    <t>9/18/2018</t>
  </si>
  <si>
    <t>EAST HIDALGO DETENTION CENTER</t>
  </si>
  <si>
    <t>1330 HIGHWAY 107</t>
  </si>
  <si>
    <t>LA VILLA</t>
  </si>
  <si>
    <t>9/6/2019</t>
  </si>
  <si>
    <t>DAKOTA COUNTY JAIL</t>
  </si>
  <si>
    <t>1601 BROADWAY</t>
  </si>
  <si>
    <t>DAKOTA CITY</t>
  </si>
  <si>
    <t>9/24/2018</t>
  </si>
  <si>
    <t>10/16/2018</t>
  </si>
  <si>
    <t>CHAUTAUQUA COUNTY JAIL</t>
  </si>
  <si>
    <t>15 E. CHAUTAUQUA STREET</t>
  </si>
  <si>
    <t>MAYVILLE</t>
  </si>
  <si>
    <t>9/25/2018</t>
  </si>
  <si>
    <t>LONOKE POLICE DEPARTMENT</t>
  </si>
  <si>
    <t>203 W. FRONT STREET</t>
  </si>
  <si>
    <t>LONOKE</t>
  </si>
  <si>
    <t>PLATTE COUNTY JAIL</t>
  </si>
  <si>
    <t>850 MAPLE STREET</t>
  </si>
  <si>
    <t>WHEATLAND</t>
  </si>
  <si>
    <t>WY</t>
  </si>
  <si>
    <t>VAL VERDE CORRECTIONAL FACILITY</t>
  </si>
  <si>
    <t>253 FARM TO MARKET 2523</t>
  </si>
  <si>
    <t>DEL RIO</t>
  </si>
  <si>
    <t>HENDERSON COUNTY JAIL</t>
  </si>
  <si>
    <t>206-A N MURCHISON STREET</t>
  </si>
  <si>
    <t>ATHENS</t>
  </si>
  <si>
    <t xml:space="preserve">ICE confirms the integrity of the data as published on this site and cannot attest to subsequent transmissions.  Data fluctuate until “locked” at the conclusion of the fiscal year. </t>
  </si>
  <si>
    <t>FAMU Status</t>
  </si>
  <si>
    <t>Count</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</si>
  <si>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</si>
  <si>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</si>
  <si>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</si>
  <si>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</si>
  <si>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</si>
  <si>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</si>
  <si>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</si>
  <si>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</si>
  <si>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</si>
  <si>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</si>
  <si>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</si>
  <si>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</si>
  <si>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</si>
  <si>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</si>
  <si>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</si>
  <si>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</si>
  <si>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</si>
  <si>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</si>
  <si>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</si>
  <si>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</si>
  <si>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</si>
  <si>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</si>
  <si>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</si>
  <si>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</si>
  <si>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</si>
  <si>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</si>
  <si>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</si>
  <si>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</si>
  <si>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</si>
  <si>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ATD Active Population by Status, Extended Case Management Service, Count and ALIP, FY2020 YTD</t>
  </si>
  <si>
    <t>ICE Enforcement and Removal Operations Data, FY2020 YTD</t>
  </si>
  <si>
    <t xml:space="preserve">ICE  provides the following Detention and Alternatives to Detention (ATD) statistics, which may be downloaded by clicking below. The data tables are searchable and sortable, and worksheets are protected to ensure their accuracy and reliability. </t>
  </si>
  <si>
    <t>ICE DETENTION DATA, FY20 YTD</t>
  </si>
  <si>
    <t>ICE FACILITIES DATA, FY20 YTD</t>
  </si>
  <si>
    <t>ICE FOOTNOTES</t>
  </si>
  <si>
    <t>Bonded Out</t>
  </si>
  <si>
    <t>Bond Set by ICE</t>
  </si>
  <si>
    <t>Bond Set by IJ</t>
  </si>
  <si>
    <t>Order of supervision</t>
  </si>
  <si>
    <t>Paroled</t>
  </si>
  <si>
    <t>Prosecutorial Discretion</t>
  </si>
  <si>
    <t>ICE Final Releases by Release Reason and Criminality: FY20 YTD</t>
  </si>
  <si>
    <t>AOR/Technology</t>
  </si>
  <si>
    <t>Average Length in Program</t>
  </si>
  <si>
    <t>ICE ALTERNATIVES TO DETENTION DATA, FY20 YTD</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</si>
  <si>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</si>
  <si>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</si>
  <si>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</si>
  <si>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</si>
  <si>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</si>
  <si>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</si>
  <si>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</si>
  <si>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</si>
  <si>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</si>
  <si>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</si>
  <si>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</si>
  <si>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</si>
  <si>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</si>
  <si>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</si>
  <si>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</si>
  <si>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</si>
  <si>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</si>
  <si>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</si>
  <si>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</si>
  <si>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</si>
  <si>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</si>
  <si>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</si>
  <si>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</si>
  <si>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</si>
  <si>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</si>
  <si>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</si>
  <si>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ICE Initial Book-Ins by Facility Type and Criminality: FY2020 YTD</t>
  </si>
  <si>
    <t>Removals with an FRC Detention</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</si>
  <si>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</si>
  <si>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</si>
  <si>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</si>
  <si>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</si>
  <si>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ADP by Arresting Agency, Month and Criminality : FY2020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</si>
  <si>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FY2020 ICE Average Daily Population and ICE Average Length of Stay</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</si>
  <si>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</si>
  <si>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</si>
  <si>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Final Releases</t>
  </si>
  <si>
    <t>FY2020 ICE Removals</t>
  </si>
  <si>
    <t>ICE Currently Detained Population Breakdown</t>
  </si>
  <si>
    <t>FY2020 ICE Initial Book-Ins</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</si>
  <si>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</si>
  <si>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</si>
  <si>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</si>
  <si>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</si>
  <si>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</si>
  <si>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</si>
  <si>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</si>
  <si>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</si>
  <si>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</si>
  <si>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</si>
  <si>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FY2020 ICE Detention data is filtered through 08/29/2020 (IIDS v.1.34 run date 08/31/2020; EID as of 08/29/2020).</t>
  </si>
  <si>
    <t>FY2020 ICE Final Releases data is filtered through 08/29/2020 (IIDS v.1.34 run date 08/31/2020; EID as of 08/29/2020).</t>
  </si>
  <si>
    <t>FY2020 ICE Removals data is filtered through 08/29/2020 (IIDS v.1.34 run date 08/31/2020; EID as of 08/29/2020).</t>
  </si>
  <si>
    <t>ICE National Docket data are a snapshot as of 08/29/2020 (IIDS v.1.34 run date 08/31/2020; EID as of 08/29/2020).</t>
  </si>
  <si>
    <t>Aliens Currently in ICE Detention Facilities data are a snapshot as of 08/29/2020 (IIDS v1.34 run date 08/31/2020; EID as of 08/29/2020).</t>
  </si>
  <si>
    <t>FY2020 YTD ICE Releases data are updated through 08/29/2020 (IIDS v1.34 run date 08/31/2020; EID as of 08/29/2020)</t>
  </si>
  <si>
    <t>USCIS provided data containing APSO (Asylum Pre Screening Officer) cases clocked during FY2018 - FY2020 YTD.  Data were received on 08/31/2020.</t>
  </si>
  <si>
    <t xml:space="preserve">Of the 266,613 records in the USCIS provided data the breakdown of the fear screening determinations is as follows; 168,629 positive fear screening determinations, 52,757 negative fear screening determinations and 45,227 without an identified determination. Of the 168,629 with positive fear screening determinations; 116,424 have Persecution Claim Established and 52,205 have Torture Claim Established. 		</t>
  </si>
  <si>
    <t>The data provided by USCIS contains multiple records for some Alien File Numbers.  There are 265,539 unique Alien File Numbers and 2,435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</si>
  <si>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VoiceID</t>
  </si>
  <si>
    <t>WashingtonDC</t>
  </si>
  <si>
    <t>Active ATD Participants and Average Length in Program, FY20 YTD,  as of 8/29/2020, by AOR and Technology</t>
  </si>
  <si>
    <t>FAMU apprehensions represent all OBP apprehensions of adults (18 and older) with a FAMU classification that were subsequently enrolled into ATD</t>
  </si>
  <si>
    <t>*FAMU Data as of 7/31/2020 and bounced against 8/29/2020 BI Inc. Participants Report</t>
  </si>
  <si>
    <t>USBP Data 10/1/2013 - 7/31/2020</t>
  </si>
  <si>
    <t>Data from BI Inc. Participants Report, 8/29/2020</t>
  </si>
  <si>
    <t>FAMU*</t>
  </si>
  <si>
    <t>EDINBURG</t>
  </si>
  <si>
    <t>3100 SOUTH HWY 281</t>
  </si>
  <si>
    <t>HIDALGO COUNTY JAIL</t>
  </si>
  <si>
    <t>27991 BUENA VISTA BLVD</t>
  </si>
  <si>
    <t>RIO GRANDE VALLEY STAGING</t>
  </si>
  <si>
    <t>NATIONAL CITY</t>
  </si>
  <si>
    <t>800 BAY MARINA DR</t>
  </si>
  <si>
    <t>BEST WESTERN MARINA</t>
  </si>
  <si>
    <t>6/15/2006</t>
  </si>
  <si>
    <t>GARDEN CITY</t>
  </si>
  <si>
    <t>304 N. 9TH STREET</t>
  </si>
  <si>
    <t>FINNEY COUNTY JAIL</t>
  </si>
  <si>
    <t>MISSION</t>
  </si>
  <si>
    <t>609 E EXPRESSWAY 83</t>
  </si>
  <si>
    <t>SURESTAY HOTEL BEST WEST</t>
  </si>
  <si>
    <t>MCALLEN</t>
  </si>
  <si>
    <t>300 E EXPRESSWAY 83</t>
  </si>
  <si>
    <t>BEST WEST ROSE GRDN I&amp;S</t>
  </si>
  <si>
    <t>1770 AIRWAY BLVD</t>
  </si>
  <si>
    <t>RADISSON HTL ELP AIRPORT</t>
  </si>
  <si>
    <t>CASPER</t>
  </si>
  <si>
    <t>1100 BRUCE LANE</t>
  </si>
  <si>
    <t>NATRONA COUNTY JAIL</t>
  </si>
  <si>
    <t>OREGON</t>
  </si>
  <si>
    <t>103 JEFFERSON STREET</t>
  </si>
  <si>
    <t>OGLE COUNTY JAIL</t>
  </si>
  <si>
    <t>9/27/2017</t>
  </si>
  <si>
    <t>25 SOUTH LIBERTY STREET</t>
  </si>
  <si>
    <t>ROCKINGHAM COUNTY JAIL</t>
  </si>
  <si>
    <t>FT. WAYNE</t>
  </si>
  <si>
    <t>417 S. CALHOUN</t>
  </si>
  <si>
    <t>ALLEN COUNTY JAIL</t>
  </si>
  <si>
    <t>9/5/2017</t>
  </si>
  <si>
    <t>CALDWELL</t>
  </si>
  <si>
    <t>1115 ALBANY</t>
  </si>
  <si>
    <t>DALE G. HAILE DETENTION CENTER</t>
  </si>
  <si>
    <t>LUBBOCK</t>
  </si>
  <si>
    <t>811 MAIN STREET</t>
  </si>
  <si>
    <t>LUBBOCK COUNTY DETENTION CENTER</t>
  </si>
  <si>
    <t>BAY ST. LOUIS</t>
  </si>
  <si>
    <t>8450 HIGHWAY 90</t>
  </si>
  <si>
    <t>HANCOCK CO PUB SFTY CPLX</t>
  </si>
  <si>
    <t>9/21/2017</t>
  </si>
  <si>
    <t>WAVERLY</t>
  </si>
  <si>
    <t>111 4TH STREET NE</t>
  </si>
  <si>
    <t>BREMER COUNTY JAIL</t>
  </si>
  <si>
    <t>WORTHINGTON</t>
  </si>
  <si>
    <t>1530 AIRPORT ROAD</t>
  </si>
  <si>
    <t>NOBLES COUNTY JAIL</t>
  </si>
  <si>
    <t>9/5/2018</t>
  </si>
  <si>
    <t>ME</t>
  </si>
  <si>
    <t>PORTLAND</t>
  </si>
  <si>
    <t>50 COUNTY WAY</t>
  </si>
  <si>
    <t>CUMBERLAND COUNTY JAIL</t>
  </si>
  <si>
    <t>9/14/2018</t>
  </si>
  <si>
    <t>EL DORADO</t>
  </si>
  <si>
    <t>701 SE STONE ROAD</t>
  </si>
  <si>
    <t>MARIETTA</t>
  </si>
  <si>
    <t>1825 COUNTY SERVICES PARKWAY</t>
  </si>
  <si>
    <t>COBB COUNTY JAIL</t>
  </si>
  <si>
    <t>ENCINAL</t>
  </si>
  <si>
    <t>832 EAST TEXAS STATE HIGHWAY 44</t>
  </si>
  <si>
    <t>LA SALLE COUNTY REGIONAL DETENTION CENTER</t>
  </si>
  <si>
    <t>MOUNTAIN HOME</t>
  </si>
  <si>
    <t>2255 E. 8TH NORTH</t>
  </si>
  <si>
    <t>ELMORE COUNTY JAIL</t>
  </si>
  <si>
    <t>GUAYNABO</t>
  </si>
  <si>
    <t>651 FEDERAL DRIVE, SUITE 104</t>
  </si>
  <si>
    <t>SAN JUAN STAGING</t>
  </si>
  <si>
    <t>10/25/2018</t>
  </si>
  <si>
    <t>PLATTSBURGH</t>
  </si>
  <si>
    <t>25 MCCARTHY DRIVE</t>
  </si>
  <si>
    <t>CLINTON COUNTY JAIL</t>
  </si>
  <si>
    <t>10/11/2017</t>
  </si>
  <si>
    <t>BEDFORD</t>
  </si>
  <si>
    <t>2121 L DON DODSON DRIVE</t>
  </si>
  <si>
    <t>BEDFORD MUNICIPAL DETENTION CENTER</t>
  </si>
  <si>
    <t>3/5/2020</t>
  </si>
  <si>
    <t>3/12/2020</t>
  </si>
  <si>
    <t>1100 BOWLING ROAD</t>
  </si>
  <si>
    <t>CCA, FLORENCE CORRECTIONAL CENTER</t>
  </si>
  <si>
    <t>500 HILBIG RD</t>
  </si>
  <si>
    <t>JOE CORLEY PROCESSING CTR</t>
  </si>
  <si>
    <t>2/27/2020</t>
  </si>
  <si>
    <t>2/14/2020</t>
  </si>
  <si>
    <t>Source: ICE Integrated Decision Support (IIDS), 08/22/2020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</si>
</sst>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80">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8" fillId="0" borderId="1" xfId="0" applyFont="1" applyBorder="1" applyAlignment="1">
      <alignment horizontal="left" indent="1"/>
    </xf>
    <xf numFmtId="3"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164" fontId="2" fillId="2" borderId="1"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0" fontId="11" fillId="2" borderId="7" xfId="0" applyFont="1" applyFill="1" applyBorder="1" applyAlignment="1">
      <alignment horizontal="lef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29"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2" fillId="2" borderId="1" xfId="0" applyFont="1" applyFill="1" applyBorder="1" applyAlignment="1"/>
    <xf numFmtId="0" fontId="2" fillId="2" borderId="0" xfId="0" applyFont="1" applyFill="1" applyBorder="1" applyAlignment="1"/>
    <xf numFmtId="41" fontId="2" fillId="5" borderId="4" xfId="0" applyNumberFormat="1" applyFont="1" applyFill="1" applyBorder="1" applyAlignment="1">
      <alignment horizontal="right"/>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0" fillId="2" borderId="1" xfId="0" applyFont="1" applyFill="1" applyBorder="1" applyAlignment="1">
      <alignment horizontal="center" vertical="center"/>
    </xf>
    <xf numFmtId="0" fontId="9" fillId="3" borderId="9" xfId="4" applyFont="1" applyFill="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40"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xf numFmtId="165" fontId="8" fillId="0" borderId="1" xfId="0" applyNumberFormat="1" applyFont="1" applyBorder="1"/>
    <xf numFmtId="165" fontId="32" fillId="0" borderId="1" xfId="0" applyNumberFormat="1" applyFont="1" applyBorder="1"/>
    <xf numFmtId="3" fontId="32" fillId="0" borderId="1" xfId="0" applyNumberFormat="1" applyFont="1" applyBorder="1"/>
    <xf numFmtId="0" fontId="32" fillId="0" borderId="1" xfId="0" applyFont="1" applyBorder="1" applyAlignment="1">
      <alignment horizontal="left"/>
    </xf>
    <xf numFmtId="167" fontId="33" fillId="4" borderId="6" xfId="0" applyNumberFormat="1" applyFont="1" applyFill="1" applyBorder="1" applyAlignment="1">
      <alignment horizontal="center"/>
    </xf>
    <xf numFmtId="41" fontId="33" fillId="4" borderId="6" xfId="0" applyNumberFormat="1" applyFont="1" applyFill="1" applyBorder="1" applyAlignment="1">
      <alignment horizontal="center"/>
    </xf>
    <xf numFmtId="0" fontId="32" fillId="4" borderId="40" xfId="0" applyFont="1" applyFill="1" applyBorder="1"/>
    <xf numFmtId="0" fontId="26" fillId="2" borderId="0" xfId="0" applyFont="1" applyFill="1" applyAlignment="1">
      <alignment horizontal="left" vertical="center" wrapText="1"/>
    </xf>
    <xf numFmtId="0" fontId="26" fillId="2" borderId="0" xfId="0" applyFont="1" applyFill="1" applyAlignment="1">
      <alignment horizontal="left" vertical="center" wrapText="1"/>
    </xf>
    <xf numFmtId="0" fontId="27" fillId="2" borderId="0" xfId="0" applyFont="1" applyFill="1" applyAlignment="1">
      <alignment horizontal="left" vertical="center" wrapText="1"/>
    </xf>
    <xf numFmtId="168" fontId="16" fillId="7" borderId="1" xfId="0" applyNumberFormat="1" applyFont="1" applyFill="1" applyBorder="1" applyAlignment="1">
      <alignment vertical="center"/>
    </xf>
    <xf numFmtId="168" fontId="17" fillId="0" borderId="1" xfId="0" applyNumberFormat="1" applyFont="1" applyBorder="1" applyAlignment="1">
      <alignment vertical="center"/>
    </xf>
    <xf numFmtId="0" fontId="26" fillId="2" borderId="0" xfId="0" applyFont="1" applyFill="1" applyAlignment="1">
      <alignment horizontal="left" wrapText="1"/>
    </xf>
    <xf numFmtId="0" fontId="13" fillId="0" borderId="0" xfId="4" applyFont="1" applyAlignment="1">
      <alignment horizontal="left"/>
    </xf>
    <xf numFmtId="3" fontId="9" fillId="3" borderId="0" xfId="1" applyNumberFormat="1" applyFont="1" applyFill="1" applyAlignment="1">
      <alignment horizontal="left" vertical="top" wrapText="1"/>
    </xf>
    <xf numFmtId="3" fontId="9" fillId="3" borderId="0" xfId="1" applyNumberFormat="1" applyFont="1" applyFill="1" applyAlignment="1">
      <alignment vertical="top" wrapText="1"/>
    </xf>
    <xf numFmtId="0" fontId="9" fillId="3" borderId="0" xfId="4" applyFont="1" applyFill="1" applyAlignment="1">
      <alignment horizontal="left" vertical="top" wrapText="1"/>
    </xf>
    <xf numFmtId="0" fontId="9" fillId="3" borderId="0" xfId="4" applyFont="1" applyFill="1" applyAlignment="1">
      <alignment vertical="top" wrapText="1"/>
    </xf>
    <xf numFmtId="3" fontId="9" fillId="3" borderId="0" xfId="1" applyNumberFormat="1" applyFont="1" applyFill="1" applyAlignment="1">
      <alignment horizontal="left" vertical="top" wrapText="1"/>
    </xf>
    <xf numFmtId="0" fontId="9" fillId="3" borderId="0" xfId="4" applyFont="1" applyFill="1" applyAlignment="1">
      <alignment horizontal="left" vertical="top" wrapText="1"/>
    </xf>
    <xf numFmtId="0" fontId="4" fillId="2" borderId="0" xfId="0" applyFont="1" applyFill="1"/>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B3871-2E09-4CA5-B264-7B082A6A6D2D}" name="Table_Facility_List_Staging_8_26_2013.accdb_1143" displayName="Table_Facility_List_Staging_8_26_2013.accdb_1143" ref="A7:AE177" headerRowDxfId="64" dataDxfId="63" headerRowBorderDxfId="61" tableBorderDxfId="62">
  <autoFilter ref="A7:AE177" xr:uid="{0151D4B9-F79D-4B0B-80B1-647B82C802BC}"/>
  <tableColumns count="31">
    <tableColumn id="2" xr3:uid="{00000000-0010-0000-0000-000002000000}" name="Name" dataDxfId="59" totalsRowDxfId="60"/>
    <tableColumn id="3" xr3:uid="{00000000-0010-0000-0000-000003000000}" name="Address" dataDxfId="57" totalsRowDxfId="58"/>
    <tableColumn id="4" xr3:uid="{00000000-0010-0000-0000-000004000000}" name="City" dataDxfId="55" totalsRowDxfId="56"/>
    <tableColumn id="6" xr3:uid="{00000000-0010-0000-0000-000006000000}" name="State" dataDxfId="54"/>
    <tableColumn id="7" xr3:uid="{00000000-0010-0000-0000-000007000000}" name="Zip" dataDxfId="52" totalsRowDxfId="53"/>
    <tableColumn id="9" xr3:uid="{00000000-0010-0000-0000-000009000000}" name="AOR" dataDxfId="50" totalsRowDxfId="51"/>
    <tableColumn id="12" xr3:uid="{00000000-0010-0000-0000-00000C000000}" name="Type Detailed" dataDxfId="48" totalsRowDxfId="49"/>
    <tableColumn id="81" xr3:uid="{00000000-0010-0000-0000-000051000000}" name="Male/Female" dataDxfId="46" totalsRowDxfId="47"/>
    <tableColumn id="43" xr3:uid="{00000000-0010-0000-0000-00002B000000}" name="FY20 ALOS" dataDxfId="44" totalsRowDxfId="45" dataCellStyle="Comma"/>
    <tableColumn id="67" xr3:uid="{00000000-0010-0000-0000-000043000000}" name="Level A" dataDxfId="42" totalsRowDxfId="43"/>
    <tableColumn id="68" xr3:uid="{00000000-0010-0000-0000-000044000000}" name="Level B" dataDxfId="40" totalsRowDxfId="41"/>
    <tableColumn id="69" xr3:uid="{00000000-0010-0000-0000-000045000000}" name="Level C" dataDxfId="38" totalsRowDxfId="39"/>
    <tableColumn id="70" xr3:uid="{00000000-0010-0000-0000-000046000000}" name="Level D" dataDxfId="36" totalsRowDxfId="37"/>
    <tableColumn id="71" xr3:uid="{00000000-0010-0000-0000-000047000000}" name="Male Crim" dataDxfId="34" totalsRowDxfId="35"/>
    <tableColumn id="72" xr3:uid="{00000000-0010-0000-0000-000048000000}" name="Male Non-Crim" dataDxfId="32" totalsRowDxfId="33"/>
    <tableColumn id="73" xr3:uid="{00000000-0010-0000-0000-000049000000}" name="Female Crim" dataDxfId="30" totalsRowDxfId="31"/>
    <tableColumn id="74" xr3:uid="{00000000-0010-0000-0000-00004A000000}" name="Female Non-Crim" dataDxfId="28" totalsRowDxfId="29"/>
    <tableColumn id="75" xr3:uid="{00000000-0010-0000-0000-00004B000000}" name="ICE Threat Level 1" dataDxfId="26" totalsRowDxfId="27"/>
    <tableColumn id="76" xr3:uid="{00000000-0010-0000-0000-00004C000000}" name="ICE Threat Level 2" dataDxfId="24" totalsRowDxfId="25"/>
    <tableColumn id="77" xr3:uid="{00000000-0010-0000-0000-00004D000000}" name="ICE Threat Level 3" dataDxfId="22" totalsRowDxfId="23"/>
    <tableColumn id="78" xr3:uid="{00000000-0010-0000-0000-00004E000000}" name="No ICE Threat Level" dataDxfId="20" totalsRowDxfId="21"/>
    <tableColumn id="79" xr3:uid="{00000000-0010-0000-0000-00004F000000}" name="Mandatory" dataDxfId="18" totalsRowDxfId="19"/>
    <tableColumn id="86" xr3:uid="{00000000-0010-0000-0000-000056000000}" name="Guaranteed Minimum" dataDxfId="16" totalsRowDxfId="17"/>
    <tableColumn id="124" xr3:uid="{00000000-0010-0000-0000-00007C000000}" name="Last Inspection Type" dataDxfId="14" totalsRowDxfId="15"/>
    <tableColumn id="129" xr3:uid="{00000000-0010-0000-0000-000081000000}" name="Last Inspection Standard" dataDxfId="12" totalsRowDxfId="13"/>
    <tableColumn id="93" xr3:uid="{00000000-0010-0000-0000-00005D000000}" name="Last Inspection Rating - Final" dataDxfId="11"/>
    <tableColumn id="95" xr3:uid="{00000000-0010-0000-0000-00005F000000}" name="Last Inspection Date" dataDxfId="9" totalsRowDxfId="10"/>
    <tableColumn id="125" xr3:uid="{00000000-0010-0000-0000-00007D000000}" name="Second to Last Inspection Type" dataDxfId="7" totalsRowDxfId="8"/>
    <tableColumn id="131" xr3:uid="{00000000-0010-0000-0000-000083000000}" name="Second to Last Inspection Standard" dataDxfId="5" totalsRowDxfId="6"/>
    <tableColumn id="5" xr3:uid="{00000000-0010-0000-0000-000005000000}" name="Second to Last Inspection Rating" dataDxfId="3" totalsRowDxfId="4"/>
    <tableColumn id="97" xr3:uid="{00000000-0010-0000-0000-000061000000}" name="Second to Last Inspection Date" dataDxfId="1" totalsRow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election activeCell="A3" sqref="A3"/>
    </sheetView>
  </sheetViews>
  <sheetFormatPr defaultColWidth="0" defaultRowHeight="15" zeroHeight="1" x14ac:dyDescent="0.25"/>
  <cols>
    <col min="1" max="1" width="110.42578125" customWidth="1"/>
    <col min="2" max="16384" width="8.85546875" hidden="1"/>
  </cols>
  <sheetData>
    <row r="1" spans="1:1" ht="119.1" customHeight="1" x14ac:dyDescent="0.25">
      <c r="A1" s="62" t="s">
        <v>761</v>
      </c>
    </row>
    <row r="2" spans="1:1" ht="51.75" customHeight="1" x14ac:dyDescent="0.25">
      <c r="A2" s="61" t="s">
        <v>59</v>
      </c>
    </row>
    <row r="3" spans="1:1" ht="76.349999999999994" customHeight="1" x14ac:dyDescent="0.25">
      <c r="A3" s="61" t="s">
        <v>767</v>
      </c>
    </row>
    <row r="4" spans="1:1" ht="22.5" customHeight="1" x14ac:dyDescent="0.25">
      <c r="A4" s="61" t="s">
        <v>760</v>
      </c>
    </row>
    <row r="5" spans="1:1" ht="36.75" customHeight="1" x14ac:dyDescent="0.25">
      <c r="A5" s="61" t="s">
        <v>733</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5"/>
  <sheetViews>
    <sheetView showGridLines="0" zoomScaleNormal="100" zoomScalePageLayoutView="90" workbookViewId="0">
      <selection activeCell="K11" sqref="K11"/>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188" t="s">
        <v>58</v>
      </c>
      <c r="B1" s="188"/>
      <c r="C1" s="188"/>
      <c r="D1" s="188"/>
      <c r="U1" s="5"/>
    </row>
    <row r="2" spans="1:50" s="1" customFormat="1" ht="45.75" customHeight="1" x14ac:dyDescent="0.2">
      <c r="A2" s="189" t="s">
        <v>59</v>
      </c>
      <c r="B2" s="189"/>
      <c r="C2" s="189"/>
      <c r="D2" s="189"/>
      <c r="E2" s="189"/>
      <c r="F2" s="189"/>
      <c r="G2" s="189"/>
      <c r="H2" s="189"/>
      <c r="I2" s="242"/>
      <c r="J2" s="242"/>
      <c r="K2" s="242"/>
      <c r="L2" s="242"/>
      <c r="M2" s="242"/>
      <c r="N2" s="242"/>
      <c r="O2" s="242"/>
      <c r="P2" s="242"/>
      <c r="Q2" s="66"/>
      <c r="R2" s="66"/>
      <c r="S2" s="66"/>
      <c r="T2" s="66"/>
      <c r="U2" s="66"/>
      <c r="V2" s="65"/>
    </row>
    <row r="3" spans="1:50" ht="31.5" customHeight="1" x14ac:dyDescent="0.25">
      <c r="A3" s="187" t="s">
        <v>768</v>
      </c>
      <c r="B3" s="187"/>
      <c r="C3" s="187"/>
      <c r="D3" s="187"/>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41"/>
      <c r="B4" s="241"/>
      <c r="C4" s="241"/>
      <c r="D4" s="241"/>
      <c r="E4" s="241"/>
      <c r="F4" s="241"/>
      <c r="G4" s="241"/>
      <c r="H4" s="241"/>
      <c r="I4" s="241"/>
      <c r="J4" s="241"/>
      <c r="K4" s="241"/>
      <c r="L4" s="241"/>
      <c r="M4" s="241"/>
      <c r="N4" s="241"/>
      <c r="O4" s="241"/>
      <c r="P4" s="241"/>
      <c r="Q4" s="241"/>
      <c r="R4" s="241"/>
      <c r="S4" s="241"/>
      <c r="T4" s="241"/>
      <c r="U4" s="241"/>
      <c r="V4" s="241"/>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35"/>
      <c r="B6" s="236"/>
      <c r="C6" s="236"/>
      <c r="D6" s="236"/>
      <c r="E6" s="236"/>
      <c r="F6" s="236"/>
      <c r="G6" s="236"/>
      <c r="H6" s="236"/>
      <c r="I6" s="236"/>
      <c r="J6" s="236"/>
      <c r="K6" s="236"/>
      <c r="L6" s="236"/>
      <c r="M6" s="236"/>
      <c r="N6" s="236"/>
      <c r="O6" s="236"/>
      <c r="P6" s="236"/>
      <c r="Q6" s="236"/>
      <c r="R6" s="236"/>
      <c r="S6" s="236"/>
      <c r="T6" s="236"/>
      <c r="U6" s="236"/>
      <c r="V6" s="237"/>
      <c r="W6" s="2"/>
      <c r="X6" s="2"/>
      <c r="Y6" s="2"/>
      <c r="Z6" s="2"/>
    </row>
    <row r="7" spans="1:50" s="8" customFormat="1" ht="16.5" customHeight="1" x14ac:dyDescent="0.2">
      <c r="A7" s="92"/>
      <c r="B7" s="41"/>
      <c r="C7" s="41"/>
      <c r="D7" s="41"/>
      <c r="E7" s="41"/>
      <c r="F7" s="41"/>
      <c r="G7" s="41"/>
      <c r="H7" s="41"/>
      <c r="I7" s="5"/>
      <c r="J7" s="79"/>
      <c r="K7" s="79"/>
      <c r="L7" s="79"/>
      <c r="M7" s="5"/>
      <c r="N7" s="41"/>
      <c r="O7" s="41"/>
      <c r="P7" s="41"/>
      <c r="Q7" s="41"/>
      <c r="R7" s="41"/>
      <c r="S7" s="41"/>
      <c r="T7" s="41"/>
      <c r="U7" s="41"/>
      <c r="V7" s="42"/>
      <c r="W7" s="43"/>
      <c r="X7" s="43"/>
      <c r="Y7" s="43"/>
      <c r="Z7" s="43"/>
    </row>
    <row r="8" spans="1:50" s="81" customFormat="1" ht="30.6" customHeight="1" x14ac:dyDescent="0.2">
      <c r="A8" s="203" t="s">
        <v>828</v>
      </c>
      <c r="B8" s="192"/>
      <c r="C8" s="192"/>
      <c r="D8" s="192"/>
      <c r="E8" s="80"/>
      <c r="F8" s="80"/>
      <c r="G8" s="192" t="s">
        <v>812</v>
      </c>
      <c r="H8" s="192"/>
      <c r="I8" s="192"/>
      <c r="J8" s="192"/>
      <c r="K8" s="192"/>
      <c r="L8" s="93"/>
      <c r="M8" s="192" t="s">
        <v>830</v>
      </c>
      <c r="N8" s="192"/>
      <c r="O8" s="192"/>
      <c r="P8" s="192"/>
      <c r="Q8" s="192"/>
      <c r="R8" s="93"/>
      <c r="S8" s="93"/>
      <c r="T8" s="148"/>
      <c r="U8" s="148"/>
      <c r="V8" s="149"/>
      <c r="W8" s="82"/>
      <c r="X8" s="82"/>
      <c r="Y8" s="82"/>
      <c r="Z8" s="82"/>
    </row>
    <row r="9" spans="1:50" s="8" customFormat="1" ht="28.35" customHeight="1" x14ac:dyDescent="0.2">
      <c r="A9" s="38" t="s">
        <v>806</v>
      </c>
      <c r="B9" s="108" t="s">
        <v>133</v>
      </c>
      <c r="C9" s="108" t="s">
        <v>134</v>
      </c>
      <c r="D9" s="108" t="s">
        <v>1</v>
      </c>
      <c r="E9" s="41"/>
      <c r="F9" s="41"/>
      <c r="G9" s="191" t="s">
        <v>135</v>
      </c>
      <c r="H9" s="191"/>
      <c r="I9" s="88" t="s">
        <v>133</v>
      </c>
      <c r="J9" s="88" t="s">
        <v>134</v>
      </c>
      <c r="K9" s="88" t="s">
        <v>1</v>
      </c>
      <c r="L9" s="5"/>
      <c r="M9" s="191" t="s">
        <v>131</v>
      </c>
      <c r="N9" s="191"/>
      <c r="O9" s="191" t="s">
        <v>132</v>
      </c>
      <c r="P9" s="191"/>
      <c r="Q9" s="191"/>
      <c r="R9" s="41"/>
      <c r="S9" s="41"/>
      <c r="T9" s="41"/>
      <c r="U9" s="49"/>
      <c r="V9" s="47"/>
      <c r="W9" s="43"/>
      <c r="X9" s="43"/>
    </row>
    <row r="10" spans="1:50" s="8" customFormat="1" ht="16.5" customHeight="1" thickBot="1" x14ac:dyDescent="0.25">
      <c r="A10" s="94" t="s">
        <v>1</v>
      </c>
      <c r="B10" s="109">
        <v>229</v>
      </c>
      <c r="C10" s="109">
        <v>20260</v>
      </c>
      <c r="D10" s="109">
        <v>20489</v>
      </c>
      <c r="E10" s="41"/>
      <c r="F10" s="41"/>
      <c r="G10" s="238" t="s">
        <v>136</v>
      </c>
      <c r="H10" s="238"/>
      <c r="I10" s="44">
        <v>13.66</v>
      </c>
      <c r="J10" s="44">
        <v>134.72</v>
      </c>
      <c r="K10" s="44">
        <v>131.18</v>
      </c>
      <c r="L10" s="5"/>
      <c r="M10" s="213" t="s">
        <v>1</v>
      </c>
      <c r="N10" s="213"/>
      <c r="O10" s="240">
        <v>2893</v>
      </c>
      <c r="P10" s="240"/>
      <c r="Q10" s="240"/>
      <c r="R10" s="41"/>
      <c r="S10" s="41"/>
      <c r="T10" s="41"/>
      <c r="U10" s="154"/>
      <c r="V10" s="166"/>
      <c r="W10" s="43"/>
      <c r="X10" s="43"/>
      <c r="Z10" s="150"/>
      <c r="AA10" s="150"/>
    </row>
    <row r="11" spans="1:50" s="8" customFormat="1" ht="13.35" customHeight="1" thickTop="1" x14ac:dyDescent="0.2">
      <c r="A11" s="95" t="s">
        <v>141</v>
      </c>
      <c r="B11" s="110">
        <v>217</v>
      </c>
      <c r="C11" s="110">
        <v>4733</v>
      </c>
      <c r="D11" s="110">
        <v>4950</v>
      </c>
      <c r="E11" s="41"/>
      <c r="F11" s="41"/>
      <c r="G11" s="239"/>
      <c r="H11" s="239"/>
      <c r="I11" s="87"/>
      <c r="J11" s="87"/>
      <c r="K11" s="87"/>
      <c r="L11" s="5"/>
      <c r="M11" s="214" t="s">
        <v>133</v>
      </c>
      <c r="N11" s="214"/>
      <c r="O11" s="196">
        <v>19</v>
      </c>
      <c r="P11" s="196"/>
      <c r="Q11" s="196"/>
      <c r="R11" s="41"/>
      <c r="S11" s="41"/>
      <c r="T11" s="41"/>
      <c r="U11" s="154"/>
      <c r="V11" s="166"/>
      <c r="W11" s="43"/>
      <c r="X11" s="43"/>
      <c r="Z11" s="150"/>
      <c r="AA11" s="150"/>
    </row>
    <row r="12" spans="1:50" s="8" customFormat="1" ht="13.35" customHeight="1" x14ac:dyDescent="0.2">
      <c r="A12" s="96" t="s">
        <v>142</v>
      </c>
      <c r="B12" s="111">
        <v>4</v>
      </c>
      <c r="C12" s="111">
        <v>11510</v>
      </c>
      <c r="D12" s="111">
        <v>11514</v>
      </c>
      <c r="E12" s="41"/>
      <c r="F12" s="41"/>
      <c r="G12" s="5"/>
      <c r="H12" s="5"/>
      <c r="I12" s="5"/>
      <c r="J12" s="5"/>
      <c r="K12" s="5"/>
      <c r="L12" s="5"/>
      <c r="M12" s="215" t="s">
        <v>134</v>
      </c>
      <c r="N12" s="215"/>
      <c r="O12" s="190">
        <v>2874</v>
      </c>
      <c r="P12" s="190"/>
      <c r="Q12" s="190"/>
      <c r="R12" s="41"/>
      <c r="S12" s="41"/>
      <c r="T12" s="41"/>
      <c r="U12" s="154"/>
      <c r="V12" s="166"/>
      <c r="W12" s="43"/>
      <c r="X12" s="43"/>
      <c r="Z12" s="150"/>
      <c r="AA12" s="150"/>
    </row>
    <row r="13" spans="1:50" s="8" customFormat="1" ht="13.35" customHeight="1" x14ac:dyDescent="0.2">
      <c r="A13" s="96" t="s">
        <v>143</v>
      </c>
      <c r="B13" s="111">
        <v>2</v>
      </c>
      <c r="C13" s="111">
        <v>2892</v>
      </c>
      <c r="D13" s="111">
        <v>2894</v>
      </c>
      <c r="E13" s="41"/>
      <c r="F13" s="41"/>
      <c r="G13" s="41"/>
      <c r="H13" s="41"/>
      <c r="I13" s="41"/>
      <c r="J13" s="41"/>
      <c r="K13" s="41"/>
      <c r="L13" s="5"/>
      <c r="M13" s="5"/>
      <c r="N13" s="5"/>
      <c r="O13" s="5"/>
      <c r="P13" s="5"/>
      <c r="Q13" s="5"/>
      <c r="R13" s="41"/>
      <c r="S13" s="41"/>
      <c r="T13" s="41"/>
      <c r="U13" s="154"/>
      <c r="V13" s="166"/>
      <c r="W13" s="43"/>
      <c r="X13" s="43"/>
      <c r="Z13" s="150"/>
      <c r="AA13" s="150"/>
    </row>
    <row r="14" spans="1:50" s="8" customFormat="1" ht="13.35" customHeight="1" x14ac:dyDescent="0.2">
      <c r="A14" s="96" t="s">
        <v>0</v>
      </c>
      <c r="B14" s="111">
        <v>6</v>
      </c>
      <c r="C14" s="111">
        <v>1125</v>
      </c>
      <c r="D14" s="111">
        <v>1131</v>
      </c>
      <c r="E14" s="41"/>
      <c r="F14" s="41"/>
      <c r="G14" s="41"/>
      <c r="H14" s="41"/>
      <c r="I14" s="41"/>
      <c r="J14" s="41"/>
      <c r="K14" s="41"/>
      <c r="L14" s="41"/>
      <c r="M14" s="41"/>
      <c r="N14" s="41"/>
      <c r="O14" s="41"/>
      <c r="P14" s="41"/>
      <c r="Q14" s="41"/>
      <c r="R14" s="41"/>
      <c r="S14" s="41"/>
      <c r="T14" s="41"/>
      <c r="U14" s="154"/>
      <c r="V14" s="166"/>
      <c r="W14" s="43"/>
      <c r="X14" s="43"/>
      <c r="Z14" s="150"/>
      <c r="AA14" s="150"/>
    </row>
    <row r="15" spans="1:50" s="8" customFormat="1" ht="16.5" customHeight="1" x14ac:dyDescent="0.2">
      <c r="A15" s="97"/>
      <c r="B15" s="45"/>
      <c r="C15" s="45"/>
      <c r="D15" s="45"/>
      <c r="E15" s="45"/>
      <c r="F15" s="45"/>
      <c r="G15" s="41"/>
      <c r="H15" s="41"/>
      <c r="I15" s="41"/>
      <c r="J15" s="41"/>
      <c r="K15" s="41"/>
      <c r="L15" s="41"/>
      <c r="M15" s="41"/>
      <c r="N15" s="41"/>
      <c r="O15" s="41"/>
      <c r="P15" s="41"/>
      <c r="Q15" s="41"/>
      <c r="R15" s="41"/>
      <c r="S15" s="41"/>
      <c r="T15" s="41"/>
      <c r="U15" s="41"/>
      <c r="V15" s="42"/>
      <c r="W15" s="43"/>
      <c r="X15" s="43"/>
      <c r="Y15" s="43"/>
      <c r="Z15" s="43"/>
    </row>
    <row r="16" spans="1:50" s="8" customFormat="1" ht="16.5" customHeight="1" x14ac:dyDescent="0.2">
      <c r="A16" s="229"/>
      <c r="B16" s="230"/>
      <c r="C16" s="230"/>
      <c r="D16" s="230"/>
      <c r="E16" s="230"/>
      <c r="F16" s="230"/>
      <c r="G16" s="230"/>
      <c r="H16" s="230"/>
      <c r="I16" s="230"/>
      <c r="J16" s="230"/>
      <c r="K16" s="230"/>
      <c r="L16" s="230"/>
      <c r="M16" s="230"/>
      <c r="N16" s="230"/>
      <c r="O16" s="230"/>
      <c r="P16" s="230"/>
      <c r="Q16" s="230"/>
      <c r="R16" s="230"/>
      <c r="S16" s="230"/>
      <c r="T16" s="230"/>
      <c r="U16" s="230"/>
      <c r="V16" s="231"/>
      <c r="W16" s="43"/>
      <c r="X16" s="43"/>
      <c r="Y16" s="43"/>
      <c r="Z16" s="43"/>
    </row>
    <row r="17" spans="1:26" s="8" customFormat="1" ht="16.5" customHeight="1" x14ac:dyDescent="0.2">
      <c r="A17" s="92"/>
      <c r="B17" s="41"/>
      <c r="C17" s="41"/>
      <c r="D17" s="41"/>
      <c r="E17" s="41"/>
      <c r="F17" s="41"/>
      <c r="G17" s="41"/>
      <c r="H17" s="41"/>
      <c r="I17" s="41"/>
      <c r="J17" s="41"/>
      <c r="K17" s="41"/>
      <c r="L17" s="41"/>
      <c r="M17" s="41"/>
      <c r="N17" s="41"/>
      <c r="O17" s="41"/>
      <c r="P17" s="41"/>
      <c r="Q17" s="41"/>
      <c r="R17" s="41"/>
      <c r="S17" s="41"/>
      <c r="T17" s="41"/>
      <c r="U17" s="41"/>
      <c r="V17" s="42"/>
      <c r="W17" s="43"/>
      <c r="X17" s="43"/>
      <c r="Y17" s="43"/>
      <c r="Z17" s="43"/>
    </row>
    <row r="18" spans="1:26" s="9" customFormat="1" ht="27.6" customHeight="1" x14ac:dyDescent="0.2">
      <c r="A18" s="203" t="s">
        <v>829</v>
      </c>
      <c r="B18" s="192"/>
      <c r="C18" s="192"/>
      <c r="D18" s="192"/>
      <c r="E18" s="192"/>
      <c r="F18" s="192"/>
      <c r="G18" s="98"/>
      <c r="H18" s="98"/>
      <c r="I18" s="199" t="s">
        <v>144</v>
      </c>
      <c r="J18" s="199"/>
      <c r="K18" s="199"/>
      <c r="L18" s="199"/>
      <c r="M18" s="199"/>
      <c r="N18" s="199"/>
      <c r="O18" s="199"/>
      <c r="P18" s="199"/>
      <c r="Q18" s="199"/>
      <c r="R18" s="199"/>
      <c r="S18" s="199"/>
      <c r="T18" s="199"/>
      <c r="U18" s="199"/>
      <c r="V18" s="200"/>
      <c r="W18" s="46"/>
      <c r="X18" s="46"/>
      <c r="Y18" s="46"/>
      <c r="Z18" s="46"/>
    </row>
    <row r="19" spans="1:26" s="1" customFormat="1" ht="28.7" customHeight="1" x14ac:dyDescent="0.2">
      <c r="A19" s="108" t="s">
        <v>137</v>
      </c>
      <c r="B19" s="108" t="s">
        <v>91</v>
      </c>
      <c r="C19" s="108" t="s">
        <v>138</v>
      </c>
      <c r="D19" s="108" t="s">
        <v>73</v>
      </c>
      <c r="E19" s="108" t="s">
        <v>139</v>
      </c>
      <c r="F19" s="108" t="s">
        <v>1</v>
      </c>
      <c r="G19" s="6"/>
      <c r="H19" s="6"/>
      <c r="I19" s="108" t="s">
        <v>145</v>
      </c>
      <c r="J19" s="108" t="s">
        <v>146</v>
      </c>
      <c r="K19" s="108" t="s">
        <v>147</v>
      </c>
      <c r="L19" s="108" t="s">
        <v>148</v>
      </c>
      <c r="M19" s="108" t="s">
        <v>149</v>
      </c>
      <c r="N19" s="108" t="s">
        <v>150</v>
      </c>
      <c r="O19" s="108" t="s">
        <v>151</v>
      </c>
      <c r="P19" s="108" t="s">
        <v>152</v>
      </c>
      <c r="Q19" s="108" t="s">
        <v>153</v>
      </c>
      <c r="R19" s="108" t="s">
        <v>154</v>
      </c>
      <c r="S19" s="108" t="s">
        <v>157</v>
      </c>
      <c r="T19" s="108" t="s">
        <v>158</v>
      </c>
      <c r="U19" s="108" t="s">
        <v>159</v>
      </c>
      <c r="V19" s="108" t="s">
        <v>1</v>
      </c>
      <c r="W19" s="48"/>
      <c r="X19" s="48"/>
      <c r="Y19" s="48"/>
      <c r="Z19" s="48"/>
    </row>
    <row r="20" spans="1:26" s="1" customFormat="1" ht="18" customHeight="1" thickBot="1" x14ac:dyDescent="0.25">
      <c r="A20" s="94" t="s">
        <v>1</v>
      </c>
      <c r="B20" s="109">
        <v>13509</v>
      </c>
      <c r="C20" s="114">
        <f>B20/F20</f>
        <v>0.65932939626140852</v>
      </c>
      <c r="D20" s="109">
        <v>6980</v>
      </c>
      <c r="E20" s="114">
        <f>D20/F20</f>
        <v>0.34067060373859143</v>
      </c>
      <c r="F20" s="109">
        <v>20489</v>
      </c>
      <c r="G20" s="6"/>
      <c r="H20" s="6"/>
      <c r="I20" s="39" t="s">
        <v>1</v>
      </c>
      <c r="J20" s="115">
        <v>24728</v>
      </c>
      <c r="K20" s="116">
        <v>22369</v>
      </c>
      <c r="L20" s="115">
        <v>23907</v>
      </c>
      <c r="M20" s="116">
        <v>22780</v>
      </c>
      <c r="N20" s="115">
        <v>22687</v>
      </c>
      <c r="O20" s="116">
        <v>19364</v>
      </c>
      <c r="P20" s="115">
        <v>8512</v>
      </c>
      <c r="Q20" s="116">
        <v>7269</v>
      </c>
      <c r="R20" s="115">
        <v>6675</v>
      </c>
      <c r="S20" s="115">
        <v>7530</v>
      </c>
      <c r="T20" s="116">
        <v>7756</v>
      </c>
      <c r="U20" s="115">
        <v>0</v>
      </c>
      <c r="V20" s="120">
        <v>173577</v>
      </c>
      <c r="W20" s="48"/>
      <c r="X20" s="48"/>
      <c r="Y20" s="48"/>
      <c r="Z20" s="48"/>
    </row>
    <row r="21" spans="1:26" s="1" customFormat="1" ht="15" customHeight="1" thickTop="1" x14ac:dyDescent="0.2">
      <c r="A21" s="95" t="s">
        <v>77</v>
      </c>
      <c r="B21" s="110">
        <v>9863</v>
      </c>
      <c r="C21" s="112">
        <f t="shared" ref="C21:C23" si="0">B21/F21</f>
        <v>0.88465333213741137</v>
      </c>
      <c r="D21" s="110">
        <v>1286</v>
      </c>
      <c r="E21" s="112">
        <f t="shared" ref="E21:E23" si="1">D21/F21</f>
        <v>0.11534666786258857</v>
      </c>
      <c r="F21" s="110">
        <v>11149</v>
      </c>
      <c r="G21" s="6"/>
      <c r="H21" s="6"/>
      <c r="I21" s="40" t="s">
        <v>73</v>
      </c>
      <c r="J21" s="117">
        <v>13303</v>
      </c>
      <c r="K21" s="117">
        <v>12643</v>
      </c>
      <c r="L21" s="117">
        <v>14007</v>
      </c>
      <c r="M21" s="117">
        <v>10868</v>
      </c>
      <c r="N21" s="117">
        <v>11197</v>
      </c>
      <c r="O21" s="117">
        <v>9210</v>
      </c>
      <c r="P21" s="117">
        <v>2904</v>
      </c>
      <c r="Q21" s="117">
        <v>1883</v>
      </c>
      <c r="R21" s="117">
        <v>1585</v>
      </c>
      <c r="S21" s="117">
        <v>1685</v>
      </c>
      <c r="T21" s="117">
        <v>1590</v>
      </c>
      <c r="U21" s="117">
        <v>0</v>
      </c>
      <c r="V21" s="119">
        <v>80875</v>
      </c>
      <c r="W21" s="48"/>
      <c r="X21" s="48"/>
      <c r="Y21" s="48"/>
      <c r="Z21" s="48"/>
    </row>
    <row r="22" spans="1:26" s="1" customFormat="1" ht="15" customHeight="1" x14ac:dyDescent="0.2">
      <c r="A22" s="96" t="s">
        <v>110</v>
      </c>
      <c r="B22" s="111">
        <v>2964</v>
      </c>
      <c r="C22" s="113">
        <f t="shared" si="0"/>
        <v>0.91594561186650181</v>
      </c>
      <c r="D22" s="111">
        <v>272</v>
      </c>
      <c r="E22" s="113">
        <f t="shared" si="1"/>
        <v>8.4054388133498151E-2</v>
      </c>
      <c r="F22" s="111">
        <v>3236</v>
      </c>
      <c r="G22" s="6"/>
      <c r="H22" s="6"/>
      <c r="I22" s="75" t="s">
        <v>826</v>
      </c>
      <c r="J22" s="118">
        <v>11425</v>
      </c>
      <c r="K22" s="118">
        <v>9726</v>
      </c>
      <c r="L22" s="118">
        <v>9900</v>
      </c>
      <c r="M22" s="118">
        <v>11912</v>
      </c>
      <c r="N22" s="118">
        <v>11490</v>
      </c>
      <c r="O22" s="118">
        <v>10154</v>
      </c>
      <c r="P22" s="118">
        <v>5608</v>
      </c>
      <c r="Q22" s="118">
        <v>5386</v>
      </c>
      <c r="R22" s="118">
        <v>5090</v>
      </c>
      <c r="S22" s="118">
        <v>5845</v>
      </c>
      <c r="T22" s="118">
        <v>6166</v>
      </c>
      <c r="U22" s="118">
        <v>0</v>
      </c>
      <c r="V22" s="186">
        <v>92702</v>
      </c>
      <c r="W22" s="48"/>
      <c r="X22" s="48"/>
      <c r="Y22" s="48"/>
      <c r="Z22" s="48"/>
    </row>
    <row r="23" spans="1:26" s="1" customFormat="1" ht="15" customHeight="1" x14ac:dyDescent="0.2">
      <c r="A23" s="96" t="s">
        <v>140</v>
      </c>
      <c r="B23" s="111">
        <v>682</v>
      </c>
      <c r="C23" s="113">
        <f t="shared" si="0"/>
        <v>0.11173001310615989</v>
      </c>
      <c r="D23" s="111">
        <v>5422</v>
      </c>
      <c r="E23" s="113">
        <f t="shared" si="1"/>
        <v>0.88826998689384007</v>
      </c>
      <c r="F23" s="111">
        <v>6104</v>
      </c>
      <c r="G23" s="6"/>
      <c r="H23" s="6"/>
      <c r="I23" s="6"/>
      <c r="J23" s="6"/>
      <c r="K23" s="6"/>
      <c r="L23" s="6"/>
      <c r="M23" s="6"/>
      <c r="N23" s="6"/>
      <c r="O23" s="6"/>
      <c r="P23" s="6"/>
      <c r="Q23" s="6"/>
      <c r="R23" s="6"/>
      <c r="S23" s="6"/>
      <c r="T23" s="49"/>
      <c r="U23" s="49"/>
      <c r="V23" s="47"/>
      <c r="W23" s="48"/>
      <c r="X23" s="48"/>
      <c r="Y23" s="48"/>
      <c r="Z23" s="48"/>
    </row>
    <row r="24" spans="1:26" s="1" customFormat="1" ht="12" x14ac:dyDescent="0.2">
      <c r="A24" s="99"/>
      <c r="B24" s="6"/>
      <c r="C24" s="6"/>
      <c r="D24" s="6"/>
      <c r="E24" s="6"/>
      <c r="F24" s="6"/>
      <c r="G24" s="6"/>
      <c r="H24" s="6"/>
      <c r="I24" s="6"/>
      <c r="J24" s="6"/>
      <c r="K24" s="6"/>
      <c r="L24" s="6"/>
      <c r="M24" s="6"/>
      <c r="N24" s="6"/>
      <c r="O24" s="6"/>
      <c r="P24" s="6"/>
      <c r="Q24" s="6"/>
      <c r="R24" s="6"/>
      <c r="S24" s="6"/>
      <c r="T24" s="49"/>
      <c r="U24" s="49"/>
      <c r="V24" s="47"/>
      <c r="W24" s="48"/>
      <c r="X24" s="48"/>
      <c r="Y24" s="48"/>
      <c r="Z24" s="48"/>
    </row>
    <row r="25" spans="1:26" s="8" customFormat="1" ht="16.5" customHeight="1" x14ac:dyDescent="0.2">
      <c r="A25" s="229"/>
      <c r="B25" s="230"/>
      <c r="C25" s="230"/>
      <c r="D25" s="230"/>
      <c r="E25" s="230"/>
      <c r="F25" s="230"/>
      <c r="G25" s="230"/>
      <c r="H25" s="230"/>
      <c r="I25" s="230"/>
      <c r="J25" s="230"/>
      <c r="K25" s="230"/>
      <c r="L25" s="230"/>
      <c r="M25" s="230"/>
      <c r="N25" s="230"/>
      <c r="O25" s="230"/>
      <c r="P25" s="230"/>
      <c r="Q25" s="230"/>
      <c r="R25" s="230"/>
      <c r="S25" s="230"/>
      <c r="T25" s="230"/>
      <c r="U25" s="230"/>
      <c r="V25" s="231"/>
      <c r="W25" s="43"/>
      <c r="X25" s="43"/>
      <c r="Y25" s="43"/>
      <c r="Z25" s="43"/>
    </row>
    <row r="26" spans="1:26" s="1" customFormat="1" ht="12" x14ac:dyDescent="0.2">
      <c r="A26" s="99"/>
      <c r="B26" s="6"/>
      <c r="C26" s="6"/>
      <c r="D26" s="6"/>
      <c r="E26" s="6"/>
      <c r="F26" s="6"/>
      <c r="G26" s="6"/>
      <c r="H26" s="6"/>
      <c r="I26" s="6"/>
      <c r="J26" s="6"/>
      <c r="K26" s="6"/>
      <c r="L26" s="6"/>
      <c r="M26" s="6"/>
      <c r="N26" s="6"/>
      <c r="O26" s="6"/>
      <c r="P26" s="6"/>
      <c r="Q26" s="6"/>
      <c r="R26" s="6"/>
      <c r="S26" s="6"/>
      <c r="T26" s="49"/>
      <c r="U26" s="49"/>
      <c r="V26" s="47"/>
      <c r="W26" s="48"/>
      <c r="X26" s="48"/>
      <c r="Y26" s="48"/>
      <c r="Z26" s="48"/>
    </row>
    <row r="27" spans="1:26" s="84" customFormat="1" ht="21.6" customHeight="1" x14ac:dyDescent="0.2">
      <c r="A27" s="201" t="s">
        <v>807</v>
      </c>
      <c r="B27" s="202"/>
      <c r="C27" s="202"/>
      <c r="D27" s="202"/>
      <c r="E27" s="202"/>
      <c r="F27" s="76"/>
      <c r="G27" s="83"/>
      <c r="H27" s="202" t="s">
        <v>161</v>
      </c>
      <c r="I27" s="202"/>
      <c r="J27" s="202"/>
      <c r="K27" s="202"/>
      <c r="L27" s="202"/>
      <c r="M27" s="76"/>
      <c r="N27" s="202" t="s">
        <v>155</v>
      </c>
      <c r="O27" s="202"/>
      <c r="P27" s="202"/>
      <c r="Q27" s="202"/>
      <c r="R27" s="202"/>
      <c r="S27" s="76"/>
      <c r="T27" s="83"/>
      <c r="U27" s="83"/>
      <c r="V27" s="85"/>
      <c r="W27" s="86"/>
      <c r="X27" s="86"/>
      <c r="Y27" s="86"/>
      <c r="Z27" s="86"/>
    </row>
    <row r="28" spans="1:26" s="1" customFormat="1" ht="37.5" customHeight="1" x14ac:dyDescent="0.2">
      <c r="A28" s="38" t="s">
        <v>162</v>
      </c>
      <c r="B28" s="108" t="s">
        <v>77</v>
      </c>
      <c r="C28" s="108" t="s">
        <v>110</v>
      </c>
      <c r="D28" s="108" t="s">
        <v>140</v>
      </c>
      <c r="E28" s="108" t="s">
        <v>1</v>
      </c>
      <c r="F28" s="6"/>
      <c r="G28" s="6"/>
      <c r="H28" s="191" t="s">
        <v>162</v>
      </c>
      <c r="I28" s="191"/>
      <c r="J28" s="191" t="s">
        <v>1</v>
      </c>
      <c r="K28" s="191"/>
      <c r="L28" s="191"/>
      <c r="M28" s="49"/>
      <c r="N28" s="219"/>
      <c r="O28" s="220"/>
      <c r="P28" s="219" t="s">
        <v>156</v>
      </c>
      <c r="Q28" s="221"/>
      <c r="R28" s="220"/>
      <c r="S28" s="6"/>
      <c r="T28" s="6"/>
      <c r="U28" s="49"/>
      <c r="V28" s="100"/>
      <c r="W28" s="48"/>
      <c r="X28" s="48"/>
      <c r="Y28" s="48"/>
    </row>
    <row r="29" spans="1:26" s="1" customFormat="1" ht="15" customHeight="1" thickBot="1" x14ac:dyDescent="0.25">
      <c r="A29" s="94" t="s">
        <v>1</v>
      </c>
      <c r="B29" s="121">
        <v>90728</v>
      </c>
      <c r="C29" s="125">
        <v>22495</v>
      </c>
      <c r="D29" s="121">
        <v>60354</v>
      </c>
      <c r="E29" s="123">
        <v>173577</v>
      </c>
      <c r="F29" s="6"/>
      <c r="G29" s="6"/>
      <c r="H29" s="213" t="s">
        <v>1</v>
      </c>
      <c r="I29" s="213"/>
      <c r="J29" s="193">
        <v>59648</v>
      </c>
      <c r="K29" s="194"/>
      <c r="L29" s="195"/>
      <c r="M29" s="49"/>
      <c r="N29" s="222" t="s">
        <v>1</v>
      </c>
      <c r="O29" s="223"/>
      <c r="P29" s="226">
        <v>177004</v>
      </c>
      <c r="Q29" s="227"/>
      <c r="R29" s="228"/>
      <c r="S29" s="6"/>
      <c r="T29" s="6"/>
      <c r="U29" s="49"/>
      <c r="V29" s="100"/>
      <c r="W29" s="48"/>
      <c r="X29" s="48"/>
      <c r="Y29" s="48"/>
    </row>
    <row r="30" spans="1:26" s="1" customFormat="1" ht="15" customHeight="1" thickTop="1" x14ac:dyDescent="0.2">
      <c r="A30" s="95" t="s">
        <v>134</v>
      </c>
      <c r="B30" s="143">
        <v>90713</v>
      </c>
      <c r="C30" s="143">
        <v>22489</v>
      </c>
      <c r="D30" s="143">
        <v>58583</v>
      </c>
      <c r="E30" s="143">
        <v>171785</v>
      </c>
      <c r="F30" s="5"/>
      <c r="G30" s="5"/>
      <c r="H30" s="214" t="s">
        <v>133</v>
      </c>
      <c r="I30" s="214"/>
      <c r="J30" s="204">
        <v>5139</v>
      </c>
      <c r="K30" s="205"/>
      <c r="L30" s="206"/>
      <c r="M30" s="49"/>
      <c r="N30" s="224" t="s">
        <v>808</v>
      </c>
      <c r="O30" s="225"/>
      <c r="P30" s="204">
        <v>3187</v>
      </c>
      <c r="Q30" s="205"/>
      <c r="R30" s="206"/>
      <c r="S30" s="6"/>
      <c r="T30" s="6"/>
      <c r="U30" s="49"/>
      <c r="V30" s="100"/>
      <c r="W30" s="48"/>
      <c r="X30" s="48"/>
      <c r="Y30" s="48"/>
    </row>
    <row r="31" spans="1:26" s="1" customFormat="1" ht="12" x14ac:dyDescent="0.2">
      <c r="A31" s="96" t="s">
        <v>133</v>
      </c>
      <c r="B31" s="122">
        <v>15</v>
      </c>
      <c r="C31" s="122">
        <v>6</v>
      </c>
      <c r="D31" s="122">
        <v>1771</v>
      </c>
      <c r="E31" s="122">
        <v>1792</v>
      </c>
      <c r="F31" s="5"/>
      <c r="G31" s="5"/>
      <c r="H31" s="215" t="s">
        <v>134</v>
      </c>
      <c r="I31" s="215"/>
      <c r="J31" s="207">
        <v>54509</v>
      </c>
      <c r="K31" s="208"/>
      <c r="L31" s="209"/>
      <c r="M31" s="49"/>
      <c r="N31" s="49"/>
      <c r="O31" s="49"/>
      <c r="P31" s="49"/>
      <c r="Q31" s="49"/>
      <c r="R31" s="49"/>
      <c r="S31" s="6"/>
      <c r="T31" s="6"/>
      <c r="U31" s="49"/>
      <c r="V31" s="100"/>
      <c r="W31" s="48"/>
      <c r="X31" s="48"/>
      <c r="Y31" s="48"/>
    </row>
    <row r="32" spans="1:26" s="1" customFormat="1" ht="12" x14ac:dyDescent="0.2">
      <c r="A32" s="99"/>
      <c r="F32" s="5"/>
      <c r="G32" s="5"/>
      <c r="H32" s="5"/>
      <c r="I32" s="6"/>
      <c r="J32" s="6"/>
      <c r="K32" s="5"/>
      <c r="L32" s="49"/>
      <c r="M32" s="49"/>
      <c r="N32" s="49"/>
      <c r="O32" s="49"/>
      <c r="P32" s="49"/>
      <c r="Q32" s="49"/>
      <c r="R32" s="49"/>
      <c r="S32" s="49"/>
      <c r="T32" s="49"/>
      <c r="U32" s="49"/>
      <c r="V32" s="47"/>
      <c r="W32" s="48"/>
      <c r="X32" s="48"/>
      <c r="Y32" s="48"/>
      <c r="Z32" s="48"/>
    </row>
    <row r="33" spans="1:26" s="8" customFormat="1" ht="16.5" customHeight="1" x14ac:dyDescent="0.2">
      <c r="A33" s="229"/>
      <c r="B33" s="230"/>
      <c r="C33" s="230"/>
      <c r="D33" s="230"/>
      <c r="E33" s="230"/>
      <c r="F33" s="230"/>
      <c r="G33" s="230"/>
      <c r="H33" s="230"/>
      <c r="I33" s="230"/>
      <c r="J33" s="230"/>
      <c r="K33" s="230"/>
      <c r="L33" s="230"/>
      <c r="M33" s="230"/>
      <c r="N33" s="230"/>
      <c r="O33" s="230"/>
      <c r="P33" s="230"/>
      <c r="Q33" s="230"/>
      <c r="R33" s="230"/>
      <c r="S33" s="230"/>
      <c r="T33" s="230"/>
      <c r="U33" s="230"/>
      <c r="V33" s="231"/>
      <c r="W33" s="43"/>
      <c r="X33" s="43"/>
      <c r="Y33" s="43"/>
      <c r="Z33" s="43"/>
    </row>
    <row r="34" spans="1:26" s="1" customFormat="1" ht="12" x14ac:dyDescent="0.2">
      <c r="A34" s="99"/>
      <c r="B34" s="6"/>
      <c r="C34" s="6"/>
      <c r="D34" s="6"/>
      <c r="E34" s="6"/>
      <c r="F34" s="5"/>
      <c r="G34" s="5"/>
      <c r="H34" s="5"/>
      <c r="I34" s="6"/>
      <c r="J34" s="6"/>
      <c r="K34" s="5"/>
      <c r="L34" s="49"/>
      <c r="M34" s="49"/>
      <c r="N34" s="49"/>
      <c r="O34" s="49"/>
      <c r="P34" s="49"/>
      <c r="Q34" s="49"/>
      <c r="R34" s="49"/>
      <c r="S34" s="49"/>
      <c r="T34" s="49"/>
      <c r="U34" s="49"/>
      <c r="V34" s="47"/>
      <c r="W34" s="48"/>
      <c r="X34" s="48"/>
      <c r="Y34" s="48"/>
      <c r="Z34" s="48"/>
    </row>
    <row r="35" spans="1:26" s="1" customFormat="1" ht="12" x14ac:dyDescent="0.2">
      <c r="A35" s="99"/>
      <c r="B35" s="6"/>
      <c r="C35" s="6"/>
      <c r="D35" s="6"/>
      <c r="E35" s="6"/>
      <c r="F35" s="5"/>
      <c r="G35" s="5"/>
      <c r="H35" s="5"/>
      <c r="I35" s="153"/>
      <c r="J35" s="153"/>
      <c r="K35" s="152"/>
      <c r="L35" s="155"/>
      <c r="M35" s="155"/>
      <c r="N35" s="155"/>
      <c r="O35" s="155"/>
      <c r="P35" s="155"/>
      <c r="Q35" s="155"/>
      <c r="R35" s="155"/>
      <c r="S35" s="155"/>
      <c r="T35" s="49"/>
      <c r="U35" s="49"/>
      <c r="V35" s="47"/>
      <c r="W35" s="48"/>
      <c r="X35" s="48"/>
      <c r="Y35" s="48"/>
      <c r="Z35" s="48"/>
    </row>
    <row r="36" spans="1:26" s="1" customFormat="1" ht="22.5" customHeight="1" x14ac:dyDescent="0.2">
      <c r="A36" s="203" t="s">
        <v>777</v>
      </c>
      <c r="B36" s="192"/>
      <c r="C36" s="192"/>
      <c r="D36" s="192"/>
      <c r="E36" s="192"/>
      <c r="F36" s="76"/>
      <c r="G36" s="5"/>
      <c r="H36" s="152"/>
      <c r="I36" s="153"/>
      <c r="J36" s="153"/>
      <c r="K36" s="153"/>
      <c r="L36" s="153"/>
      <c r="M36" s="153"/>
      <c r="N36" s="153"/>
      <c r="O36" s="153"/>
      <c r="P36" s="153"/>
      <c r="Q36" s="153"/>
      <c r="R36" s="153"/>
      <c r="S36" s="153"/>
      <c r="T36" s="155"/>
      <c r="U36" s="49"/>
      <c r="V36" s="47"/>
      <c r="W36" s="48"/>
      <c r="X36" s="48"/>
      <c r="Y36" s="48"/>
      <c r="Z36" s="48"/>
    </row>
    <row r="37" spans="1:26" s="1" customFormat="1" ht="38.450000000000003" customHeight="1" x14ac:dyDescent="0.2">
      <c r="A37" s="101" t="s">
        <v>160</v>
      </c>
      <c r="B37" s="77" t="s">
        <v>77</v>
      </c>
      <c r="C37" s="77" t="s">
        <v>110</v>
      </c>
      <c r="D37" s="77" t="s">
        <v>140</v>
      </c>
      <c r="E37" s="77" t="s">
        <v>1</v>
      </c>
      <c r="F37" s="5"/>
      <c r="G37" s="6"/>
      <c r="H37" s="147"/>
      <c r="I37" s="147"/>
      <c r="J37" s="147"/>
      <c r="K37" s="147"/>
      <c r="L37" s="147"/>
      <c r="M37" s="147"/>
      <c r="N37" s="147"/>
      <c r="O37" s="147"/>
      <c r="P37" s="147"/>
      <c r="Q37" s="147"/>
      <c r="R37" s="154"/>
      <c r="S37" s="154"/>
      <c r="T37" s="154"/>
      <c r="U37" s="91"/>
      <c r="V37" s="100"/>
      <c r="W37" s="48"/>
      <c r="X37" s="48"/>
    </row>
    <row r="38" spans="1:26" s="1" customFormat="1" ht="15.75" customHeight="1" thickBot="1" x14ac:dyDescent="0.25">
      <c r="A38" s="102" t="s">
        <v>1</v>
      </c>
      <c r="B38" s="125">
        <v>11300</v>
      </c>
      <c r="C38" s="128">
        <v>8613</v>
      </c>
      <c r="D38" s="125">
        <v>39735</v>
      </c>
      <c r="E38" s="125">
        <v>59648</v>
      </c>
      <c r="F38" s="5"/>
      <c r="G38" s="6"/>
      <c r="H38" s="147"/>
      <c r="I38" s="147"/>
      <c r="J38" s="147"/>
      <c r="K38" s="147"/>
      <c r="L38" s="147"/>
      <c r="M38" s="147"/>
      <c r="N38" s="147"/>
      <c r="O38" s="147"/>
      <c r="P38" s="147"/>
      <c r="Q38" s="147"/>
      <c r="R38" s="154"/>
      <c r="S38" s="154"/>
      <c r="T38" s="154"/>
      <c r="U38" s="91"/>
      <c r="V38" s="100"/>
      <c r="W38" s="48"/>
      <c r="X38" s="48"/>
    </row>
    <row r="39" spans="1:26" s="1" customFormat="1" ht="12.75" thickTop="1" x14ac:dyDescent="0.2">
      <c r="A39" s="96" t="s">
        <v>771</v>
      </c>
      <c r="B39" s="126">
        <f>SUM(B40:B41)</f>
        <v>6568</v>
      </c>
      <c r="C39" s="126">
        <f t="shared" ref="C39:E39" si="2">SUM(C40:C41)</f>
        <v>6233</v>
      </c>
      <c r="D39" s="126">
        <f t="shared" si="2"/>
        <v>15863</v>
      </c>
      <c r="E39" s="124">
        <f t="shared" si="2"/>
        <v>28664</v>
      </c>
      <c r="F39" s="5"/>
      <c r="G39" s="6"/>
      <c r="H39" s="147"/>
      <c r="I39" s="147"/>
      <c r="J39" s="147"/>
      <c r="K39" s="147"/>
      <c r="L39" s="147"/>
      <c r="M39" s="147"/>
      <c r="N39" s="147"/>
      <c r="O39" s="147"/>
      <c r="P39" s="147"/>
      <c r="Q39" s="147"/>
      <c r="R39" s="154"/>
      <c r="S39" s="154"/>
      <c r="T39" s="154"/>
      <c r="U39" s="91"/>
      <c r="V39" s="100"/>
      <c r="W39" s="48"/>
      <c r="X39" s="48"/>
    </row>
    <row r="40" spans="1:26" s="1" customFormat="1" ht="12" x14ac:dyDescent="0.2">
      <c r="A40" s="103" t="s">
        <v>772</v>
      </c>
      <c r="B40" s="167">
        <v>1095</v>
      </c>
      <c r="C40" s="167">
        <v>1530</v>
      </c>
      <c r="D40" s="167">
        <v>1949</v>
      </c>
      <c r="E40" s="168">
        <v>4574</v>
      </c>
      <c r="F40" s="5"/>
      <c r="G40" s="6"/>
      <c r="H40" s="147"/>
      <c r="I40" s="147"/>
      <c r="J40" s="147"/>
      <c r="K40" s="147"/>
      <c r="L40" s="147"/>
      <c r="M40" s="147"/>
      <c r="N40" s="147"/>
      <c r="O40" s="147"/>
      <c r="P40" s="147"/>
      <c r="Q40" s="147"/>
      <c r="R40" s="154"/>
      <c r="S40" s="154"/>
      <c r="T40" s="49"/>
      <c r="U40" s="91"/>
      <c r="V40" s="100"/>
      <c r="W40" s="48"/>
      <c r="X40" s="48"/>
    </row>
    <row r="41" spans="1:26" s="1" customFormat="1" ht="12" x14ac:dyDescent="0.2">
      <c r="A41" s="103" t="s">
        <v>773</v>
      </c>
      <c r="B41" s="167">
        <v>5473</v>
      </c>
      <c r="C41" s="167">
        <v>4703</v>
      </c>
      <c r="D41" s="167">
        <v>13914</v>
      </c>
      <c r="E41" s="169">
        <v>24090</v>
      </c>
      <c r="F41" s="5"/>
      <c r="G41" s="6"/>
      <c r="H41" s="6"/>
      <c r="I41" s="147"/>
      <c r="J41" s="147"/>
      <c r="K41" s="147"/>
      <c r="L41" s="147"/>
      <c r="M41" s="185"/>
      <c r="N41" s="185"/>
      <c r="O41" s="185"/>
      <c r="P41" s="185"/>
      <c r="Q41" s="185"/>
      <c r="R41" s="146"/>
      <c r="S41" s="146"/>
      <c r="T41" s="146"/>
      <c r="U41" s="91"/>
      <c r="V41" s="100"/>
      <c r="W41" s="48"/>
      <c r="X41" s="48"/>
    </row>
    <row r="42" spans="1:26" s="1" customFormat="1" ht="12" x14ac:dyDescent="0.2">
      <c r="A42" s="96" t="s">
        <v>2</v>
      </c>
      <c r="B42" s="127">
        <v>1781</v>
      </c>
      <c r="C42" s="127">
        <v>1764</v>
      </c>
      <c r="D42" s="127">
        <v>10127</v>
      </c>
      <c r="E42" s="90">
        <v>13672</v>
      </c>
      <c r="F42" s="5"/>
      <c r="G42" s="6"/>
      <c r="H42" s="6"/>
      <c r="I42" s="147"/>
      <c r="J42" s="185"/>
      <c r="K42" s="147"/>
      <c r="L42" s="147"/>
      <c r="M42" s="185"/>
      <c r="N42" s="185"/>
      <c r="O42" s="185"/>
      <c r="P42" s="185"/>
      <c r="Q42" s="185"/>
      <c r="R42" s="146"/>
      <c r="S42" s="154"/>
      <c r="T42" s="146"/>
      <c r="U42" s="91"/>
      <c r="V42" s="100"/>
      <c r="W42" s="48"/>
      <c r="X42" s="48"/>
    </row>
    <row r="43" spans="1:26" s="1" customFormat="1" ht="12" x14ac:dyDescent="0.2">
      <c r="A43" s="96" t="s">
        <v>774</v>
      </c>
      <c r="B43" s="127">
        <v>2698</v>
      </c>
      <c r="C43" s="127">
        <v>473</v>
      </c>
      <c r="D43" s="127">
        <v>3102</v>
      </c>
      <c r="E43" s="90">
        <v>6273</v>
      </c>
      <c r="F43" s="5"/>
      <c r="G43" s="6"/>
      <c r="H43" s="6"/>
      <c r="I43" s="147"/>
      <c r="J43" s="185"/>
      <c r="K43" s="147"/>
      <c r="L43" s="147"/>
      <c r="M43" s="185"/>
      <c r="N43" s="185"/>
      <c r="O43" s="185"/>
      <c r="P43" s="185"/>
      <c r="Q43" s="185"/>
      <c r="R43" s="146"/>
      <c r="S43" s="146"/>
      <c r="T43" s="146"/>
      <c r="U43" s="91"/>
      <c r="V43" s="100"/>
      <c r="W43" s="48"/>
      <c r="X43" s="48"/>
    </row>
    <row r="44" spans="1:26" s="1" customFormat="1" ht="12" x14ac:dyDescent="0.2">
      <c r="A44" s="96" t="s">
        <v>775</v>
      </c>
      <c r="B44" s="127">
        <v>251</v>
      </c>
      <c r="C44" s="127">
        <v>142</v>
      </c>
      <c r="D44" s="127">
        <v>10642</v>
      </c>
      <c r="E44" s="90">
        <v>11035</v>
      </c>
      <c r="F44" s="5"/>
      <c r="G44" s="6"/>
      <c r="H44" s="6"/>
      <c r="I44" s="147"/>
      <c r="J44" s="185"/>
      <c r="K44" s="185"/>
      <c r="L44" s="185"/>
      <c r="M44" s="185"/>
      <c r="N44" s="185"/>
      <c r="O44" s="185"/>
      <c r="P44" s="185"/>
      <c r="Q44" s="185"/>
      <c r="R44" s="146"/>
      <c r="S44" s="146"/>
      <c r="T44" s="146"/>
      <c r="U44" s="91"/>
      <c r="V44" s="100"/>
      <c r="W44" s="48"/>
      <c r="X44" s="48"/>
    </row>
    <row r="45" spans="1:26" s="1" customFormat="1" ht="12" x14ac:dyDescent="0.2">
      <c r="A45" s="96" t="s">
        <v>776</v>
      </c>
      <c r="B45" s="127">
        <v>2</v>
      </c>
      <c r="C45" s="127">
        <v>1</v>
      </c>
      <c r="D45" s="127">
        <v>1</v>
      </c>
      <c r="E45" s="89">
        <v>4</v>
      </c>
      <c r="F45" s="5"/>
      <c r="G45" s="6"/>
      <c r="H45" s="6"/>
      <c r="I45" s="5"/>
      <c r="J45" s="146"/>
      <c r="K45" s="146"/>
      <c r="L45" s="146"/>
      <c r="M45" s="146"/>
      <c r="N45" s="146"/>
      <c r="O45" s="146"/>
      <c r="P45" s="146"/>
      <c r="Q45" s="146"/>
      <c r="R45" s="49"/>
      <c r="S45" s="49"/>
      <c r="T45" s="49"/>
      <c r="U45" s="91"/>
      <c r="V45" s="100"/>
      <c r="W45" s="48"/>
      <c r="X45" s="48"/>
    </row>
    <row r="46" spans="1:26" s="1" customFormat="1" ht="12" x14ac:dyDescent="0.2">
      <c r="A46" s="99"/>
      <c r="B46" s="6"/>
      <c r="C46" s="6"/>
      <c r="D46" s="6"/>
      <c r="E46" s="5"/>
      <c r="F46" s="5"/>
      <c r="G46" s="5"/>
      <c r="H46" s="6"/>
      <c r="I46" s="6"/>
      <c r="J46" s="5"/>
      <c r="K46" s="49"/>
      <c r="L46" s="49"/>
      <c r="M46" s="49"/>
      <c r="N46" s="49"/>
      <c r="O46" s="49"/>
      <c r="P46" s="49"/>
      <c r="Q46" s="49"/>
      <c r="R46" s="49"/>
      <c r="S46" s="49"/>
      <c r="T46" s="49"/>
      <c r="U46" s="49"/>
      <c r="V46" s="100"/>
      <c r="W46" s="48"/>
      <c r="X46" s="48"/>
      <c r="Y46" s="48"/>
    </row>
    <row r="47" spans="1:26" s="8" customFormat="1" ht="18" customHeight="1" x14ac:dyDescent="0.2">
      <c r="A47" s="216"/>
      <c r="B47" s="217"/>
      <c r="C47" s="217"/>
      <c r="D47" s="217"/>
      <c r="E47" s="217"/>
      <c r="F47" s="217"/>
      <c r="G47" s="217"/>
      <c r="H47" s="217"/>
      <c r="I47" s="217"/>
      <c r="J47" s="217"/>
      <c r="K47" s="217"/>
      <c r="L47" s="217"/>
      <c r="M47" s="217"/>
      <c r="N47" s="217"/>
      <c r="O47" s="217"/>
      <c r="P47" s="217"/>
      <c r="Q47" s="217"/>
      <c r="R47" s="217"/>
      <c r="S47" s="217"/>
      <c r="T47" s="217"/>
      <c r="U47" s="217"/>
      <c r="V47" s="218"/>
      <c r="W47" s="43"/>
      <c r="X47" s="43"/>
      <c r="Y47" s="43"/>
      <c r="Z47" s="43"/>
    </row>
    <row r="48" spans="1:26" s="1" customFormat="1" ht="12" x14ac:dyDescent="0.2">
      <c r="A48" s="99"/>
      <c r="B48" s="6"/>
      <c r="C48" s="6"/>
      <c r="D48" s="6"/>
      <c r="E48" s="6"/>
      <c r="F48" s="5"/>
      <c r="G48" s="5"/>
      <c r="H48" s="5"/>
      <c r="I48" s="6"/>
      <c r="J48" s="6"/>
      <c r="K48" s="5"/>
      <c r="L48" s="49"/>
      <c r="M48" s="49"/>
      <c r="N48" s="49"/>
      <c r="O48" s="49"/>
      <c r="P48" s="49"/>
      <c r="Q48" s="49"/>
      <c r="R48" s="49"/>
      <c r="S48" s="49"/>
      <c r="T48" s="49"/>
      <c r="U48" s="49"/>
      <c r="V48" s="47"/>
      <c r="W48" s="48"/>
      <c r="X48" s="48"/>
      <c r="Y48" s="48"/>
      <c r="Z48" s="48"/>
    </row>
    <row r="49" spans="1:28" s="1" customFormat="1" ht="23.25" customHeight="1" x14ac:dyDescent="0.2">
      <c r="A49" s="197" t="s">
        <v>163</v>
      </c>
      <c r="B49" s="198"/>
      <c r="C49" s="198"/>
      <c r="D49" s="198"/>
      <c r="E49" s="198"/>
      <c r="F49" s="198"/>
      <c r="G49" s="198"/>
      <c r="H49" s="198"/>
      <c r="I49" s="198"/>
      <c r="J49" s="198"/>
      <c r="K49" s="198"/>
      <c r="L49" s="198"/>
      <c r="M49" s="198"/>
      <c r="N49" s="198"/>
      <c r="O49" s="49"/>
      <c r="P49" s="49"/>
      <c r="Q49" s="155"/>
      <c r="R49" s="155"/>
      <c r="S49" s="155"/>
      <c r="T49" s="155"/>
      <c r="U49" s="155"/>
      <c r="V49" s="156"/>
      <c r="W49" s="162"/>
      <c r="X49" s="162"/>
      <c r="Y49" s="162"/>
      <c r="Z49" s="162"/>
      <c r="AA49" s="157"/>
    </row>
    <row r="50" spans="1:28" s="1" customFormat="1" ht="22.5" customHeight="1" x14ac:dyDescent="0.2">
      <c r="A50" s="38" t="s">
        <v>145</v>
      </c>
      <c r="B50" s="108" t="s">
        <v>146</v>
      </c>
      <c r="C50" s="108" t="s">
        <v>147</v>
      </c>
      <c r="D50" s="108" t="s">
        <v>148</v>
      </c>
      <c r="E50" s="108" t="s">
        <v>149</v>
      </c>
      <c r="F50" s="108" t="s">
        <v>150</v>
      </c>
      <c r="G50" s="108" t="s">
        <v>151</v>
      </c>
      <c r="H50" s="108" t="s">
        <v>152</v>
      </c>
      <c r="I50" s="108" t="s">
        <v>153</v>
      </c>
      <c r="J50" s="108" t="s">
        <v>154</v>
      </c>
      <c r="K50" s="108" t="s">
        <v>157</v>
      </c>
      <c r="L50" s="108" t="s">
        <v>158</v>
      </c>
      <c r="M50" s="108" t="s">
        <v>159</v>
      </c>
      <c r="N50" s="108" t="s">
        <v>167</v>
      </c>
      <c r="O50" s="49"/>
      <c r="P50" s="155"/>
      <c r="Q50" s="155"/>
      <c r="R50" s="155"/>
      <c r="S50" s="155"/>
      <c r="T50" s="155"/>
      <c r="U50" s="155"/>
      <c r="V50" s="156"/>
      <c r="W50" s="162"/>
      <c r="X50" s="162"/>
      <c r="Y50" s="162"/>
      <c r="Z50" s="162"/>
      <c r="AA50" s="157"/>
      <c r="AB50" s="157"/>
    </row>
    <row r="51" spans="1:28" s="1" customFormat="1" ht="12" x14ac:dyDescent="0.2">
      <c r="A51" s="102" t="s">
        <v>164</v>
      </c>
      <c r="B51" s="130">
        <v>31147.09677</v>
      </c>
      <c r="C51" s="131">
        <v>27527.56667</v>
      </c>
      <c r="D51" s="130">
        <v>24441.80645</v>
      </c>
      <c r="E51" s="131">
        <v>22597.70968</v>
      </c>
      <c r="F51" s="130">
        <v>20336.241379999999</v>
      </c>
      <c r="G51" s="131">
        <v>18517.96774</v>
      </c>
      <c r="H51" s="131">
        <v>15028.93333</v>
      </c>
      <c r="I51" s="130">
        <v>12089.06452</v>
      </c>
      <c r="J51" s="131">
        <v>10179.6</v>
      </c>
      <c r="K51" s="130">
        <v>8960</v>
      </c>
      <c r="L51" s="130">
        <v>7598.7930999999999</v>
      </c>
      <c r="M51" s="131">
        <v>0</v>
      </c>
      <c r="N51" s="130">
        <v>18091.502990000001</v>
      </c>
      <c r="O51" s="49"/>
      <c r="P51" s="49"/>
      <c r="Q51" s="146"/>
      <c r="R51" s="146"/>
      <c r="S51" s="146"/>
      <c r="T51" s="146"/>
      <c r="U51" s="146"/>
      <c r="V51" s="158"/>
      <c r="W51" s="163"/>
      <c r="X51" s="163"/>
      <c r="Y51" s="163"/>
      <c r="Z51" s="163"/>
      <c r="AA51" s="159"/>
    </row>
    <row r="52" spans="1:28" s="1" customFormat="1" ht="12" x14ac:dyDescent="0.2">
      <c r="A52" s="104" t="s">
        <v>77</v>
      </c>
      <c r="B52" s="129">
        <v>4582.3870999999999</v>
      </c>
      <c r="C52" s="129">
        <v>3842.1333300000001</v>
      </c>
      <c r="D52" s="129">
        <v>3376.2903200000001</v>
      </c>
      <c r="E52" s="129">
        <v>3181.7419399999999</v>
      </c>
      <c r="F52" s="129">
        <v>2870.4482800000001</v>
      </c>
      <c r="G52" s="129">
        <v>2700.83871</v>
      </c>
      <c r="H52" s="129">
        <v>2499.3333299999999</v>
      </c>
      <c r="I52" s="129">
        <v>2211.8709699999999</v>
      </c>
      <c r="J52" s="129">
        <v>2002.9</v>
      </c>
      <c r="K52" s="129">
        <v>1729.2258099999999</v>
      </c>
      <c r="L52" s="129">
        <v>1449.37931</v>
      </c>
      <c r="M52" s="129">
        <v>0</v>
      </c>
      <c r="N52" s="129">
        <v>2775.0269499999999</v>
      </c>
      <c r="O52" s="49"/>
      <c r="P52" s="146"/>
      <c r="Q52" s="146"/>
      <c r="R52" s="146"/>
      <c r="S52" s="146"/>
      <c r="T52" s="146"/>
      <c r="U52" s="154"/>
      <c r="V52" s="158"/>
      <c r="W52" s="163"/>
      <c r="X52" s="163"/>
      <c r="Y52" s="163"/>
      <c r="Z52" s="163"/>
      <c r="AA52" s="159"/>
      <c r="AB52" s="159"/>
    </row>
    <row r="53" spans="1:28" s="1" customFormat="1" ht="12" x14ac:dyDescent="0.2">
      <c r="A53" s="105" t="s">
        <v>110</v>
      </c>
      <c r="B53" s="129">
        <v>902.19354999999996</v>
      </c>
      <c r="C53" s="129">
        <v>770.23333000000002</v>
      </c>
      <c r="D53" s="129">
        <v>688.77418999999998</v>
      </c>
      <c r="E53" s="129">
        <v>691.45160999999996</v>
      </c>
      <c r="F53" s="129">
        <v>626.20690000000002</v>
      </c>
      <c r="G53" s="129">
        <v>555.22581000000002</v>
      </c>
      <c r="H53" s="129">
        <v>496.96667000000002</v>
      </c>
      <c r="I53" s="129">
        <v>421.48387000000002</v>
      </c>
      <c r="J53" s="129">
        <v>386.16667000000001</v>
      </c>
      <c r="K53" s="129">
        <v>335.03226000000001</v>
      </c>
      <c r="L53" s="129">
        <v>282.93103000000002</v>
      </c>
      <c r="M53" s="129">
        <v>0</v>
      </c>
      <c r="N53" s="129">
        <v>561.03292999999996</v>
      </c>
      <c r="O53" s="49"/>
      <c r="P53" s="155"/>
      <c r="Q53" s="155"/>
      <c r="R53" s="155"/>
      <c r="S53" s="155"/>
      <c r="T53" s="155"/>
      <c r="U53" s="155"/>
      <c r="V53" s="156"/>
      <c r="W53" s="162"/>
      <c r="X53" s="162"/>
      <c r="Y53" s="162"/>
      <c r="Z53" s="162"/>
      <c r="AA53" s="159"/>
      <c r="AB53" s="159"/>
    </row>
    <row r="54" spans="1:28" s="50" customFormat="1" ht="12" x14ac:dyDescent="0.2">
      <c r="A54" s="105" t="s">
        <v>140</v>
      </c>
      <c r="B54" s="129">
        <v>25662.51613</v>
      </c>
      <c r="C54" s="129">
        <v>22915.200000000001</v>
      </c>
      <c r="D54" s="129">
        <v>20376.74194</v>
      </c>
      <c r="E54" s="129">
        <v>18724.51613</v>
      </c>
      <c r="F54" s="129">
        <v>16839.586210000001</v>
      </c>
      <c r="G54" s="129">
        <v>15261.90323</v>
      </c>
      <c r="H54" s="129">
        <v>12032.633330000001</v>
      </c>
      <c r="I54" s="129">
        <v>9455.7096799999999</v>
      </c>
      <c r="J54" s="129">
        <v>7790.5333300000002</v>
      </c>
      <c r="K54" s="129">
        <v>6895.7419399999999</v>
      </c>
      <c r="L54" s="129">
        <v>5866.4827599999999</v>
      </c>
      <c r="M54" s="129">
        <v>0</v>
      </c>
      <c r="N54" s="129">
        <v>14755.44311</v>
      </c>
      <c r="O54" s="49"/>
      <c r="P54" s="146"/>
      <c r="Q54" s="146"/>
      <c r="R54" s="146"/>
      <c r="S54" s="146"/>
      <c r="T54" s="146"/>
      <c r="U54" s="146"/>
      <c r="V54" s="158"/>
      <c r="W54" s="164"/>
      <c r="X54" s="164"/>
      <c r="Y54" s="164"/>
      <c r="Z54" s="164"/>
      <c r="AA54" s="164"/>
    </row>
    <row r="55" spans="1:28" s="1" customFormat="1" ht="12" x14ac:dyDescent="0.2">
      <c r="A55" s="102" t="s">
        <v>165</v>
      </c>
      <c r="B55" s="130">
        <v>19074.09677</v>
      </c>
      <c r="C55" s="131">
        <v>18647.833330000001</v>
      </c>
      <c r="D55" s="130">
        <v>18312.77419</v>
      </c>
      <c r="E55" s="131">
        <v>18521.32258</v>
      </c>
      <c r="F55" s="130">
        <v>18981.413789999999</v>
      </c>
      <c r="G55" s="131">
        <v>19173.70968</v>
      </c>
      <c r="H55" s="131">
        <v>16798.2</v>
      </c>
      <c r="I55" s="130">
        <v>15102.90323</v>
      </c>
      <c r="J55" s="131">
        <v>14027.03333</v>
      </c>
      <c r="K55" s="130">
        <v>13592</v>
      </c>
      <c r="L55" s="130">
        <v>13755.68966</v>
      </c>
      <c r="M55" s="131">
        <v>0</v>
      </c>
      <c r="N55" s="130">
        <v>16918.110779999999</v>
      </c>
      <c r="O55" s="49"/>
      <c r="P55" s="146"/>
      <c r="Q55" s="146"/>
      <c r="R55" s="146"/>
      <c r="S55" s="146"/>
      <c r="T55" s="146"/>
      <c r="U55" s="146"/>
      <c r="V55" s="158"/>
      <c r="W55" s="159"/>
      <c r="X55" s="159"/>
      <c r="Y55" s="159"/>
      <c r="Z55" s="159"/>
      <c r="AA55" s="159"/>
      <c r="AB55" s="159"/>
    </row>
    <row r="56" spans="1:28" s="1" customFormat="1" ht="12" x14ac:dyDescent="0.2">
      <c r="A56" s="104" t="s">
        <v>77</v>
      </c>
      <c r="B56" s="129">
        <v>13176.58065</v>
      </c>
      <c r="C56" s="129">
        <v>12768.333329999999</v>
      </c>
      <c r="D56" s="129">
        <v>12539.35484</v>
      </c>
      <c r="E56" s="129">
        <v>12599.87097</v>
      </c>
      <c r="F56" s="129">
        <v>12746.793100000001</v>
      </c>
      <c r="G56" s="129">
        <v>12847.25806</v>
      </c>
      <c r="H56" s="129">
        <v>11884.4</v>
      </c>
      <c r="I56" s="129">
        <v>11041.58065</v>
      </c>
      <c r="J56" s="129">
        <v>10307.133330000001</v>
      </c>
      <c r="K56" s="129">
        <v>10029.32258</v>
      </c>
      <c r="L56" s="129">
        <v>10070.206899999999</v>
      </c>
      <c r="M56" s="129">
        <v>0</v>
      </c>
      <c r="N56" s="129">
        <v>11825.574850000001</v>
      </c>
      <c r="O56" s="49"/>
      <c r="P56" s="146"/>
      <c r="Q56" s="146"/>
      <c r="R56" s="146"/>
      <c r="S56" s="146"/>
      <c r="T56" s="146"/>
      <c r="U56" s="146"/>
      <c r="V56" s="158"/>
      <c r="W56" s="159"/>
      <c r="X56" s="159"/>
      <c r="Y56" s="159"/>
      <c r="Z56" s="159"/>
      <c r="AA56" s="159"/>
      <c r="AB56" s="159"/>
    </row>
    <row r="57" spans="1:28" s="1" customFormat="1" ht="12" x14ac:dyDescent="0.2">
      <c r="A57" s="105" t="s">
        <v>110</v>
      </c>
      <c r="B57" s="129">
        <v>3884.80645</v>
      </c>
      <c r="C57" s="129">
        <v>3849.4666699999998</v>
      </c>
      <c r="D57" s="129">
        <v>3836.7741900000001</v>
      </c>
      <c r="E57" s="129">
        <v>3994.96774</v>
      </c>
      <c r="F57" s="129">
        <v>4124.9310299999997</v>
      </c>
      <c r="G57" s="129">
        <v>4199.48387</v>
      </c>
      <c r="H57" s="129">
        <v>3426.76667</v>
      </c>
      <c r="I57" s="129">
        <v>2911.96774</v>
      </c>
      <c r="J57" s="129">
        <v>2744.26667</v>
      </c>
      <c r="K57" s="129">
        <v>2724.9032299999999</v>
      </c>
      <c r="L57" s="129">
        <v>2928.7586200000001</v>
      </c>
      <c r="M57" s="129">
        <v>0</v>
      </c>
      <c r="N57" s="129">
        <v>3512.9101799999999</v>
      </c>
      <c r="O57" s="49"/>
      <c r="P57" s="146"/>
      <c r="Q57" s="146"/>
      <c r="R57" s="146"/>
      <c r="S57" s="146"/>
      <c r="T57" s="154"/>
      <c r="U57" s="146"/>
      <c r="V57" s="158"/>
      <c r="W57" s="159"/>
      <c r="X57" s="159"/>
      <c r="Y57" s="159"/>
      <c r="Z57" s="159"/>
      <c r="AA57" s="159"/>
      <c r="AB57" s="159"/>
    </row>
    <row r="58" spans="1:28" s="1" customFormat="1" ht="12" x14ac:dyDescent="0.2">
      <c r="A58" s="105" t="s">
        <v>140</v>
      </c>
      <c r="B58" s="129">
        <v>2012.7096799999999</v>
      </c>
      <c r="C58" s="129">
        <v>2030.03333</v>
      </c>
      <c r="D58" s="129">
        <v>1936.64516</v>
      </c>
      <c r="E58" s="129">
        <v>1926.48387</v>
      </c>
      <c r="F58" s="129">
        <v>2109.68966</v>
      </c>
      <c r="G58" s="129">
        <v>2126.96774</v>
      </c>
      <c r="H58" s="129">
        <v>1487.03333</v>
      </c>
      <c r="I58" s="129">
        <v>1149.35484</v>
      </c>
      <c r="J58" s="129">
        <v>975.63333</v>
      </c>
      <c r="K58" s="129">
        <v>837.77418999999998</v>
      </c>
      <c r="L58" s="129">
        <v>756.72414000000003</v>
      </c>
      <c r="M58" s="129">
        <v>0</v>
      </c>
      <c r="N58" s="129">
        <v>1579.6257499999999</v>
      </c>
      <c r="O58" s="49"/>
      <c r="P58" s="146"/>
      <c r="Q58" s="146"/>
      <c r="R58" s="146"/>
      <c r="S58" s="146"/>
      <c r="T58" s="146"/>
      <c r="U58" s="146"/>
      <c r="V58" s="158"/>
      <c r="W58" s="159"/>
      <c r="X58" s="159"/>
      <c r="Y58" s="159"/>
      <c r="Z58" s="165"/>
      <c r="AA58" s="159"/>
      <c r="AB58" s="159"/>
    </row>
    <row r="59" spans="1:28" s="1" customFormat="1" ht="12" x14ac:dyDescent="0.2">
      <c r="A59" s="102" t="s">
        <v>166</v>
      </c>
      <c r="B59" s="130">
        <v>50221.193550000004</v>
      </c>
      <c r="C59" s="131">
        <v>46175.4</v>
      </c>
      <c r="D59" s="130">
        <v>42754.580650000004</v>
      </c>
      <c r="E59" s="131">
        <v>41119.03226</v>
      </c>
      <c r="F59" s="130">
        <v>39317.655169999998</v>
      </c>
      <c r="G59" s="131">
        <v>37691.67742</v>
      </c>
      <c r="H59" s="131">
        <v>31827.133330000001</v>
      </c>
      <c r="I59" s="130">
        <v>27191.96774</v>
      </c>
      <c r="J59" s="131">
        <v>24206.633330000001</v>
      </c>
      <c r="K59" s="130">
        <v>22552</v>
      </c>
      <c r="L59" s="130">
        <v>21354.482759999999</v>
      </c>
      <c r="M59" s="131">
        <v>0</v>
      </c>
      <c r="N59" s="130">
        <v>35009.613770000004</v>
      </c>
      <c r="O59" s="49"/>
      <c r="P59" s="49"/>
      <c r="Q59" s="49"/>
      <c r="R59" s="146"/>
      <c r="S59" s="146"/>
      <c r="T59" s="146"/>
      <c r="U59" s="146"/>
      <c r="V59" s="158"/>
      <c r="W59" s="159"/>
      <c r="X59" s="159"/>
      <c r="Y59" s="159"/>
    </row>
    <row r="60" spans="1:28" s="1" customFormat="1" ht="12" x14ac:dyDescent="0.2">
      <c r="A60" s="104" t="s">
        <v>77</v>
      </c>
      <c r="B60" s="129">
        <v>17758.96774</v>
      </c>
      <c r="C60" s="129">
        <v>16610.466670000002</v>
      </c>
      <c r="D60" s="129">
        <v>15915.64516</v>
      </c>
      <c r="E60" s="129">
        <v>15781.6129</v>
      </c>
      <c r="F60" s="129">
        <v>15617.241379999999</v>
      </c>
      <c r="G60" s="129">
        <v>15548.09677</v>
      </c>
      <c r="H60" s="129">
        <v>14383.733329999999</v>
      </c>
      <c r="I60" s="129">
        <v>13253.45161</v>
      </c>
      <c r="J60" s="129">
        <v>12310.03333</v>
      </c>
      <c r="K60" s="129">
        <v>11758.54839</v>
      </c>
      <c r="L60" s="129">
        <v>11519.586209999999</v>
      </c>
      <c r="M60" s="129">
        <v>0</v>
      </c>
      <c r="N60" s="129">
        <v>14600.6018</v>
      </c>
      <c r="O60" s="49"/>
      <c r="P60" s="49"/>
      <c r="Q60" s="49"/>
      <c r="R60" s="146"/>
      <c r="S60" s="49"/>
      <c r="T60" s="49"/>
      <c r="U60" s="49"/>
      <c r="V60" s="47"/>
    </row>
    <row r="61" spans="1:28" s="1" customFormat="1" ht="12" x14ac:dyDescent="0.2">
      <c r="A61" s="105" t="s">
        <v>110</v>
      </c>
      <c r="B61" s="129">
        <v>4787</v>
      </c>
      <c r="C61" s="129">
        <v>4619.7</v>
      </c>
      <c r="D61" s="129">
        <v>4525.5483899999999</v>
      </c>
      <c r="E61" s="129">
        <v>4686.4193500000001</v>
      </c>
      <c r="F61" s="129">
        <v>4751.1379299999999</v>
      </c>
      <c r="G61" s="129">
        <v>4754.7096799999999</v>
      </c>
      <c r="H61" s="129">
        <v>3923.73333</v>
      </c>
      <c r="I61" s="129">
        <v>3333.4516100000001</v>
      </c>
      <c r="J61" s="129">
        <v>3130.4333299999998</v>
      </c>
      <c r="K61" s="129">
        <v>3059.9354800000001</v>
      </c>
      <c r="L61" s="129">
        <v>3211.68966</v>
      </c>
      <c r="M61" s="129">
        <v>0</v>
      </c>
      <c r="N61" s="129">
        <v>4073.9431100000002</v>
      </c>
      <c r="O61" s="49"/>
      <c r="P61" s="49"/>
      <c r="Q61" s="49"/>
      <c r="R61" s="49"/>
      <c r="S61" s="49"/>
      <c r="T61" s="49"/>
      <c r="U61" s="49"/>
      <c r="V61" s="47"/>
    </row>
    <row r="62" spans="1:28" s="1" customFormat="1" ht="12" x14ac:dyDescent="0.2">
      <c r="A62" s="105" t="s">
        <v>140</v>
      </c>
      <c r="B62" s="129">
        <v>27675.22581</v>
      </c>
      <c r="C62" s="129">
        <v>24945.233329999999</v>
      </c>
      <c r="D62" s="129">
        <v>22313.3871</v>
      </c>
      <c r="E62" s="129">
        <v>20651</v>
      </c>
      <c r="F62" s="129">
        <v>18949.275860000002</v>
      </c>
      <c r="G62" s="129">
        <v>17388.87097</v>
      </c>
      <c r="H62" s="129">
        <v>13519.666670000001</v>
      </c>
      <c r="I62" s="129">
        <v>10605.06452</v>
      </c>
      <c r="J62" s="129">
        <v>8766.1666700000005</v>
      </c>
      <c r="K62" s="129">
        <v>7733.51613</v>
      </c>
      <c r="L62" s="129">
        <v>6623.2069000000001</v>
      </c>
      <c r="M62" s="129">
        <v>0</v>
      </c>
      <c r="N62" s="129">
        <v>16335.068859999999</v>
      </c>
      <c r="O62" s="49"/>
      <c r="P62" s="49"/>
      <c r="Q62" s="49"/>
      <c r="R62" s="49"/>
      <c r="S62" s="49"/>
      <c r="T62" s="49"/>
      <c r="U62" s="49"/>
      <c r="V62" s="47"/>
    </row>
    <row r="63" spans="1:28" s="1" customFormat="1" ht="12" x14ac:dyDescent="0.2">
      <c r="A63" s="99"/>
      <c r="B63" s="6"/>
      <c r="C63" s="6"/>
      <c r="D63" s="6"/>
      <c r="E63" s="6"/>
      <c r="F63" s="5"/>
      <c r="G63" s="5"/>
      <c r="H63" s="5"/>
      <c r="I63" s="5"/>
      <c r="J63" s="5"/>
      <c r="K63" s="5"/>
      <c r="L63" s="49"/>
      <c r="M63" s="49"/>
      <c r="N63" s="49"/>
      <c r="O63" s="49"/>
      <c r="P63" s="49"/>
      <c r="Q63" s="49"/>
      <c r="R63" s="49"/>
      <c r="S63" s="49"/>
      <c r="T63" s="49"/>
      <c r="U63" s="49"/>
      <c r="V63" s="47"/>
    </row>
    <row r="64" spans="1:28" s="1" customFormat="1" ht="12" customHeight="1" x14ac:dyDescent="0.2">
      <c r="A64" s="233"/>
      <c r="B64" s="217"/>
      <c r="C64" s="217"/>
      <c r="D64" s="217"/>
      <c r="E64" s="217"/>
      <c r="F64" s="217"/>
      <c r="G64" s="217"/>
      <c r="H64" s="217"/>
      <c r="I64" s="217"/>
      <c r="J64" s="217"/>
      <c r="K64" s="217"/>
      <c r="L64" s="217"/>
      <c r="M64" s="217"/>
      <c r="N64" s="217"/>
      <c r="O64" s="217"/>
      <c r="P64" s="217"/>
      <c r="Q64" s="217"/>
      <c r="R64" s="217"/>
      <c r="S64" s="217"/>
      <c r="T64" s="217"/>
      <c r="U64" s="217"/>
      <c r="V64" s="234"/>
    </row>
    <row r="65" spans="1:27" s="1" customFormat="1" ht="12" x14ac:dyDescent="0.2">
      <c r="A65" s="99"/>
      <c r="B65" s="6"/>
      <c r="C65" s="6"/>
      <c r="D65" s="6"/>
      <c r="E65" s="6"/>
      <c r="F65" s="5"/>
      <c r="G65" s="5"/>
      <c r="H65" s="5"/>
      <c r="I65" s="5"/>
      <c r="J65" s="5"/>
      <c r="K65" s="5"/>
      <c r="L65" s="49"/>
      <c r="M65" s="49"/>
      <c r="N65" s="49"/>
      <c r="O65" s="49"/>
      <c r="P65" s="49"/>
      <c r="Q65" s="49"/>
      <c r="R65" s="49"/>
      <c r="S65" s="49"/>
      <c r="T65" s="49"/>
      <c r="U65" s="49"/>
      <c r="V65" s="47"/>
    </row>
    <row r="66" spans="1:27" s="1" customFormat="1" ht="24.75" customHeight="1" x14ac:dyDescent="0.2">
      <c r="A66" s="197" t="s">
        <v>168</v>
      </c>
      <c r="B66" s="198"/>
      <c r="C66" s="198"/>
      <c r="D66" s="198"/>
      <c r="E66" s="198"/>
      <c r="F66" s="198"/>
      <c r="G66" s="198"/>
      <c r="H66" s="198"/>
      <c r="I66" s="198"/>
      <c r="J66" s="198"/>
      <c r="K66" s="198"/>
      <c r="L66" s="198"/>
      <c r="M66" s="198"/>
      <c r="N66" s="198"/>
      <c r="O66" s="49"/>
      <c r="P66" s="49"/>
      <c r="Q66" s="155"/>
      <c r="R66" s="155"/>
      <c r="S66" s="155"/>
      <c r="T66" s="155"/>
      <c r="U66" s="155"/>
      <c r="V66" s="156"/>
      <c r="W66" s="157"/>
      <c r="X66" s="157"/>
      <c r="Y66" s="157"/>
      <c r="Z66" s="157"/>
      <c r="AA66" s="157"/>
    </row>
    <row r="67" spans="1:27" s="1" customFormat="1" ht="12" x14ac:dyDescent="0.2">
      <c r="A67" s="38" t="s">
        <v>145</v>
      </c>
      <c r="B67" s="108" t="s">
        <v>146</v>
      </c>
      <c r="C67" s="108" t="s">
        <v>147</v>
      </c>
      <c r="D67" s="108" t="s">
        <v>148</v>
      </c>
      <c r="E67" s="108" t="s">
        <v>149</v>
      </c>
      <c r="F67" s="108" t="s">
        <v>150</v>
      </c>
      <c r="G67" s="108" t="s">
        <v>151</v>
      </c>
      <c r="H67" s="108" t="s">
        <v>152</v>
      </c>
      <c r="I67" s="108" t="s">
        <v>153</v>
      </c>
      <c r="J67" s="108" t="s">
        <v>154</v>
      </c>
      <c r="K67" s="108" t="s">
        <v>157</v>
      </c>
      <c r="L67" s="108" t="s">
        <v>158</v>
      </c>
      <c r="M67" s="108" t="s">
        <v>159</v>
      </c>
      <c r="N67" s="108" t="s">
        <v>167</v>
      </c>
      <c r="O67" s="49"/>
      <c r="P67" s="49"/>
      <c r="Q67" s="49"/>
      <c r="R67" s="49"/>
      <c r="S67" s="49"/>
      <c r="T67" s="49"/>
      <c r="U67" s="49"/>
      <c r="V67" s="47"/>
    </row>
    <row r="68" spans="1:27" s="1" customFormat="1" ht="12.75" customHeight="1" x14ac:dyDescent="0.2">
      <c r="A68" s="102" t="s">
        <v>164</v>
      </c>
      <c r="B68" s="132">
        <v>57.754600000000003</v>
      </c>
      <c r="C68" s="133">
        <v>56.589799999999997</v>
      </c>
      <c r="D68" s="132">
        <v>52.264679999999998</v>
      </c>
      <c r="E68" s="133">
        <v>60.988819999999997</v>
      </c>
      <c r="F68" s="132">
        <v>59.104709999999997</v>
      </c>
      <c r="G68" s="133">
        <v>54.054540000000003</v>
      </c>
      <c r="H68" s="133">
        <v>85.903459999999995</v>
      </c>
      <c r="I68" s="132">
        <v>109.63941</v>
      </c>
      <c r="J68" s="133">
        <v>134.86288999999999</v>
      </c>
      <c r="K68" s="132">
        <v>122.18868999999999</v>
      </c>
      <c r="L68" s="132">
        <v>125.95267</v>
      </c>
      <c r="M68" s="133">
        <v>0</v>
      </c>
      <c r="N68" s="132">
        <v>66.068560000000005</v>
      </c>
      <c r="O68" s="49"/>
      <c r="P68" s="49"/>
      <c r="Q68" s="155"/>
      <c r="R68" s="155"/>
      <c r="S68" s="155"/>
      <c r="T68" s="155"/>
      <c r="U68" s="155"/>
      <c r="V68" s="156"/>
      <c r="W68" s="157"/>
      <c r="X68" s="157"/>
      <c r="Y68" s="157"/>
      <c r="Z68" s="157"/>
      <c r="AA68" s="157"/>
    </row>
    <row r="69" spans="1:27" s="1" customFormat="1" ht="12" x14ac:dyDescent="0.2">
      <c r="A69" s="104" t="s">
        <v>77</v>
      </c>
      <c r="B69" s="134">
        <v>40.120510000000003</v>
      </c>
      <c r="C69" s="134">
        <v>40.207129999999999</v>
      </c>
      <c r="D69" s="134">
        <v>33.537219999999998</v>
      </c>
      <c r="E69" s="134">
        <v>34.505180000000003</v>
      </c>
      <c r="F69" s="134">
        <v>29.787430000000001</v>
      </c>
      <c r="G69" s="134">
        <v>25.312159999999999</v>
      </c>
      <c r="H69" s="134">
        <v>31.80378</v>
      </c>
      <c r="I69" s="134">
        <v>44.400739999999999</v>
      </c>
      <c r="J69" s="134">
        <v>65.940219999999997</v>
      </c>
      <c r="K69" s="134">
        <v>72.526650000000004</v>
      </c>
      <c r="L69" s="134">
        <v>82.419709999999995</v>
      </c>
      <c r="M69" s="134">
        <v>0</v>
      </c>
      <c r="N69" s="134">
        <v>37.947929999999999</v>
      </c>
      <c r="O69" s="49"/>
      <c r="P69" s="49"/>
      <c r="Q69" s="49"/>
      <c r="R69" s="49"/>
      <c r="S69" s="49"/>
      <c r="T69" s="49"/>
      <c r="U69" s="49"/>
      <c r="V69" s="47"/>
    </row>
    <row r="70" spans="1:27" s="1" customFormat="1" ht="12" x14ac:dyDescent="0.2">
      <c r="A70" s="105" t="s">
        <v>110</v>
      </c>
      <c r="B70" s="134">
        <v>56.091230000000003</v>
      </c>
      <c r="C70" s="134">
        <v>48.128329999999998</v>
      </c>
      <c r="D70" s="134">
        <v>56.052970000000002</v>
      </c>
      <c r="E70" s="134">
        <v>56.919910000000002</v>
      </c>
      <c r="F70" s="134">
        <v>51.46875</v>
      </c>
      <c r="G70" s="134">
        <v>46.210230000000003</v>
      </c>
      <c r="H70" s="134">
        <v>74.095479999999995</v>
      </c>
      <c r="I70" s="134">
        <v>103.90678</v>
      </c>
      <c r="J70" s="134">
        <v>144.25489999999999</v>
      </c>
      <c r="K70" s="134">
        <v>123.99074</v>
      </c>
      <c r="L70" s="134">
        <v>123.37895</v>
      </c>
      <c r="M70" s="134">
        <v>0</v>
      </c>
      <c r="N70" s="134">
        <v>62.034509999999997</v>
      </c>
      <c r="O70" s="49"/>
      <c r="P70" s="49"/>
      <c r="Q70" s="49"/>
      <c r="R70" s="49"/>
      <c r="S70" s="49"/>
      <c r="T70" s="49"/>
      <c r="U70" s="49"/>
      <c r="V70" s="47"/>
    </row>
    <row r="71" spans="1:27" s="1" customFormat="1" ht="12" x14ac:dyDescent="0.2">
      <c r="A71" s="105" t="s">
        <v>140</v>
      </c>
      <c r="B71" s="134">
        <v>64.009590000000003</v>
      </c>
      <c r="C71" s="134">
        <v>62.505780000000001</v>
      </c>
      <c r="D71" s="134">
        <v>58.342480000000002</v>
      </c>
      <c r="E71" s="134">
        <v>72.450839999999999</v>
      </c>
      <c r="F71" s="134">
        <v>72.876549999999995</v>
      </c>
      <c r="G71" s="134">
        <v>69.177779999999998</v>
      </c>
      <c r="H71" s="134">
        <v>119.77833</v>
      </c>
      <c r="I71" s="134">
        <v>147.84374</v>
      </c>
      <c r="J71" s="134">
        <v>166.49905999999999</v>
      </c>
      <c r="K71" s="134">
        <v>147.96</v>
      </c>
      <c r="L71" s="134">
        <v>148.51284000000001</v>
      </c>
      <c r="M71" s="134">
        <v>0</v>
      </c>
      <c r="N71" s="134">
        <v>77.926749999999998</v>
      </c>
      <c r="O71" s="49"/>
      <c r="P71" s="155"/>
      <c r="Q71" s="155"/>
      <c r="R71" s="155"/>
      <c r="S71" s="155"/>
      <c r="T71" s="155"/>
      <c r="U71" s="155"/>
      <c r="V71" s="156"/>
      <c r="W71" s="157"/>
      <c r="X71" s="157"/>
      <c r="Y71" s="157"/>
      <c r="Z71" s="157"/>
    </row>
    <row r="72" spans="1:27" s="1" customFormat="1" ht="12" x14ac:dyDescent="0.2">
      <c r="A72" s="102" t="s">
        <v>165</v>
      </c>
      <c r="B72" s="132">
        <v>51.296149999999997</v>
      </c>
      <c r="C72" s="133">
        <v>54.210520000000002</v>
      </c>
      <c r="D72" s="132">
        <v>58.525919999999999</v>
      </c>
      <c r="E72" s="133">
        <v>52.549280000000003</v>
      </c>
      <c r="F72" s="132">
        <v>52.58446</v>
      </c>
      <c r="G72" s="133">
        <v>48.000720000000001</v>
      </c>
      <c r="H72" s="133">
        <v>64.549400000000006</v>
      </c>
      <c r="I72" s="132">
        <v>64.886409999999998</v>
      </c>
      <c r="J72" s="133">
        <v>68.151610000000005</v>
      </c>
      <c r="K72" s="132">
        <v>72.516819999999996</v>
      </c>
      <c r="L72" s="132">
        <v>74.968710000000002</v>
      </c>
      <c r="M72" s="133">
        <v>0</v>
      </c>
      <c r="N72" s="132">
        <v>58.053249999999998</v>
      </c>
      <c r="O72" s="49"/>
      <c r="P72" s="49"/>
      <c r="Q72" s="49"/>
      <c r="R72" s="49"/>
      <c r="S72" s="49"/>
      <c r="T72" s="49"/>
      <c r="U72" s="49"/>
      <c r="V72" s="47"/>
    </row>
    <row r="73" spans="1:27" s="1" customFormat="1" ht="12" x14ac:dyDescent="0.2">
      <c r="A73" s="104" t="s">
        <v>77</v>
      </c>
      <c r="B73" s="134">
        <v>52.865029999999997</v>
      </c>
      <c r="C73" s="134">
        <v>55.664610000000003</v>
      </c>
      <c r="D73" s="134">
        <v>61.335650000000001</v>
      </c>
      <c r="E73" s="134">
        <v>52.66865</v>
      </c>
      <c r="F73" s="134">
        <v>52.9955</v>
      </c>
      <c r="G73" s="134">
        <v>49.199779999999997</v>
      </c>
      <c r="H73" s="134">
        <v>64.539869999999993</v>
      </c>
      <c r="I73" s="134">
        <v>62.001190000000001</v>
      </c>
      <c r="J73" s="134">
        <v>67.001949999999994</v>
      </c>
      <c r="K73" s="134">
        <v>70.677930000000003</v>
      </c>
      <c r="L73" s="134">
        <v>72.905060000000006</v>
      </c>
      <c r="M73" s="134">
        <v>0</v>
      </c>
      <c r="N73" s="134">
        <v>58.632060000000003</v>
      </c>
      <c r="O73" s="49"/>
      <c r="P73" s="49"/>
      <c r="Q73" s="49"/>
      <c r="R73" s="49"/>
      <c r="S73" s="49"/>
      <c r="T73" s="49"/>
      <c r="U73" s="49"/>
      <c r="V73" s="47"/>
    </row>
    <row r="74" spans="1:27" s="1" customFormat="1" ht="12" customHeight="1" x14ac:dyDescent="0.2">
      <c r="A74" s="105" t="s">
        <v>110</v>
      </c>
      <c r="B74" s="134">
        <v>49.45391</v>
      </c>
      <c r="C74" s="134">
        <v>52.07949</v>
      </c>
      <c r="D74" s="134">
        <v>53.559179999999998</v>
      </c>
      <c r="E74" s="134">
        <v>51.008009999999999</v>
      </c>
      <c r="F74" s="134">
        <v>52.422330000000002</v>
      </c>
      <c r="G74" s="134">
        <v>47.717820000000003</v>
      </c>
      <c r="H74" s="134">
        <v>61.240430000000003</v>
      </c>
      <c r="I74" s="134">
        <v>64.472520000000003</v>
      </c>
      <c r="J74" s="134">
        <v>65.436589999999995</v>
      </c>
      <c r="K74" s="134">
        <v>67.432169999999999</v>
      </c>
      <c r="L74" s="134">
        <v>73.445779999999999</v>
      </c>
      <c r="M74" s="134">
        <v>0</v>
      </c>
      <c r="N74" s="134">
        <v>55.871189999999999</v>
      </c>
      <c r="O74" s="49"/>
      <c r="P74" s="49"/>
      <c r="Q74" s="49"/>
      <c r="R74" s="49"/>
      <c r="S74" s="49"/>
      <c r="T74" s="49"/>
      <c r="U74" s="49"/>
      <c r="V74" s="47"/>
    </row>
    <row r="75" spans="1:27" s="1" customFormat="1" ht="12" x14ac:dyDescent="0.2">
      <c r="A75" s="105" t="s">
        <v>140</v>
      </c>
      <c r="B75" s="134">
        <v>44.994349999999997</v>
      </c>
      <c r="C75" s="134">
        <v>49.154589999999999</v>
      </c>
      <c r="D75" s="134">
        <v>50.474850000000004</v>
      </c>
      <c r="E75" s="134">
        <v>54.534379999999999</v>
      </c>
      <c r="F75" s="134">
        <v>50.693629999999999</v>
      </c>
      <c r="G75" s="134">
        <v>42.267139999999998</v>
      </c>
      <c r="H75" s="134">
        <v>72.016829999999999</v>
      </c>
      <c r="I75" s="134">
        <v>101.5534</v>
      </c>
      <c r="J75" s="134">
        <v>90.629729999999995</v>
      </c>
      <c r="K75" s="134">
        <v>114.55793</v>
      </c>
      <c r="L75" s="134">
        <v>102.39753</v>
      </c>
      <c r="M75" s="134">
        <v>0</v>
      </c>
      <c r="N75" s="134">
        <v>58.49644</v>
      </c>
      <c r="O75" s="49"/>
      <c r="P75" s="49"/>
      <c r="Q75" s="49"/>
      <c r="R75" s="49"/>
      <c r="S75" s="49"/>
      <c r="T75" s="49"/>
      <c r="U75" s="49"/>
      <c r="V75" s="47"/>
    </row>
    <row r="76" spans="1:27" s="1" customFormat="1" ht="12" x14ac:dyDescent="0.2">
      <c r="A76" s="102" t="s">
        <v>166</v>
      </c>
      <c r="B76" s="132">
        <v>55.19988</v>
      </c>
      <c r="C76" s="133">
        <v>55.656570000000002</v>
      </c>
      <c r="D76" s="132">
        <v>54.68235</v>
      </c>
      <c r="E76" s="133">
        <v>57.083159999999999</v>
      </c>
      <c r="F76" s="132">
        <v>56.132869999999997</v>
      </c>
      <c r="G76" s="133">
        <v>51.045929999999998</v>
      </c>
      <c r="H76" s="133">
        <v>73.81823</v>
      </c>
      <c r="I76" s="132">
        <v>80.951049999999995</v>
      </c>
      <c r="J76" s="133">
        <v>91.145859999999999</v>
      </c>
      <c r="K76" s="132">
        <v>88.872960000000006</v>
      </c>
      <c r="L76" s="132">
        <v>89.786469999999994</v>
      </c>
      <c r="M76" s="133">
        <v>0</v>
      </c>
      <c r="N76" s="132">
        <v>62.20946</v>
      </c>
      <c r="O76" s="49"/>
      <c r="P76" s="49"/>
      <c r="Q76" s="49"/>
      <c r="R76" s="49"/>
      <c r="S76" s="49"/>
      <c r="T76" s="49"/>
      <c r="U76" s="49"/>
      <c r="V76" s="47"/>
    </row>
    <row r="77" spans="1:27" s="1" customFormat="1" ht="12" x14ac:dyDescent="0.2">
      <c r="A77" s="104" t="s">
        <v>77</v>
      </c>
      <c r="B77" s="134">
        <v>48.267980000000001</v>
      </c>
      <c r="C77" s="134">
        <v>50.24606</v>
      </c>
      <c r="D77" s="134">
        <v>51.302379999999999</v>
      </c>
      <c r="E77" s="134">
        <v>46.715299999999999</v>
      </c>
      <c r="F77" s="134">
        <v>44.859630000000003</v>
      </c>
      <c r="G77" s="134">
        <v>41.169530000000002</v>
      </c>
      <c r="H77" s="134">
        <v>55.202309999999997</v>
      </c>
      <c r="I77" s="134">
        <v>58.287430000000001</v>
      </c>
      <c r="J77" s="134">
        <v>66.815280000000001</v>
      </c>
      <c r="K77" s="134">
        <v>71.007800000000003</v>
      </c>
      <c r="L77" s="134">
        <v>74.401910000000001</v>
      </c>
      <c r="M77" s="134">
        <v>0</v>
      </c>
      <c r="N77" s="134">
        <v>52.325249999999997</v>
      </c>
      <c r="O77" s="49"/>
      <c r="P77" s="49"/>
      <c r="Q77" s="49"/>
      <c r="R77" s="49"/>
      <c r="S77" s="49"/>
      <c r="T77" s="49"/>
      <c r="U77" s="49"/>
      <c r="V77" s="47"/>
    </row>
    <row r="78" spans="1:27" s="1" customFormat="1" ht="12" x14ac:dyDescent="0.2">
      <c r="A78" s="105" t="s">
        <v>110</v>
      </c>
      <c r="B78" s="134">
        <v>50.690669999999997</v>
      </c>
      <c r="C78" s="134">
        <v>51.13635</v>
      </c>
      <c r="D78" s="134">
        <v>54.008789999999998</v>
      </c>
      <c r="E78" s="134">
        <v>51.970570000000002</v>
      </c>
      <c r="F78" s="134">
        <v>52.249380000000002</v>
      </c>
      <c r="G78" s="134">
        <v>47.52666</v>
      </c>
      <c r="H78" s="134">
        <v>62.667969999999997</v>
      </c>
      <c r="I78" s="134">
        <v>67.731089999999995</v>
      </c>
      <c r="J78" s="134">
        <v>72.102819999999994</v>
      </c>
      <c r="K78" s="134">
        <v>72.287760000000006</v>
      </c>
      <c r="L78" s="134">
        <v>76.779340000000005</v>
      </c>
      <c r="M78" s="134">
        <v>0</v>
      </c>
      <c r="N78" s="134">
        <v>56.806159999999998</v>
      </c>
      <c r="O78" s="49"/>
      <c r="P78" s="49"/>
      <c r="Q78" s="49"/>
      <c r="R78" s="49"/>
      <c r="S78" s="49"/>
      <c r="T78" s="49"/>
      <c r="U78" s="49"/>
      <c r="V78" s="47"/>
    </row>
    <row r="79" spans="1:27" s="1" customFormat="1" ht="12" x14ac:dyDescent="0.2">
      <c r="A79" s="105" t="s">
        <v>140</v>
      </c>
      <c r="B79" s="134">
        <v>62.31062</v>
      </c>
      <c r="C79" s="134">
        <v>61.280259999999998</v>
      </c>
      <c r="D79" s="134">
        <v>57.661499999999997</v>
      </c>
      <c r="E79" s="134">
        <v>70.188969999999998</v>
      </c>
      <c r="F79" s="134">
        <v>69.812219999999996</v>
      </c>
      <c r="G79" s="134">
        <v>64.780720000000002</v>
      </c>
      <c r="H79" s="134">
        <v>111.91549000000001</v>
      </c>
      <c r="I79" s="134">
        <v>140.87056999999999</v>
      </c>
      <c r="J79" s="134">
        <v>155.2253</v>
      </c>
      <c r="K79" s="134">
        <v>142.81155999999999</v>
      </c>
      <c r="L79" s="134">
        <v>139.18382</v>
      </c>
      <c r="M79" s="134">
        <v>0</v>
      </c>
      <c r="N79" s="134">
        <v>75.596580000000003</v>
      </c>
      <c r="O79" s="49"/>
      <c r="P79" s="49"/>
      <c r="Q79" s="49"/>
      <c r="R79" s="49"/>
      <c r="S79" s="49"/>
      <c r="T79" s="49"/>
      <c r="U79" s="49"/>
      <c r="V79" s="47"/>
    </row>
    <row r="80" spans="1:27" s="1" customFormat="1" ht="12" x14ac:dyDescent="0.2">
      <c r="A80" s="99"/>
      <c r="B80" s="6"/>
      <c r="C80" s="6"/>
      <c r="D80" s="6"/>
      <c r="E80" s="6"/>
      <c r="F80" s="5"/>
      <c r="G80" s="5"/>
      <c r="H80" s="5"/>
      <c r="I80" s="5"/>
      <c r="J80" s="5"/>
      <c r="K80" s="5"/>
      <c r="L80" s="49"/>
      <c r="M80" s="49"/>
      <c r="N80" s="49"/>
      <c r="O80" s="49"/>
      <c r="P80" s="49"/>
      <c r="Q80" s="49"/>
      <c r="R80" s="49"/>
      <c r="S80" s="49"/>
      <c r="T80" s="49"/>
      <c r="U80" s="49"/>
      <c r="V80" s="47"/>
    </row>
    <row r="81" spans="1:26" s="1" customFormat="1" ht="12" x14ac:dyDescent="0.2">
      <c r="A81" s="233"/>
      <c r="B81" s="217"/>
      <c r="C81" s="217"/>
      <c r="D81" s="217"/>
      <c r="E81" s="217"/>
      <c r="F81" s="217"/>
      <c r="G81" s="217"/>
      <c r="H81" s="217"/>
      <c r="I81" s="217"/>
      <c r="J81" s="217"/>
      <c r="K81" s="217"/>
      <c r="L81" s="217"/>
      <c r="M81" s="217"/>
      <c r="N81" s="217"/>
      <c r="O81" s="217"/>
      <c r="P81" s="217"/>
      <c r="Q81" s="217"/>
      <c r="R81" s="217"/>
      <c r="S81" s="217"/>
      <c r="T81" s="217"/>
      <c r="U81" s="217"/>
      <c r="V81" s="234"/>
    </row>
    <row r="82" spans="1:26" s="1" customFormat="1" ht="12" x14ac:dyDescent="0.2">
      <c r="A82" s="99"/>
      <c r="B82" s="6"/>
      <c r="C82" s="6"/>
      <c r="D82" s="6"/>
      <c r="E82" s="6"/>
      <c r="F82" s="5"/>
      <c r="G82" s="5"/>
      <c r="H82" s="5"/>
      <c r="I82" s="5"/>
      <c r="J82" s="5"/>
      <c r="K82" s="5"/>
      <c r="L82" s="49"/>
      <c r="M82" s="49"/>
      <c r="N82" s="49"/>
      <c r="O82" s="49"/>
      <c r="P82" s="49"/>
      <c r="Q82" s="49"/>
      <c r="R82" s="49"/>
      <c r="S82" s="49"/>
      <c r="T82" s="49"/>
      <c r="U82" s="49"/>
      <c r="V82" s="47"/>
    </row>
    <row r="83" spans="1:26" s="8" customFormat="1" ht="24.75" customHeight="1" x14ac:dyDescent="0.2">
      <c r="A83" s="232" t="s">
        <v>169</v>
      </c>
      <c r="B83" s="199"/>
      <c r="C83" s="199"/>
      <c r="D83" s="199"/>
      <c r="E83" s="199"/>
      <c r="F83" s="199"/>
      <c r="G83" s="199"/>
      <c r="H83" s="199"/>
      <c r="I83" s="199"/>
      <c r="J83" s="199"/>
      <c r="K83" s="199"/>
      <c r="L83" s="199"/>
      <c r="M83" s="199"/>
      <c r="N83" s="199"/>
      <c r="O83" s="49"/>
      <c r="P83" s="155"/>
      <c r="Q83" s="155"/>
      <c r="R83" s="155"/>
      <c r="S83" s="155"/>
      <c r="T83" s="155"/>
      <c r="U83" s="155"/>
      <c r="V83" s="156"/>
      <c r="W83" s="161"/>
      <c r="X83" s="161"/>
      <c r="Y83" s="161"/>
      <c r="Z83" s="161"/>
    </row>
    <row r="84" spans="1:26" s="1" customFormat="1" ht="12" x14ac:dyDescent="0.2">
      <c r="A84" s="38" t="s">
        <v>162</v>
      </c>
      <c r="B84" s="108" t="s">
        <v>146</v>
      </c>
      <c r="C84" s="108" t="s">
        <v>147</v>
      </c>
      <c r="D84" s="108" t="s">
        <v>148</v>
      </c>
      <c r="E84" s="108" t="s">
        <v>149</v>
      </c>
      <c r="F84" s="108" t="s">
        <v>150</v>
      </c>
      <c r="G84" s="108" t="s">
        <v>151</v>
      </c>
      <c r="H84" s="108" t="s">
        <v>152</v>
      </c>
      <c r="I84" s="108" t="s">
        <v>153</v>
      </c>
      <c r="J84" s="108" t="s">
        <v>154</v>
      </c>
      <c r="K84" s="108" t="s">
        <v>157</v>
      </c>
      <c r="L84" s="108" t="s">
        <v>158</v>
      </c>
      <c r="M84" s="108" t="s">
        <v>159</v>
      </c>
      <c r="N84" s="108" t="s">
        <v>167</v>
      </c>
      <c r="O84" s="49"/>
      <c r="P84" s="146"/>
      <c r="Q84" s="155"/>
      <c r="R84" s="155"/>
      <c r="S84" s="155"/>
      <c r="T84" s="155"/>
      <c r="U84" s="155"/>
      <c r="V84" s="156"/>
      <c r="W84" s="157"/>
      <c r="X84" s="157"/>
      <c r="Y84" s="157"/>
      <c r="Z84" s="157"/>
    </row>
    <row r="85" spans="1:26" s="1" customFormat="1" ht="12.75" customHeight="1" thickBot="1" x14ac:dyDescent="0.25">
      <c r="A85" s="94" t="s">
        <v>1</v>
      </c>
      <c r="B85" s="135">
        <v>50221.193550000004</v>
      </c>
      <c r="C85" s="136">
        <v>46175.4</v>
      </c>
      <c r="D85" s="135">
        <v>42754.580650000004</v>
      </c>
      <c r="E85" s="136">
        <v>41119.03226</v>
      </c>
      <c r="F85" s="135">
        <v>39317.655169999998</v>
      </c>
      <c r="G85" s="136">
        <v>37691.67742</v>
      </c>
      <c r="H85" s="136">
        <v>31827.133330000001</v>
      </c>
      <c r="I85" s="135">
        <v>27191.96774</v>
      </c>
      <c r="J85" s="136">
        <v>24206.633330000001</v>
      </c>
      <c r="K85" s="135">
        <v>22552</v>
      </c>
      <c r="L85" s="135">
        <v>21354.482759999999</v>
      </c>
      <c r="M85" s="136">
        <v>0</v>
      </c>
      <c r="N85" s="135">
        <v>35009.613770000004</v>
      </c>
      <c r="O85" s="49"/>
      <c r="P85" s="146"/>
      <c r="Q85" s="146"/>
      <c r="R85" s="146"/>
      <c r="S85" s="146"/>
      <c r="T85" s="154"/>
      <c r="U85" s="146"/>
      <c r="V85" s="158"/>
      <c r="W85" s="159"/>
      <c r="X85" s="159"/>
      <c r="Y85" s="159"/>
      <c r="Z85" s="159"/>
    </row>
    <row r="86" spans="1:26" s="1" customFormat="1" ht="12.75" thickTop="1" x14ac:dyDescent="0.2">
      <c r="A86" s="95" t="s">
        <v>133</v>
      </c>
      <c r="B86" s="137">
        <v>1590.2258099999999</v>
      </c>
      <c r="C86" s="137">
        <v>1836.1333299999999</v>
      </c>
      <c r="D86" s="137">
        <v>1544.83871</v>
      </c>
      <c r="E86" s="137">
        <v>1436.2258099999999</v>
      </c>
      <c r="F86" s="137">
        <v>1436.5517199999999</v>
      </c>
      <c r="G86" s="137">
        <v>1590.5806500000001</v>
      </c>
      <c r="H86" s="137">
        <v>765.96667000000002</v>
      </c>
      <c r="I86" s="137">
        <v>366.48387000000002</v>
      </c>
      <c r="J86" s="137">
        <v>268.39999999999998</v>
      </c>
      <c r="K86" s="137">
        <v>345.83870999999999</v>
      </c>
      <c r="L86" s="137">
        <v>263.20690000000002</v>
      </c>
      <c r="M86" s="137">
        <v>0</v>
      </c>
      <c r="N86" s="137">
        <v>1043.43713</v>
      </c>
      <c r="O86" s="49"/>
      <c r="P86" s="146"/>
      <c r="Q86" s="146"/>
      <c r="R86" s="146"/>
      <c r="S86" s="146"/>
      <c r="T86" s="146"/>
      <c r="U86" s="146"/>
      <c r="V86" s="158"/>
      <c r="W86" s="159"/>
      <c r="X86" s="159"/>
      <c r="Y86" s="159"/>
      <c r="Z86" s="159"/>
    </row>
    <row r="87" spans="1:26" s="1" customFormat="1" ht="12" x14ac:dyDescent="0.2">
      <c r="A87" s="96" t="s">
        <v>134</v>
      </c>
      <c r="B87" s="138">
        <v>48630.96774</v>
      </c>
      <c r="C87" s="138">
        <v>44339.266669999997</v>
      </c>
      <c r="D87" s="138">
        <v>41209.74194</v>
      </c>
      <c r="E87" s="138">
        <v>39682.806449999996</v>
      </c>
      <c r="F87" s="138">
        <v>37881.103450000002</v>
      </c>
      <c r="G87" s="138">
        <v>36101.096769999996</v>
      </c>
      <c r="H87" s="138">
        <v>31061.166669999999</v>
      </c>
      <c r="I87" s="138">
        <v>26825.48387</v>
      </c>
      <c r="J87" s="138">
        <v>23938.233329999999</v>
      </c>
      <c r="K87" s="138">
        <v>22206.16129</v>
      </c>
      <c r="L87" s="138">
        <v>21091.275860000002</v>
      </c>
      <c r="M87" s="138">
        <v>0</v>
      </c>
      <c r="N87" s="138">
        <v>33966.176650000001</v>
      </c>
      <c r="O87" s="49"/>
      <c r="P87" s="146"/>
      <c r="Q87" s="146"/>
      <c r="R87" s="146"/>
      <c r="S87" s="146"/>
      <c r="T87" s="146"/>
      <c r="U87" s="146"/>
      <c r="V87" s="158"/>
      <c r="W87" s="159"/>
      <c r="X87" s="159"/>
      <c r="Y87" s="159"/>
      <c r="Z87" s="159"/>
    </row>
    <row r="88" spans="1:26" s="3" customFormat="1" ht="23.25" customHeight="1" x14ac:dyDescent="0.2">
      <c r="A88" s="99"/>
      <c r="B88" s="6"/>
      <c r="C88" s="6"/>
      <c r="D88" s="6"/>
      <c r="E88" s="6"/>
      <c r="F88" s="5"/>
      <c r="G88" s="5"/>
      <c r="H88" s="5"/>
      <c r="I88" s="5"/>
      <c r="J88" s="5"/>
      <c r="K88" s="5"/>
      <c r="L88" s="49"/>
      <c r="M88" s="49"/>
      <c r="N88" s="49"/>
      <c r="O88" s="49"/>
      <c r="P88" s="146"/>
      <c r="Q88" s="146"/>
      <c r="R88" s="146"/>
      <c r="S88" s="146"/>
      <c r="T88" s="146"/>
      <c r="U88" s="146"/>
      <c r="V88" s="158"/>
      <c r="W88" s="160"/>
      <c r="X88" s="160"/>
      <c r="Y88" s="160"/>
    </row>
    <row r="89" spans="1:26" s="1" customFormat="1" ht="12.75" customHeight="1" x14ac:dyDescent="0.2">
      <c r="A89" s="233"/>
      <c r="B89" s="217"/>
      <c r="C89" s="217"/>
      <c r="D89" s="217"/>
      <c r="E89" s="217"/>
      <c r="F89" s="217"/>
      <c r="G89" s="217"/>
      <c r="H89" s="217"/>
      <c r="I89" s="217"/>
      <c r="J89" s="217"/>
      <c r="K89" s="217"/>
      <c r="L89" s="217"/>
      <c r="M89" s="217"/>
      <c r="N89" s="217"/>
      <c r="O89" s="217"/>
      <c r="P89" s="217"/>
      <c r="Q89" s="217"/>
      <c r="R89" s="217"/>
      <c r="S89" s="217"/>
      <c r="T89" s="217"/>
      <c r="U89" s="217"/>
      <c r="V89" s="234"/>
    </row>
    <row r="90" spans="1:26" s="1" customFormat="1" ht="12.75" customHeight="1" x14ac:dyDescent="0.2">
      <c r="A90" s="99"/>
      <c r="B90" s="6"/>
      <c r="C90" s="6"/>
      <c r="D90" s="6"/>
      <c r="E90" s="6"/>
      <c r="F90" s="5"/>
      <c r="G90" s="5"/>
      <c r="H90" s="5"/>
      <c r="I90" s="5"/>
      <c r="J90" s="5"/>
      <c r="K90" s="5"/>
      <c r="L90" s="49"/>
      <c r="M90" s="49"/>
      <c r="N90" s="49"/>
      <c r="O90" s="49"/>
      <c r="P90" s="49"/>
      <c r="Q90" s="49"/>
      <c r="R90" s="49"/>
      <c r="S90" s="49"/>
      <c r="T90" s="49"/>
      <c r="U90" s="49"/>
      <c r="V90" s="47"/>
    </row>
    <row r="91" spans="1:26" s="8" customFormat="1" ht="24.75" customHeight="1" x14ac:dyDescent="0.2">
      <c r="A91" s="232" t="s">
        <v>170</v>
      </c>
      <c r="B91" s="199"/>
      <c r="C91" s="199"/>
      <c r="D91" s="199"/>
      <c r="E91" s="199"/>
      <c r="F91" s="199"/>
      <c r="G91" s="199"/>
      <c r="H91" s="199"/>
      <c r="I91" s="199"/>
      <c r="J91" s="199"/>
      <c r="K91" s="199"/>
      <c r="L91" s="199"/>
      <c r="M91" s="199"/>
      <c r="N91" s="199"/>
      <c r="O91" s="49"/>
      <c r="P91" s="155"/>
      <c r="Q91" s="155"/>
      <c r="R91" s="155"/>
      <c r="S91" s="155"/>
      <c r="T91" s="155"/>
      <c r="U91" s="155"/>
      <c r="V91" s="156"/>
      <c r="W91" s="161"/>
      <c r="X91" s="161"/>
      <c r="Y91" s="161"/>
      <c r="Z91" s="161"/>
    </row>
    <row r="92" spans="1:26" s="1" customFormat="1" ht="12" x14ac:dyDescent="0.2">
      <c r="A92" s="38" t="s">
        <v>162</v>
      </c>
      <c r="B92" s="108" t="s">
        <v>146</v>
      </c>
      <c r="C92" s="108" t="s">
        <v>147</v>
      </c>
      <c r="D92" s="108" t="s">
        <v>148</v>
      </c>
      <c r="E92" s="108" t="s">
        <v>149</v>
      </c>
      <c r="F92" s="108" t="s">
        <v>150</v>
      </c>
      <c r="G92" s="108" t="s">
        <v>151</v>
      </c>
      <c r="H92" s="108" t="s">
        <v>152</v>
      </c>
      <c r="I92" s="108" t="s">
        <v>153</v>
      </c>
      <c r="J92" s="108" t="s">
        <v>154</v>
      </c>
      <c r="K92" s="108" t="s">
        <v>157</v>
      </c>
      <c r="L92" s="108" t="s">
        <v>158</v>
      </c>
      <c r="M92" s="108" t="s">
        <v>159</v>
      </c>
      <c r="N92" s="108" t="s">
        <v>167</v>
      </c>
      <c r="O92" s="49"/>
      <c r="P92" s="49"/>
      <c r="Q92" s="49"/>
      <c r="R92" s="49"/>
      <c r="S92" s="49"/>
      <c r="T92" s="49"/>
      <c r="U92" s="49"/>
      <c r="V92" s="47"/>
    </row>
    <row r="93" spans="1:26" s="1" customFormat="1" ht="12.75" customHeight="1" thickBot="1" x14ac:dyDescent="0.25">
      <c r="A93" s="94" t="s">
        <v>1</v>
      </c>
      <c r="B93" s="140">
        <v>55.19988</v>
      </c>
      <c r="C93" s="141">
        <v>55.656570000000002</v>
      </c>
      <c r="D93" s="140">
        <v>54.68235</v>
      </c>
      <c r="E93" s="141">
        <v>57.083159999999999</v>
      </c>
      <c r="F93" s="140">
        <v>56.132869999999997</v>
      </c>
      <c r="G93" s="141">
        <v>51.045929999999998</v>
      </c>
      <c r="H93" s="141">
        <v>73.81823</v>
      </c>
      <c r="I93" s="140">
        <v>80.951049999999995</v>
      </c>
      <c r="J93" s="141">
        <v>91.145859999999999</v>
      </c>
      <c r="K93" s="140">
        <v>88.872960000000006</v>
      </c>
      <c r="L93" s="140">
        <v>89.786469999999994</v>
      </c>
      <c r="M93" s="141">
        <v>0</v>
      </c>
      <c r="N93" s="140">
        <v>62.20946</v>
      </c>
      <c r="O93" s="49"/>
      <c r="P93" s="49"/>
      <c r="Q93" s="49"/>
      <c r="R93" s="49"/>
      <c r="S93" s="49"/>
      <c r="T93" s="49"/>
      <c r="U93" s="49"/>
      <c r="V93" s="47"/>
    </row>
    <row r="94" spans="1:26" s="1" customFormat="1" ht="12.75" thickTop="1" x14ac:dyDescent="0.2">
      <c r="A94" s="95" t="s">
        <v>133</v>
      </c>
      <c r="B94" s="142">
        <v>24.787990000000001</v>
      </c>
      <c r="C94" s="142">
        <v>39.352440000000001</v>
      </c>
      <c r="D94" s="142">
        <v>32.341900000000003</v>
      </c>
      <c r="E94" s="142">
        <v>54.740479999999998</v>
      </c>
      <c r="F94" s="142">
        <v>56.144739999999999</v>
      </c>
      <c r="G94" s="142">
        <v>64.247010000000003</v>
      </c>
      <c r="H94" s="142">
        <v>61.28689</v>
      </c>
      <c r="I94" s="142">
        <v>78.128569999999996</v>
      </c>
      <c r="J94" s="142">
        <v>42.88</v>
      </c>
      <c r="K94" s="142">
        <v>100.52542</v>
      </c>
      <c r="L94" s="142">
        <v>51.243899999999996</v>
      </c>
      <c r="M94" s="142">
        <v>0</v>
      </c>
      <c r="N94" s="142">
        <v>47.843260000000001</v>
      </c>
      <c r="O94" s="49"/>
      <c r="P94" s="49"/>
      <c r="Q94" s="49"/>
      <c r="R94" s="49"/>
      <c r="S94" s="49"/>
      <c r="T94" s="49"/>
      <c r="U94" s="49"/>
      <c r="V94" s="47"/>
    </row>
    <row r="95" spans="1:26" s="1" customFormat="1" ht="12" x14ac:dyDescent="0.2">
      <c r="A95" s="96" t="s">
        <v>134</v>
      </c>
      <c r="B95" s="139">
        <v>55.498350000000002</v>
      </c>
      <c r="C95" s="139">
        <v>55.879440000000002</v>
      </c>
      <c r="D95" s="139">
        <v>55.012340000000002</v>
      </c>
      <c r="E95" s="139">
        <v>57.111330000000002</v>
      </c>
      <c r="F95" s="139">
        <v>56.132710000000003</v>
      </c>
      <c r="G95" s="139">
        <v>50.896940000000001</v>
      </c>
      <c r="H95" s="139">
        <v>73.929079999999999</v>
      </c>
      <c r="I95" s="139">
        <v>80.969880000000003</v>
      </c>
      <c r="J95" s="139">
        <v>91.275819999999996</v>
      </c>
      <c r="K95" s="139">
        <v>88.792869999999994</v>
      </c>
      <c r="L95" s="139">
        <v>89.970029999999994</v>
      </c>
      <c r="M95" s="139">
        <v>0</v>
      </c>
      <c r="N95" s="139">
        <v>62.364910000000002</v>
      </c>
      <c r="O95" s="49"/>
      <c r="P95" s="49"/>
      <c r="Q95" s="49"/>
      <c r="R95" s="49"/>
      <c r="S95" s="49"/>
      <c r="T95" s="49"/>
      <c r="U95" s="49"/>
      <c r="V95" s="47"/>
    </row>
    <row r="96" spans="1:26" s="52" customFormat="1" x14ac:dyDescent="0.25">
      <c r="A96" s="106"/>
      <c r="B96" s="51"/>
      <c r="C96" s="51"/>
      <c r="D96" s="51"/>
      <c r="E96" s="51"/>
      <c r="F96" s="51"/>
      <c r="G96" s="51"/>
      <c r="H96" s="51"/>
      <c r="I96" s="51"/>
      <c r="J96" s="51"/>
      <c r="K96" s="51"/>
      <c r="L96" s="51"/>
      <c r="M96" s="51"/>
      <c r="N96" s="51"/>
      <c r="O96" s="51"/>
      <c r="P96" s="51"/>
      <c r="Q96" s="51"/>
      <c r="R96" s="51"/>
      <c r="S96" s="51"/>
      <c r="T96" s="51"/>
      <c r="U96" s="51"/>
      <c r="V96" s="107"/>
    </row>
    <row r="97" spans="1:22" s="52" customFormat="1" ht="15.75" thickBot="1" x14ac:dyDescent="0.3">
      <c r="A97" s="210"/>
      <c r="B97" s="211"/>
      <c r="C97" s="211"/>
      <c r="D97" s="211"/>
      <c r="E97" s="211"/>
      <c r="F97" s="211"/>
      <c r="G97" s="211"/>
      <c r="H97" s="211"/>
      <c r="I97" s="211"/>
      <c r="J97" s="211"/>
      <c r="K97" s="211"/>
      <c r="L97" s="211"/>
      <c r="M97" s="211"/>
      <c r="N97" s="211"/>
      <c r="O97" s="211"/>
      <c r="P97" s="211"/>
      <c r="Q97" s="211"/>
      <c r="R97" s="211"/>
      <c r="S97" s="211"/>
      <c r="T97" s="211"/>
      <c r="U97" s="211"/>
      <c r="V97" s="212"/>
    </row>
    <row r="98" spans="1:22" s="52" customFormat="1" x14ac:dyDescent="0.25">
      <c r="A98" s="78"/>
    </row>
    <row r="99" spans="1:22" x14ac:dyDescent="0.25">
      <c r="B99" s="144"/>
      <c r="C99" s="144"/>
      <c r="D99" s="144"/>
      <c r="E99" s="144"/>
      <c r="F99" s="144"/>
      <c r="G99" s="144"/>
      <c r="H99" s="144"/>
      <c r="I99" s="144"/>
      <c r="J99" s="144"/>
      <c r="K99" s="144"/>
    </row>
    <row r="100" spans="1:22" x14ac:dyDescent="0.25">
      <c r="B100" s="144"/>
      <c r="C100" s="144"/>
      <c r="D100" s="144"/>
      <c r="E100" s="144"/>
      <c r="F100" s="144"/>
      <c r="G100" s="144"/>
      <c r="H100" s="144"/>
      <c r="I100" s="144"/>
      <c r="J100" s="144"/>
      <c r="K100" s="144"/>
      <c r="L100" s="144"/>
    </row>
    <row r="101" spans="1:22" x14ac:dyDescent="0.25">
      <c r="B101" s="145"/>
      <c r="C101" s="145"/>
      <c r="D101" s="145"/>
      <c r="E101" s="145"/>
      <c r="F101" s="145"/>
      <c r="G101" s="145"/>
      <c r="H101" s="145"/>
      <c r="I101" s="145"/>
      <c r="J101" s="145"/>
      <c r="K101" s="145"/>
      <c r="L101" s="144"/>
    </row>
    <row r="102" spans="1:22" x14ac:dyDescent="0.25">
      <c r="B102" s="145"/>
      <c r="C102" s="145"/>
      <c r="D102" s="145"/>
      <c r="E102" s="145"/>
      <c r="F102" s="145"/>
      <c r="G102" s="145"/>
    </row>
    <row r="103" spans="1:22" x14ac:dyDescent="0.25">
      <c r="B103" s="145"/>
      <c r="C103" s="145"/>
      <c r="D103" s="145"/>
      <c r="E103" s="145"/>
      <c r="F103" s="145"/>
      <c r="G103" s="145"/>
      <c r="H103" s="145"/>
      <c r="I103" s="145"/>
      <c r="J103" s="145"/>
      <c r="K103" s="145"/>
      <c r="L103" s="151"/>
    </row>
    <row r="104" spans="1:22" x14ac:dyDescent="0.25">
      <c r="B104" s="145"/>
      <c r="C104" s="145"/>
      <c r="D104" s="145"/>
      <c r="E104" s="145"/>
      <c r="F104" s="145"/>
      <c r="G104" s="145"/>
      <c r="H104" s="145"/>
      <c r="I104" s="145"/>
      <c r="J104" s="145"/>
      <c r="K104" s="145"/>
      <c r="L104" s="145"/>
    </row>
    <row r="105" spans="1:22" x14ac:dyDescent="0.25">
      <c r="B105" s="145"/>
      <c r="C105" s="145"/>
      <c r="D105" s="145"/>
      <c r="E105" s="145"/>
      <c r="F105" s="145"/>
      <c r="G105" s="145"/>
    </row>
  </sheetData>
  <sheetProtection sheet="1" objects="1" scenarios="1"/>
  <mergeCells count="54">
    <mergeCell ref="A4:V4"/>
    <mergeCell ref="A1:D1"/>
    <mergeCell ref="A2:D2"/>
    <mergeCell ref="E2:H2"/>
    <mergeCell ref="I2:L2"/>
    <mergeCell ref="M2:P2"/>
    <mergeCell ref="A3:D3"/>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49:N49"/>
    <mergeCell ref="I18:V18"/>
    <mergeCell ref="A27:E27"/>
    <mergeCell ref="H27:L27"/>
    <mergeCell ref="N27:R27"/>
    <mergeCell ref="A36:E36"/>
    <mergeCell ref="P30:R30"/>
    <mergeCell ref="J30:L30"/>
    <mergeCell ref="J31:L31"/>
    <mergeCell ref="O12:Q12"/>
    <mergeCell ref="M9:N9"/>
    <mergeCell ref="O9:Q9"/>
    <mergeCell ref="M8:Q8"/>
    <mergeCell ref="J29:L29"/>
    <mergeCell ref="O11:Q11"/>
  </mergeCells>
  <pageMargins left="0.25" right="0.25" top="0.5" bottom="0.25" header="0.3" footer="0.3"/>
  <pageSetup scale="65"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A7CBD-6FBE-4DA5-9A3F-488E8AA64A4C}">
  <sheetPr>
    <tabColor theme="0"/>
  </sheetPr>
  <dimension ref="A1:BD118"/>
  <sheetViews>
    <sheetView zoomScale="80" zoomScaleNormal="80" workbookViewId="0">
      <selection activeCell="A15" sqref="A15:C15"/>
    </sheetView>
  </sheetViews>
  <sheetFormatPr defaultRowHeight="15.75" zeroHeight="1" x14ac:dyDescent="0.25"/>
  <cols>
    <col min="1" max="3" width="19.7109375" customWidth="1"/>
    <col min="4" max="4" width="24.28515625" customWidth="1"/>
    <col min="5" max="9" width="19.7109375" customWidth="1"/>
    <col min="10" max="10" width="15" customWidth="1"/>
    <col min="13" max="13" width="9.140625" style="31"/>
  </cols>
  <sheetData>
    <row r="1" spans="1:50" ht="55.15" customHeight="1" x14ac:dyDescent="0.25">
      <c r="A1" s="188" t="s">
        <v>58</v>
      </c>
      <c r="B1" s="188"/>
      <c r="C1" s="188"/>
      <c r="D1" s="188"/>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0" ht="55.15" customHeight="1" x14ac:dyDescent="0.25">
      <c r="A2" s="189" t="s">
        <v>59</v>
      </c>
      <c r="B2" s="189"/>
      <c r="C2" s="189"/>
      <c r="D2" s="189"/>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0" ht="13.15" customHeight="1" x14ac:dyDescent="0.25">
      <c r="A3" s="31"/>
      <c r="B3" s="31"/>
      <c r="C3" s="31"/>
      <c r="D3" s="31"/>
      <c r="E3" s="31"/>
      <c r="F3" s="31"/>
      <c r="G3" s="37"/>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ht="55.15" customHeight="1" x14ac:dyDescent="0.25">
      <c r="A4" s="187" t="s">
        <v>780</v>
      </c>
      <c r="B4" s="187"/>
      <c r="C4" s="187"/>
      <c r="D4" s="187"/>
      <c r="E4" s="74"/>
      <c r="F4" s="74"/>
      <c r="G4" s="74"/>
      <c r="H4" s="74"/>
      <c r="I4" s="74"/>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0" ht="49.9" customHeight="1" x14ac:dyDescent="0.25">
      <c r="A5" s="271" t="s">
        <v>765</v>
      </c>
      <c r="B5" s="271"/>
      <c r="C5" s="271"/>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0" x14ac:dyDescent="0.25">
      <c r="A6" s="60" t="s">
        <v>734</v>
      </c>
      <c r="B6" s="60" t="s">
        <v>735</v>
      </c>
      <c r="C6" s="60" t="s">
        <v>62</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0" x14ac:dyDescent="0.25">
      <c r="A7" s="56" t="s">
        <v>847</v>
      </c>
      <c r="B7" s="58">
        <v>47129</v>
      </c>
      <c r="C7" s="270">
        <v>731.85817649430282</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0" x14ac:dyDescent="0.25">
      <c r="A8" s="56" t="s">
        <v>763</v>
      </c>
      <c r="B8" s="58">
        <v>839</v>
      </c>
      <c r="C8" s="270">
        <v>569.66150178784267</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0" x14ac:dyDescent="0.25">
      <c r="A9" s="56" t="s">
        <v>762</v>
      </c>
      <c r="B9" s="58">
        <v>37638</v>
      </c>
      <c r="C9" s="270">
        <v>868.89810829480848</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0" x14ac:dyDescent="0.25">
      <c r="A10" s="56" t="s">
        <v>764</v>
      </c>
      <c r="B10" s="58">
        <v>447</v>
      </c>
      <c r="C10" s="270">
        <v>601.81431767337813</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0" x14ac:dyDescent="0.25">
      <c r="A11" s="57" t="s">
        <v>1</v>
      </c>
      <c r="B11" s="59">
        <v>86053</v>
      </c>
      <c r="C11" s="269">
        <v>789.54002765737391</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0" ht="15.75" customHeight="1" x14ac:dyDescent="0.25">
      <c r="A12" s="268" t="s">
        <v>846</v>
      </c>
      <c r="B12" s="268"/>
      <c r="C12" s="268"/>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0" ht="15.75" customHeight="1" x14ac:dyDescent="0.25">
      <c r="A13" s="268" t="s">
        <v>845</v>
      </c>
      <c r="B13" s="268"/>
      <c r="C13" s="268"/>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0" ht="23.25" customHeight="1" x14ac:dyDescent="0.25">
      <c r="A14" s="268" t="s">
        <v>844</v>
      </c>
      <c r="B14" s="268"/>
      <c r="C14" s="268"/>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0" ht="23.1" customHeight="1" x14ac:dyDescent="0.25">
      <c r="A15" s="268" t="s">
        <v>843</v>
      </c>
      <c r="B15" s="268"/>
      <c r="C15" s="268"/>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0" ht="9.75" customHeight="1" x14ac:dyDescent="0.25">
      <c r="A16" s="267"/>
      <c r="B16" s="267"/>
      <c r="C16" s="267"/>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row>
    <row r="17" spans="1:56" ht="9.75" customHeight="1" x14ac:dyDescent="0.25">
      <c r="A17" s="266"/>
      <c r="B17" s="266"/>
      <c r="C17" s="266"/>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row>
    <row r="18" spans="1:56" ht="34.15" customHeight="1" thickBot="1" x14ac:dyDescent="0.3">
      <c r="A18" s="266" t="s">
        <v>842</v>
      </c>
      <c r="B18" s="266"/>
      <c r="C18" s="266"/>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31.5" x14ac:dyDescent="0.25">
      <c r="A19" s="70" t="s">
        <v>778</v>
      </c>
      <c r="B19" s="71" t="s">
        <v>735</v>
      </c>
      <c r="C19" s="71" t="s">
        <v>779</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265" t="s">
        <v>1</v>
      </c>
      <c r="B20" s="264">
        <v>86053</v>
      </c>
      <c r="C20" s="263">
        <v>789.54002765737391</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262" t="s">
        <v>737</v>
      </c>
      <c r="B21" s="261">
        <v>2996</v>
      </c>
      <c r="C21" s="260">
        <v>847.20694259012021</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2" t="s">
        <v>87</v>
      </c>
      <c r="B22" s="73">
        <v>715</v>
      </c>
      <c r="C22" s="259">
        <v>467.78881118881117</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2" t="s">
        <v>736</v>
      </c>
      <c r="B23" s="73">
        <v>528</v>
      </c>
      <c r="C23" s="259">
        <v>566.93181818181813</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2" t="s">
        <v>840</v>
      </c>
      <c r="B24" s="73">
        <v>1753</v>
      </c>
      <c r="C24" s="259">
        <v>1086.3793496862522</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262" t="s">
        <v>738</v>
      </c>
      <c r="B25" s="261">
        <v>2763</v>
      </c>
      <c r="C25" s="260">
        <v>611.79189287006875</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2" t="s">
        <v>87</v>
      </c>
      <c r="B26" s="73">
        <v>1739</v>
      </c>
      <c r="C26" s="259">
        <v>475.18803910293269</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2" t="s">
        <v>736</v>
      </c>
      <c r="B27" s="73">
        <v>79</v>
      </c>
      <c r="C27" s="259">
        <v>663.39240506329111</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2" t="s">
        <v>840</v>
      </c>
      <c r="B28" s="73">
        <v>945</v>
      </c>
      <c r="C28" s="259">
        <v>858.85820105820108</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262" t="s">
        <v>739</v>
      </c>
      <c r="B29" s="261">
        <v>1433</v>
      </c>
      <c r="C29" s="260">
        <v>412.52407536636429</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2" t="s">
        <v>87</v>
      </c>
      <c r="B30" s="73">
        <v>1018</v>
      </c>
      <c r="C30" s="259">
        <v>336.16404715127703</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2" t="s">
        <v>736</v>
      </c>
      <c r="B31" s="73">
        <v>246</v>
      </c>
      <c r="C31" s="259">
        <v>517.89430894308941</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2" t="s">
        <v>840</v>
      </c>
      <c r="B32" s="73">
        <v>169</v>
      </c>
      <c r="C32" s="259">
        <v>719.11242603550295</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262" t="s">
        <v>740</v>
      </c>
      <c r="B33" s="261">
        <v>437</v>
      </c>
      <c r="C33" s="260">
        <v>1215.2219679633868</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2" t="s">
        <v>87</v>
      </c>
      <c r="B34" s="73">
        <v>86</v>
      </c>
      <c r="C34" s="259">
        <v>354.60465116279067</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2" t="s">
        <v>736</v>
      </c>
      <c r="B35" s="73">
        <v>5</v>
      </c>
      <c r="C35" s="259">
        <v>808.6</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2" t="s">
        <v>840</v>
      </c>
      <c r="B36" s="73">
        <v>346</v>
      </c>
      <c r="C36" s="259">
        <v>1435.0086705202311</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262" t="s">
        <v>741</v>
      </c>
      <c r="B37" s="261">
        <v>6803</v>
      </c>
      <c r="C37" s="260">
        <v>891.21872703219174</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2" t="s">
        <v>87</v>
      </c>
      <c r="B38" s="73">
        <v>2429</v>
      </c>
      <c r="C38" s="259">
        <v>498.73034170440508</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2" t="s">
        <v>736</v>
      </c>
      <c r="B39" s="73">
        <v>1515</v>
      </c>
      <c r="C39" s="259">
        <v>811.9564356435643</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2" t="s">
        <v>840</v>
      </c>
      <c r="B40" s="73">
        <v>2859</v>
      </c>
      <c r="C40" s="259">
        <v>1266.6775096187478</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262" t="s">
        <v>742</v>
      </c>
      <c r="B41" s="261">
        <v>961</v>
      </c>
      <c r="C41" s="260">
        <v>638.30280957336106</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2" t="s">
        <v>87</v>
      </c>
      <c r="B42" s="73">
        <v>623</v>
      </c>
      <c r="C42" s="259">
        <v>481.07865168539325</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2" t="s">
        <v>736</v>
      </c>
      <c r="B43" s="73">
        <v>153</v>
      </c>
      <c r="C43" s="259">
        <v>720.32679738562092</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2" t="s">
        <v>840</v>
      </c>
      <c r="B44" s="73">
        <v>185</v>
      </c>
      <c r="C44" s="259">
        <v>1099.9297297297298</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262" t="s">
        <v>743</v>
      </c>
      <c r="B45" s="261">
        <v>1445</v>
      </c>
      <c r="C45" s="260">
        <v>1294.6955017301038</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2" t="s">
        <v>87</v>
      </c>
      <c r="B46" s="73">
        <v>196</v>
      </c>
      <c r="C46" s="259">
        <v>431.95408163265307</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2" t="s">
        <v>736</v>
      </c>
      <c r="B47" s="73">
        <v>350</v>
      </c>
      <c r="C47" s="259">
        <v>889.19714285714281</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2" t="s">
        <v>840</v>
      </c>
      <c r="B48" s="73">
        <v>899</v>
      </c>
      <c r="C48" s="259">
        <v>1640.6596218020022</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262" t="s">
        <v>744</v>
      </c>
      <c r="B49" s="261">
        <v>7848</v>
      </c>
      <c r="C49" s="260">
        <v>855.73904179408771</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2" t="s">
        <v>87</v>
      </c>
      <c r="B50" s="73">
        <v>537</v>
      </c>
      <c r="C50" s="259">
        <v>510.29608938547489</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2" t="s">
        <v>736</v>
      </c>
      <c r="B51" s="73">
        <v>4343</v>
      </c>
      <c r="C51" s="259">
        <v>630.93345613631129</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2" t="s">
        <v>840</v>
      </c>
      <c r="B52" s="73">
        <v>2968</v>
      </c>
      <c r="C52" s="259">
        <v>1247.1923854447439</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262" t="s">
        <v>745</v>
      </c>
      <c r="B53" s="261">
        <v>901</v>
      </c>
      <c r="C53" s="260">
        <v>901.19422863485022</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2" t="s">
        <v>87</v>
      </c>
      <c r="B54" s="73">
        <v>152</v>
      </c>
      <c r="C54" s="259">
        <v>182.17105263157896</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2" t="s">
        <v>736</v>
      </c>
      <c r="B55" s="73">
        <v>113</v>
      </c>
      <c r="C55" s="259">
        <v>769.07079646017701</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2" t="s">
        <v>840</v>
      </c>
      <c r="B56" s="73">
        <v>636</v>
      </c>
      <c r="C56" s="259">
        <v>1096.5110062893082</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262" t="s">
        <v>746</v>
      </c>
      <c r="B57" s="261">
        <v>2211</v>
      </c>
      <c r="C57" s="260">
        <v>691.31207598371782</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2" t="s">
        <v>87</v>
      </c>
      <c r="B58" s="73">
        <v>1520</v>
      </c>
      <c r="C58" s="259">
        <v>521.88815789473688</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2" t="s">
        <v>736</v>
      </c>
      <c r="B59" s="73">
        <v>425</v>
      </c>
      <c r="C59" s="259">
        <v>801.51529411764704</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2" t="s">
        <v>840</v>
      </c>
      <c r="B60" s="73">
        <v>266</v>
      </c>
      <c r="C60" s="259">
        <v>1483.3721804511279</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262" t="s">
        <v>747</v>
      </c>
      <c r="B61" s="261">
        <v>10202</v>
      </c>
      <c r="C61" s="260">
        <v>842.59919623603218</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2" t="s">
        <v>87</v>
      </c>
      <c r="B62" s="73">
        <v>3504</v>
      </c>
      <c r="C62" s="259">
        <v>541.16324200913243</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2" t="s">
        <v>736</v>
      </c>
      <c r="B63" s="73">
        <v>757</v>
      </c>
      <c r="C63" s="259">
        <v>856.21136063408187</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2" t="s">
        <v>840</v>
      </c>
      <c r="B64" s="73">
        <v>5941</v>
      </c>
      <c r="C64" s="259">
        <v>1018.6515738091231</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262" t="s">
        <v>748</v>
      </c>
      <c r="B65" s="261">
        <v>5096</v>
      </c>
      <c r="C65" s="260">
        <v>393.96467817896388</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2" t="s">
        <v>87</v>
      </c>
      <c r="B66" s="73">
        <v>3788</v>
      </c>
      <c r="C66" s="259">
        <v>344.66420274551217</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2" t="s">
        <v>736</v>
      </c>
      <c r="B67" s="73">
        <v>1022</v>
      </c>
      <c r="C67" s="259">
        <v>531.15949119373772</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2" t="s">
        <v>840</v>
      </c>
      <c r="B68" s="73">
        <v>286</v>
      </c>
      <c r="C68" s="259">
        <v>556.68181818181813</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262" t="s">
        <v>749</v>
      </c>
      <c r="B69" s="261">
        <v>2719</v>
      </c>
      <c r="C69" s="260">
        <v>648.14490621552045</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2" t="s">
        <v>87</v>
      </c>
      <c r="B70" s="73">
        <v>1582</v>
      </c>
      <c r="C70" s="259">
        <v>510.98230088495575</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2" t="s">
        <v>736</v>
      </c>
      <c r="B71" s="73">
        <v>796</v>
      </c>
      <c r="C71" s="259">
        <v>769.53391959798989</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2" t="s">
        <v>840</v>
      </c>
      <c r="B72" s="73">
        <v>341</v>
      </c>
      <c r="C72" s="259">
        <v>1001.1231671554252</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262" t="s">
        <v>750</v>
      </c>
      <c r="B73" s="261">
        <v>3805</v>
      </c>
      <c r="C73" s="260">
        <v>613.337976346912</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2" t="s">
        <v>87</v>
      </c>
      <c r="B74" s="73">
        <v>1916</v>
      </c>
      <c r="C74" s="259">
        <v>376.74373695198329</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2" t="s">
        <v>736</v>
      </c>
      <c r="B75" s="73">
        <v>88</v>
      </c>
      <c r="C75" s="259">
        <v>599.875</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2" t="s">
        <v>840</v>
      </c>
      <c r="B76" s="73">
        <v>1801</v>
      </c>
      <c r="C76" s="259">
        <v>865.69739033870076</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262" t="s">
        <v>751</v>
      </c>
      <c r="B77" s="261">
        <v>7149</v>
      </c>
      <c r="C77" s="260">
        <v>881.62764022940269</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2" t="s">
        <v>87</v>
      </c>
      <c r="B78" s="73">
        <v>1034</v>
      </c>
      <c r="C78" s="259">
        <v>391.58510638297872</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2" t="s">
        <v>736</v>
      </c>
      <c r="B79" s="73">
        <v>3798</v>
      </c>
      <c r="C79" s="259">
        <v>717.63138493944177</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2" t="s">
        <v>840</v>
      </c>
      <c r="B80" s="73">
        <v>2317</v>
      </c>
      <c r="C80" s="259">
        <v>1369.1381096245145</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262" t="s">
        <v>752</v>
      </c>
      <c r="B81" s="261">
        <v>2015</v>
      </c>
      <c r="C81" s="260">
        <v>571.620347394541</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2" t="s">
        <v>87</v>
      </c>
      <c r="B82" s="73">
        <v>368</v>
      </c>
      <c r="C82" s="259">
        <v>367.53804347826087</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2" t="s">
        <v>736</v>
      </c>
      <c r="B83" s="73">
        <v>1206</v>
      </c>
      <c r="C83" s="259">
        <v>582.94361525704812</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2" t="s">
        <v>840</v>
      </c>
      <c r="B84" s="73">
        <v>441</v>
      </c>
      <c r="C84" s="259">
        <v>710.95464852607711</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262" t="s">
        <v>753</v>
      </c>
      <c r="B85" s="261">
        <v>648</v>
      </c>
      <c r="C85" s="260">
        <v>435.92901234567898</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2" t="s">
        <v>87</v>
      </c>
      <c r="B86" s="73">
        <v>368</v>
      </c>
      <c r="C86" s="259">
        <v>331.69021739130437</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2" t="s">
        <v>736</v>
      </c>
      <c r="B87" s="73">
        <v>193</v>
      </c>
      <c r="C87" s="259">
        <v>525.38341968911914</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2" t="s">
        <v>840</v>
      </c>
      <c r="B88" s="73">
        <v>87</v>
      </c>
      <c r="C88" s="259">
        <v>678.40229885057477</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262" t="s">
        <v>754</v>
      </c>
      <c r="B89" s="261">
        <v>2994</v>
      </c>
      <c r="C89" s="260">
        <v>879.88744154976621</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2" t="s">
        <v>87</v>
      </c>
      <c r="B90" s="73">
        <v>280</v>
      </c>
      <c r="C90" s="259">
        <v>475.07499999999999</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2" t="s">
        <v>736</v>
      </c>
      <c r="B91" s="73">
        <v>1968</v>
      </c>
      <c r="C91" s="259">
        <v>825.23678861788619</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2" t="s">
        <v>840</v>
      </c>
      <c r="B92" s="73">
        <v>746</v>
      </c>
      <c r="C92" s="259">
        <v>1176</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262" t="s">
        <v>755</v>
      </c>
      <c r="B93" s="261">
        <v>1316</v>
      </c>
      <c r="C93" s="260">
        <v>531.27127659574467</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2" t="s">
        <v>87</v>
      </c>
      <c r="B94" s="73">
        <v>578</v>
      </c>
      <c r="C94" s="259">
        <v>312.43598615916954</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2" t="s">
        <v>736</v>
      </c>
      <c r="B95" s="73">
        <v>234</v>
      </c>
      <c r="C95" s="259">
        <v>695.04700854700855</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2" t="s">
        <v>840</v>
      </c>
      <c r="B96" s="73">
        <v>504</v>
      </c>
      <c r="C96" s="259">
        <v>706.19841269841265</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262" t="s">
        <v>756</v>
      </c>
      <c r="B97" s="261">
        <v>2499</v>
      </c>
      <c r="C97" s="260">
        <v>873.10364145658264</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2" t="s">
        <v>87</v>
      </c>
      <c r="B98" s="73">
        <v>711</v>
      </c>
      <c r="C98" s="259">
        <v>581.85935302390999</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2" t="s">
        <v>736</v>
      </c>
      <c r="B99" s="73">
        <v>855</v>
      </c>
      <c r="C99" s="259">
        <v>789.08888888888885</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2" t="s">
        <v>840</v>
      </c>
      <c r="B100" s="73">
        <v>933</v>
      </c>
      <c r="C100" s="259">
        <v>1172.0396570203643</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262" t="s">
        <v>757</v>
      </c>
      <c r="B101" s="261">
        <v>11103</v>
      </c>
      <c r="C101" s="260">
        <v>910.07619562280468</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2" t="s">
        <v>87</v>
      </c>
      <c r="B102" s="73">
        <v>4326</v>
      </c>
      <c r="C102" s="259">
        <v>494.84558483587608</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2" t="s">
        <v>736</v>
      </c>
      <c r="B103" s="73">
        <v>1184</v>
      </c>
      <c r="C103" s="259">
        <v>817.11148648648646</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2" t="s">
        <v>840</v>
      </c>
      <c r="B104" s="73">
        <v>5593</v>
      </c>
      <c r="C104" s="259">
        <v>1250.9232969783659</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262" t="s">
        <v>758</v>
      </c>
      <c r="B105" s="261">
        <v>3738</v>
      </c>
      <c r="C105" s="260">
        <v>849.20840021401818</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2" t="s">
        <v>87</v>
      </c>
      <c r="B106" s="73">
        <v>940</v>
      </c>
      <c r="C106" s="259">
        <v>474.78617021276597</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2" t="s">
        <v>736</v>
      </c>
      <c r="B107" s="73">
        <v>1158</v>
      </c>
      <c r="C107" s="259">
        <v>747.20120898100174</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2" t="s">
        <v>840</v>
      </c>
      <c r="B108" s="73">
        <v>1640</v>
      </c>
      <c r="C108" s="259">
        <v>1135.8432926829269</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262" t="s">
        <v>759</v>
      </c>
      <c r="B109" s="261">
        <v>2284</v>
      </c>
      <c r="C109" s="260">
        <v>1041.9496497373029</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2" t="s">
        <v>87</v>
      </c>
      <c r="B110" s="73">
        <v>328</v>
      </c>
      <c r="C110" s="259">
        <v>499.1859756097561</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2" t="s">
        <v>736</v>
      </c>
      <c r="B111" s="73">
        <v>919</v>
      </c>
      <c r="C111" s="259">
        <v>838.23394994559305</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2" t="s">
        <v>840</v>
      </c>
      <c r="B112" s="73">
        <v>1037</v>
      </c>
      <c r="C112" s="259">
        <v>1394.1591128254581</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262" t="s">
        <v>841</v>
      </c>
      <c r="B113" s="261">
        <v>2687</v>
      </c>
      <c r="C113" s="260">
        <v>512.41570524748795</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2" t="s">
        <v>87</v>
      </c>
      <c r="B114" s="73">
        <v>1317</v>
      </c>
      <c r="C114" s="259">
        <v>439.47380410022777</v>
      </c>
      <c r="D114" s="31"/>
      <c r="E114" s="31"/>
      <c r="F114" s="31"/>
      <c r="G114" s="31"/>
      <c r="H114" s="31"/>
      <c r="I114" s="31"/>
      <c r="J114" s="31"/>
      <c r="K114" s="31"/>
      <c r="L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row>
    <row r="115" spans="1:56" x14ac:dyDescent="0.25">
      <c r="A115" s="72" t="s">
        <v>736</v>
      </c>
      <c r="B115" s="73">
        <v>892</v>
      </c>
      <c r="C115" s="259">
        <v>532.35201793721978</v>
      </c>
      <c r="D115" s="31"/>
      <c r="E115" s="31"/>
      <c r="F115" s="31"/>
      <c r="G115" s="31"/>
      <c r="H115" s="31"/>
      <c r="I115" s="31"/>
      <c r="J115" s="31"/>
      <c r="K115" s="31"/>
      <c r="L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row>
    <row r="116" spans="1:56" x14ac:dyDescent="0.25">
      <c r="A116" s="72" t="s">
        <v>840</v>
      </c>
      <c r="B116" s="73">
        <v>478</v>
      </c>
      <c r="C116" s="259">
        <v>676.18410041841003</v>
      </c>
      <c r="M116"/>
    </row>
    <row r="117" spans="1:56" hidden="1" x14ac:dyDescent="0.25"/>
    <row r="118" spans="1:56" x14ac:dyDescent="0.25"/>
  </sheetData>
  <sheetProtection algorithmName="SHA-512" hashValue="ET30tQhvtlG9NxuuYAfAUR0OGOYAIdh+OUl8WUeOpUlrmA55sCPm8nHgSkzrog7y3feT6JVfxw1HYc/65jpq0g==" saltValue="L1ldTcvbJgnY3A+MR/GBQQ==" spinCount="100000" sheet="1" objects="1" scenarios="1" selectLockedCells="1" selectUnlockedCells="1"/>
  <mergeCells count="10">
    <mergeCell ref="A18:C18"/>
    <mergeCell ref="A17:C17"/>
    <mergeCell ref="A4:D4"/>
    <mergeCell ref="A1:D1"/>
    <mergeCell ref="A2:D2"/>
    <mergeCell ref="A5:C5"/>
    <mergeCell ref="A12:C12"/>
    <mergeCell ref="A13:C13"/>
    <mergeCell ref="A14:C14"/>
    <mergeCell ref="A15:C15"/>
  </mergeCell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869E4-4F91-494C-8743-60E3691A481E}">
  <dimension ref="A1:AE177"/>
  <sheetViews>
    <sheetView zoomScale="80" zoomScaleNormal="80" workbookViewId="0">
      <selection activeCell="B27" sqref="B27"/>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188" t="s">
        <v>58</v>
      </c>
      <c r="B1" s="188"/>
      <c r="C1" s="188"/>
      <c r="D1" s="188"/>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189" t="s">
        <v>59</v>
      </c>
      <c r="B2" s="189"/>
      <c r="C2" s="189"/>
      <c r="D2" s="189"/>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187" t="s">
        <v>769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row>
    <row r="4" spans="1:31" s="8" customFormat="1" ht="30.75" customHeight="1" thickBot="1" x14ac:dyDescent="0.25">
      <c r="A4" s="243" t="s">
        <v>766</v>
      </c>
      <c r="B4" s="243"/>
      <c r="C4" s="243"/>
      <c r="D4" s="243"/>
      <c r="E4" s="243"/>
      <c r="F4" s="243"/>
      <c r="G4" s="243"/>
      <c r="H4" s="243"/>
      <c r="I4" s="243"/>
      <c r="J4" s="243"/>
      <c r="K4" s="243"/>
      <c r="L4" s="243"/>
      <c r="M4" s="243"/>
      <c r="N4" s="243"/>
      <c r="O4" s="243"/>
      <c r="P4" s="243"/>
      <c r="Q4" s="243"/>
      <c r="R4" s="243"/>
      <c r="S4" s="243"/>
      <c r="T4" s="243"/>
      <c r="U4" s="243"/>
      <c r="V4" s="243"/>
      <c r="W4" s="279"/>
      <c r="X4" s="279"/>
      <c r="Y4" s="279"/>
      <c r="Z4" s="279"/>
    </row>
    <row r="5" spans="1:31" s="272" customFormat="1" ht="36" customHeight="1" x14ac:dyDescent="0.2">
      <c r="A5" s="53" t="s">
        <v>171</v>
      </c>
      <c r="B5" s="12"/>
      <c r="C5" s="12"/>
      <c r="D5" s="12"/>
      <c r="E5" s="12"/>
      <c r="F5" s="12"/>
      <c r="G5" s="12"/>
      <c r="H5" s="12"/>
      <c r="I5" s="12" t="s">
        <v>172</v>
      </c>
      <c r="J5" s="278" t="s">
        <v>173</v>
      </c>
      <c r="K5" s="278"/>
      <c r="L5" s="278"/>
      <c r="M5" s="278"/>
      <c r="N5" s="244" t="s">
        <v>174</v>
      </c>
      <c r="O5" s="244"/>
      <c r="P5" s="244"/>
      <c r="Q5" s="244"/>
      <c r="R5" s="277" t="s">
        <v>175</v>
      </c>
      <c r="S5" s="277"/>
      <c r="T5" s="277"/>
      <c r="U5" s="277"/>
      <c r="V5" s="274" t="s">
        <v>176</v>
      </c>
      <c r="W5" s="277" t="s">
        <v>177</v>
      </c>
      <c r="X5" s="277"/>
      <c r="Y5" s="277"/>
      <c r="Z5" s="277"/>
      <c r="AA5" s="277"/>
      <c r="AB5" s="277"/>
      <c r="AC5" s="277"/>
      <c r="AD5" s="277"/>
      <c r="AE5" s="277"/>
    </row>
    <row r="6" spans="1:31" s="272" customFormat="1" ht="20.25" customHeight="1" x14ac:dyDescent="0.2">
      <c r="A6" s="54" t="s">
        <v>933</v>
      </c>
      <c r="B6" s="275"/>
      <c r="C6" s="275"/>
      <c r="D6" s="275"/>
      <c r="E6" s="275"/>
      <c r="F6" s="275"/>
      <c r="G6" s="275"/>
      <c r="H6" s="275"/>
      <c r="I6" s="276"/>
      <c r="J6" s="275"/>
      <c r="K6" s="275"/>
      <c r="L6" s="275"/>
      <c r="M6" s="275"/>
      <c r="N6" s="275"/>
      <c r="O6" s="275"/>
      <c r="P6" s="275"/>
      <c r="Q6" s="275"/>
      <c r="R6" s="273"/>
      <c r="S6" s="273"/>
      <c r="T6" s="273"/>
      <c r="U6" s="273"/>
      <c r="V6" s="274"/>
      <c r="W6" s="273"/>
      <c r="X6" s="273"/>
      <c r="Y6" s="273"/>
      <c r="Z6" s="273"/>
      <c r="AA6" s="273"/>
      <c r="AB6" s="273"/>
      <c r="AC6" s="273"/>
      <c r="AD6" s="273"/>
      <c r="AE6" s="273"/>
    </row>
    <row r="7" spans="1:31" s="272" customFormat="1" ht="48" customHeight="1" x14ac:dyDescent="0.25">
      <c r="A7" s="13" t="s">
        <v>178</v>
      </c>
      <c r="B7" s="14" t="s">
        <v>179</v>
      </c>
      <c r="C7" s="14" t="s">
        <v>180</v>
      </c>
      <c r="D7" s="14" t="s">
        <v>181</v>
      </c>
      <c r="E7" s="15" t="s">
        <v>182</v>
      </c>
      <c r="F7" s="14" t="s">
        <v>66</v>
      </c>
      <c r="G7" s="16" t="s">
        <v>183</v>
      </c>
      <c r="H7" s="17" t="s">
        <v>103</v>
      </c>
      <c r="I7" s="18" t="s">
        <v>184</v>
      </c>
      <c r="J7" s="19" t="s">
        <v>185</v>
      </c>
      <c r="K7" s="20" t="s">
        <v>186</v>
      </c>
      <c r="L7" s="21" t="s">
        <v>187</v>
      </c>
      <c r="M7" s="32" t="s">
        <v>188</v>
      </c>
      <c r="N7" s="19" t="s">
        <v>189</v>
      </c>
      <c r="O7" s="20" t="s">
        <v>190</v>
      </c>
      <c r="P7" s="21" t="s">
        <v>191</v>
      </c>
      <c r="Q7" s="22" t="s">
        <v>192</v>
      </c>
      <c r="R7" s="19" t="s">
        <v>193</v>
      </c>
      <c r="S7" s="20" t="s">
        <v>194</v>
      </c>
      <c r="T7" s="21" t="s">
        <v>195</v>
      </c>
      <c r="U7" s="32" t="s">
        <v>196</v>
      </c>
      <c r="V7" s="19" t="s">
        <v>197</v>
      </c>
      <c r="W7" s="20" t="s">
        <v>198</v>
      </c>
      <c r="X7" s="14" t="s">
        <v>199</v>
      </c>
      <c r="Y7" s="14" t="s">
        <v>101</v>
      </c>
      <c r="Z7" s="14" t="s">
        <v>200</v>
      </c>
      <c r="AA7" s="14" t="s">
        <v>97</v>
      </c>
      <c r="AB7" s="14" t="s">
        <v>201</v>
      </c>
      <c r="AC7" s="14" t="s">
        <v>111</v>
      </c>
      <c r="AD7" s="14" t="s">
        <v>202</v>
      </c>
      <c r="AE7" s="34" t="s">
        <v>115</v>
      </c>
    </row>
    <row r="8" spans="1:31" s="272" customFormat="1" ht="12.75" customHeight="1" x14ac:dyDescent="0.2">
      <c r="A8" s="23" t="s">
        <v>214</v>
      </c>
      <c r="B8" s="24" t="s">
        <v>215</v>
      </c>
      <c r="C8" s="24" t="s">
        <v>216</v>
      </c>
      <c r="D8" s="24" t="s">
        <v>217</v>
      </c>
      <c r="E8" s="24">
        <v>31815</v>
      </c>
      <c r="F8" s="24" t="s">
        <v>218</v>
      </c>
      <c r="G8" s="24" t="s">
        <v>207</v>
      </c>
      <c r="H8" s="24" t="s">
        <v>5</v>
      </c>
      <c r="I8" s="25">
        <v>50.211557512383102</v>
      </c>
      <c r="J8" s="26">
        <v>653.84097859327494</v>
      </c>
      <c r="K8" s="26">
        <v>261.95718654434307</v>
      </c>
      <c r="L8" s="26">
        <v>253.40366972477034</v>
      </c>
      <c r="M8" s="26">
        <v>226.66360856269108</v>
      </c>
      <c r="N8" s="26">
        <v>751.68807339449859</v>
      </c>
      <c r="O8" s="26">
        <v>643.66666666666754</v>
      </c>
      <c r="P8" s="26">
        <v>0</v>
      </c>
      <c r="Q8" s="26">
        <v>0.5107033639143731</v>
      </c>
      <c r="R8" s="26">
        <v>343.45565749235516</v>
      </c>
      <c r="S8" s="26">
        <v>190.86544342507588</v>
      </c>
      <c r="T8" s="26">
        <v>215.32721712538236</v>
      </c>
      <c r="U8" s="26">
        <v>646.21712538226416</v>
      </c>
      <c r="V8" s="26">
        <v>925.57798165136774</v>
      </c>
      <c r="W8" s="27">
        <v>1600</v>
      </c>
      <c r="X8" s="24" t="s">
        <v>209</v>
      </c>
      <c r="Y8" s="24" t="s">
        <v>210</v>
      </c>
      <c r="Z8" s="24" t="s">
        <v>211</v>
      </c>
      <c r="AA8" s="28" t="s">
        <v>219</v>
      </c>
      <c r="AB8" s="24" t="s">
        <v>209</v>
      </c>
      <c r="AC8" s="24" t="s">
        <v>210</v>
      </c>
      <c r="AD8" s="24" t="s">
        <v>211</v>
      </c>
      <c r="AE8" s="35">
        <v>43223</v>
      </c>
    </row>
    <row r="9" spans="1:31" ht="15.75" x14ac:dyDescent="0.25">
      <c r="A9" s="23" t="s">
        <v>6</v>
      </c>
      <c r="B9" s="24" t="s">
        <v>203</v>
      </c>
      <c r="C9" s="24" t="s">
        <v>204</v>
      </c>
      <c r="D9" s="24" t="s">
        <v>205</v>
      </c>
      <c r="E9" s="29">
        <v>92301</v>
      </c>
      <c r="F9" s="24" t="s">
        <v>206</v>
      </c>
      <c r="G9" s="24" t="s">
        <v>207</v>
      </c>
      <c r="H9" s="24" t="s">
        <v>208</v>
      </c>
      <c r="I9" s="25">
        <v>81.228453466368506</v>
      </c>
      <c r="J9" s="26">
        <v>560.51376146788925</v>
      </c>
      <c r="K9" s="26">
        <v>98.81957186544345</v>
      </c>
      <c r="L9" s="26">
        <v>279.74923547400635</v>
      </c>
      <c r="M9" s="26">
        <v>412.07645259938829</v>
      </c>
      <c r="N9" s="26">
        <v>716.33333333333337</v>
      </c>
      <c r="O9" s="26">
        <v>429.77675840978662</v>
      </c>
      <c r="P9" s="26">
        <v>66.733944954128503</v>
      </c>
      <c r="Q9" s="26">
        <v>138.31498470948011</v>
      </c>
      <c r="R9" s="26">
        <v>449.31804281345563</v>
      </c>
      <c r="S9" s="26">
        <v>200.85015290519848</v>
      </c>
      <c r="T9" s="26">
        <v>131.37003058103988</v>
      </c>
      <c r="U9" s="26">
        <v>569.62079510703347</v>
      </c>
      <c r="V9" s="26">
        <v>773.40061162079451</v>
      </c>
      <c r="W9" s="27">
        <v>1455</v>
      </c>
      <c r="X9" s="24" t="s">
        <v>209</v>
      </c>
      <c r="Y9" s="30" t="s">
        <v>210</v>
      </c>
      <c r="Z9" s="24" t="s">
        <v>211</v>
      </c>
      <c r="AA9" s="28" t="s">
        <v>212</v>
      </c>
      <c r="AB9" s="24" t="s">
        <v>209</v>
      </c>
      <c r="AC9" s="30" t="s">
        <v>210</v>
      </c>
      <c r="AD9" s="30" t="s">
        <v>213</v>
      </c>
      <c r="AE9" s="36">
        <v>43789</v>
      </c>
    </row>
    <row r="10" spans="1:31" ht="15.75" x14ac:dyDescent="0.25">
      <c r="A10" s="23" t="s">
        <v>22</v>
      </c>
      <c r="B10" s="24" t="s">
        <v>220</v>
      </c>
      <c r="C10" s="24" t="s">
        <v>221</v>
      </c>
      <c r="D10" s="24" t="s">
        <v>222</v>
      </c>
      <c r="E10" s="29">
        <v>78061</v>
      </c>
      <c r="F10" s="24" t="s">
        <v>223</v>
      </c>
      <c r="G10" s="24" t="s">
        <v>224</v>
      </c>
      <c r="H10" s="24" t="s">
        <v>208</v>
      </c>
      <c r="I10" s="25">
        <v>71.223658920146804</v>
      </c>
      <c r="J10" s="26">
        <v>761.85321100916974</v>
      </c>
      <c r="K10" s="26">
        <v>149.02140672782883</v>
      </c>
      <c r="L10" s="26">
        <v>136.8256880733947</v>
      </c>
      <c r="M10" s="26">
        <v>87.097859327217051</v>
      </c>
      <c r="N10" s="26">
        <v>386.8990825688067</v>
      </c>
      <c r="O10" s="26">
        <v>610.5229357798155</v>
      </c>
      <c r="P10" s="26">
        <v>30.262996941896024</v>
      </c>
      <c r="Q10" s="26">
        <v>107.11314984709497</v>
      </c>
      <c r="R10" s="26">
        <v>101.16819571865439</v>
      </c>
      <c r="S10" s="26">
        <v>105.61467889908268</v>
      </c>
      <c r="T10" s="26">
        <v>214.83792048929661</v>
      </c>
      <c r="U10" s="26">
        <v>713.17737003057755</v>
      </c>
      <c r="V10" s="26">
        <v>526.06422018348576</v>
      </c>
      <c r="W10" s="27">
        <v>1350</v>
      </c>
      <c r="X10" s="24" t="s">
        <v>209</v>
      </c>
      <c r="Y10" s="30" t="s">
        <v>210</v>
      </c>
      <c r="Z10" s="24" t="s">
        <v>211</v>
      </c>
      <c r="AA10" s="28" t="s">
        <v>931</v>
      </c>
      <c r="AB10" s="24" t="s">
        <v>209</v>
      </c>
      <c r="AC10" s="30" t="s">
        <v>210</v>
      </c>
      <c r="AD10" s="30" t="s">
        <v>211</v>
      </c>
      <c r="AE10" s="36">
        <v>43524</v>
      </c>
    </row>
    <row r="11" spans="1:31" ht="15.75" x14ac:dyDescent="0.25">
      <c r="A11" s="23" t="s">
        <v>247</v>
      </c>
      <c r="B11" s="24" t="s">
        <v>248</v>
      </c>
      <c r="C11" s="24" t="s">
        <v>40</v>
      </c>
      <c r="D11" s="24" t="s">
        <v>240</v>
      </c>
      <c r="E11" s="29">
        <v>85131</v>
      </c>
      <c r="F11" s="24" t="s">
        <v>241</v>
      </c>
      <c r="G11" s="24" t="s">
        <v>207</v>
      </c>
      <c r="H11" s="24" t="s">
        <v>208</v>
      </c>
      <c r="I11" s="25">
        <v>82.175472149175206</v>
      </c>
      <c r="J11" s="26">
        <v>746.50764525993463</v>
      </c>
      <c r="K11" s="26">
        <v>118.07033639143737</v>
      </c>
      <c r="L11" s="26">
        <v>108.21406727828729</v>
      </c>
      <c r="M11" s="26">
        <v>81.302752293577967</v>
      </c>
      <c r="N11" s="26">
        <v>202.22324159021406</v>
      </c>
      <c r="O11" s="26">
        <v>274.9388379204895</v>
      </c>
      <c r="P11" s="26">
        <v>90.941896024464825</v>
      </c>
      <c r="Q11" s="26">
        <v>485.99082568807307</v>
      </c>
      <c r="R11" s="26">
        <v>85.559633027522906</v>
      </c>
      <c r="S11" s="26">
        <v>69.244648318042849</v>
      </c>
      <c r="T11" s="26">
        <v>138.30275229357784</v>
      </c>
      <c r="U11" s="26">
        <v>760.98776758409326</v>
      </c>
      <c r="V11" s="26">
        <v>449.15902140672853</v>
      </c>
      <c r="W11" s="27"/>
      <c r="X11" s="24" t="s">
        <v>209</v>
      </c>
      <c r="Y11" s="30" t="s">
        <v>210</v>
      </c>
      <c r="Z11" s="24" t="s">
        <v>211</v>
      </c>
      <c r="AA11" s="28" t="s">
        <v>249</v>
      </c>
      <c r="AB11" s="24" t="s">
        <v>209</v>
      </c>
      <c r="AC11" s="30" t="s">
        <v>210</v>
      </c>
      <c r="AD11" s="30" t="s">
        <v>211</v>
      </c>
      <c r="AE11" s="36">
        <v>43503</v>
      </c>
    </row>
    <row r="12" spans="1:31" ht="15.75" x14ac:dyDescent="0.25">
      <c r="A12" s="23" t="s">
        <v>231</v>
      </c>
      <c r="B12" s="24" t="s">
        <v>232</v>
      </c>
      <c r="C12" s="24" t="s">
        <v>233</v>
      </c>
      <c r="D12" s="24" t="s">
        <v>234</v>
      </c>
      <c r="E12" s="29">
        <v>71483</v>
      </c>
      <c r="F12" s="24" t="s">
        <v>235</v>
      </c>
      <c r="G12" s="24" t="s">
        <v>207</v>
      </c>
      <c r="H12" s="24" t="s">
        <v>5</v>
      </c>
      <c r="I12" s="25">
        <v>116.26869537067</v>
      </c>
      <c r="J12" s="26">
        <v>767.3425076452595</v>
      </c>
      <c r="K12" s="26">
        <v>121.71559633027523</v>
      </c>
      <c r="L12" s="26">
        <v>97.746177370030637</v>
      </c>
      <c r="M12" s="26">
        <v>58.107033639143729</v>
      </c>
      <c r="N12" s="26">
        <v>229.19266055045841</v>
      </c>
      <c r="O12" s="26">
        <v>815.6972477064221</v>
      </c>
      <c r="P12" s="26">
        <v>2.1406727828746176E-2</v>
      </c>
      <c r="Q12" s="26">
        <v>0</v>
      </c>
      <c r="R12" s="26">
        <v>74.908256880734044</v>
      </c>
      <c r="S12" s="26">
        <v>51.247706422018375</v>
      </c>
      <c r="T12" s="26">
        <v>102.73088685015286</v>
      </c>
      <c r="U12" s="26">
        <v>816.02446483180449</v>
      </c>
      <c r="V12" s="26">
        <v>457.07951070336281</v>
      </c>
      <c r="W12" s="27">
        <v>946</v>
      </c>
      <c r="X12" s="24" t="s">
        <v>209</v>
      </c>
      <c r="Y12" s="30" t="s">
        <v>210</v>
      </c>
      <c r="Z12" s="24" t="s">
        <v>211</v>
      </c>
      <c r="AA12" s="28" t="s">
        <v>237</v>
      </c>
      <c r="AB12" s="24" t="s">
        <v>238</v>
      </c>
      <c r="AC12" s="30"/>
      <c r="AD12" s="30"/>
      <c r="AE12" s="36"/>
    </row>
    <row r="13" spans="1:31" ht="15.75" x14ac:dyDescent="0.25">
      <c r="A13" s="23" t="s">
        <v>18</v>
      </c>
      <c r="B13" s="24" t="s">
        <v>239</v>
      </c>
      <c r="C13" s="24" t="s">
        <v>40</v>
      </c>
      <c r="D13" s="24" t="s">
        <v>240</v>
      </c>
      <c r="E13" s="29">
        <v>85131</v>
      </c>
      <c r="F13" s="24" t="s">
        <v>241</v>
      </c>
      <c r="G13" s="24" t="s">
        <v>207</v>
      </c>
      <c r="H13" s="24" t="s">
        <v>5</v>
      </c>
      <c r="I13" s="25">
        <v>86.393836671802802</v>
      </c>
      <c r="J13" s="26">
        <v>762.7706422018349</v>
      </c>
      <c r="K13" s="26">
        <v>116.36085626911326</v>
      </c>
      <c r="L13" s="26">
        <v>85.467889908256907</v>
      </c>
      <c r="M13" s="26">
        <v>53.95107033639146</v>
      </c>
      <c r="N13" s="26">
        <v>243.44036697247708</v>
      </c>
      <c r="O13" s="26">
        <v>774.91437308868478</v>
      </c>
      <c r="P13" s="26">
        <v>0</v>
      </c>
      <c r="Q13" s="26">
        <v>0.19571865443425077</v>
      </c>
      <c r="R13" s="26">
        <v>55.434250764525984</v>
      </c>
      <c r="S13" s="26">
        <v>48.944954128440386</v>
      </c>
      <c r="T13" s="26">
        <v>138.76758409785944</v>
      </c>
      <c r="U13" s="26">
        <v>775.40366972477023</v>
      </c>
      <c r="V13" s="26">
        <v>370.03363914373142</v>
      </c>
      <c r="W13" s="27">
        <v>650</v>
      </c>
      <c r="X13" s="24" t="s">
        <v>209</v>
      </c>
      <c r="Y13" s="30" t="s">
        <v>210</v>
      </c>
      <c r="Z13" s="24" t="s">
        <v>211</v>
      </c>
      <c r="AA13" s="28" t="s">
        <v>242</v>
      </c>
      <c r="AB13" s="24" t="s">
        <v>238</v>
      </c>
      <c r="AC13" s="30"/>
      <c r="AD13" s="30"/>
      <c r="AE13" s="36"/>
    </row>
    <row r="14" spans="1:31" ht="15.75" x14ac:dyDescent="0.25">
      <c r="A14" s="23" t="s">
        <v>243</v>
      </c>
      <c r="B14" s="24" t="s">
        <v>244</v>
      </c>
      <c r="C14" s="24" t="s">
        <v>245</v>
      </c>
      <c r="D14" s="24" t="s">
        <v>234</v>
      </c>
      <c r="E14" s="29">
        <v>71342</v>
      </c>
      <c r="F14" s="24" t="s">
        <v>235</v>
      </c>
      <c r="G14" s="24" t="s">
        <v>207</v>
      </c>
      <c r="H14" s="24" t="s">
        <v>208</v>
      </c>
      <c r="I14" s="25">
        <v>42.294432989690698</v>
      </c>
      <c r="J14" s="26">
        <v>396.46483180428481</v>
      </c>
      <c r="K14" s="26">
        <v>286.98470948012454</v>
      </c>
      <c r="L14" s="26">
        <v>246.27217125382325</v>
      </c>
      <c r="M14" s="26">
        <v>68.406727828746142</v>
      </c>
      <c r="N14" s="26">
        <v>363.48012232416295</v>
      </c>
      <c r="O14" s="26">
        <v>439.14067278287717</v>
      </c>
      <c r="P14" s="26">
        <v>85.058103975535161</v>
      </c>
      <c r="Q14" s="26">
        <v>110.44954128440372</v>
      </c>
      <c r="R14" s="26">
        <v>166.2721712538231</v>
      </c>
      <c r="S14" s="26">
        <v>109.25382262996942</v>
      </c>
      <c r="T14" s="26">
        <v>174.54740061162178</v>
      </c>
      <c r="U14" s="26">
        <v>548.0550458715586</v>
      </c>
      <c r="V14" s="26">
        <v>481.58409785933225</v>
      </c>
      <c r="W14" s="27">
        <v>1170</v>
      </c>
      <c r="X14" s="24" t="s">
        <v>209</v>
      </c>
      <c r="Y14" s="30" t="s">
        <v>210</v>
      </c>
      <c r="Z14" s="24" t="s">
        <v>211</v>
      </c>
      <c r="AA14" s="28" t="s">
        <v>246</v>
      </c>
      <c r="AB14" s="24" t="s">
        <v>209</v>
      </c>
      <c r="AC14" s="30" t="s">
        <v>210</v>
      </c>
      <c r="AD14" s="30" t="s">
        <v>211</v>
      </c>
      <c r="AE14" s="36">
        <v>43370</v>
      </c>
    </row>
    <row r="15" spans="1:31" ht="15.75" x14ac:dyDescent="0.25">
      <c r="A15" s="23" t="s">
        <v>32</v>
      </c>
      <c r="B15" s="24" t="s">
        <v>250</v>
      </c>
      <c r="C15" s="24" t="s">
        <v>251</v>
      </c>
      <c r="D15" s="24" t="s">
        <v>252</v>
      </c>
      <c r="E15" s="29">
        <v>39120</v>
      </c>
      <c r="F15" s="24" t="s">
        <v>235</v>
      </c>
      <c r="G15" s="24" t="s">
        <v>207</v>
      </c>
      <c r="H15" s="24" t="s">
        <v>208</v>
      </c>
      <c r="I15" s="25">
        <v>90.925099601593601</v>
      </c>
      <c r="J15" s="26">
        <v>768.16513761468127</v>
      </c>
      <c r="K15" s="26">
        <v>49.782874617737008</v>
      </c>
      <c r="L15" s="26">
        <v>46.681957186544388</v>
      </c>
      <c r="M15" s="26">
        <v>53.024464831804295</v>
      </c>
      <c r="N15" s="26">
        <v>174.60856269113154</v>
      </c>
      <c r="O15" s="26">
        <v>485.32721712538336</v>
      </c>
      <c r="P15" s="26">
        <v>4.960244648318044</v>
      </c>
      <c r="Q15" s="26">
        <v>252.75840978593288</v>
      </c>
      <c r="R15" s="26">
        <v>77.688073394495433</v>
      </c>
      <c r="S15" s="26">
        <v>38.079510703363908</v>
      </c>
      <c r="T15" s="26">
        <v>63.357798165137616</v>
      </c>
      <c r="U15" s="26">
        <v>738.52905198776921</v>
      </c>
      <c r="V15" s="26">
        <v>603.81039755351674</v>
      </c>
      <c r="W15" s="27">
        <v>1100</v>
      </c>
      <c r="X15" s="24" t="s">
        <v>209</v>
      </c>
      <c r="Y15" s="30" t="s">
        <v>210</v>
      </c>
      <c r="Z15" s="24" t="s">
        <v>211</v>
      </c>
      <c r="AA15" s="28" t="s">
        <v>212</v>
      </c>
      <c r="AB15" s="24" t="s">
        <v>238</v>
      </c>
      <c r="AC15" s="30"/>
      <c r="AD15" s="30"/>
      <c r="AE15" s="36"/>
    </row>
    <row r="16" spans="1:31" ht="15.75" x14ac:dyDescent="0.25">
      <c r="A16" s="23" t="s">
        <v>225</v>
      </c>
      <c r="B16" s="24" t="s">
        <v>226</v>
      </c>
      <c r="C16" s="24" t="s">
        <v>227</v>
      </c>
      <c r="D16" s="24" t="s">
        <v>222</v>
      </c>
      <c r="E16" s="29">
        <v>78017</v>
      </c>
      <c r="F16" s="24" t="s">
        <v>223</v>
      </c>
      <c r="G16" s="24" t="s">
        <v>228</v>
      </c>
      <c r="H16" s="24" t="s">
        <v>208</v>
      </c>
      <c r="I16" s="25">
        <v>42.562848408559603</v>
      </c>
      <c r="J16" s="26">
        <v>796.43730886849187</v>
      </c>
      <c r="K16" s="26">
        <v>1.0825688073394497</v>
      </c>
      <c r="L16" s="26">
        <v>3.0581039755351682E-3</v>
      </c>
      <c r="M16" s="26">
        <v>0</v>
      </c>
      <c r="N16" s="26">
        <v>0</v>
      </c>
      <c r="O16" s="26">
        <v>209.77675840978594</v>
      </c>
      <c r="P16" s="26">
        <v>3.9755351681957189</v>
      </c>
      <c r="Q16" s="26">
        <v>583.77064220183536</v>
      </c>
      <c r="R16" s="26">
        <v>0.36391437308868502</v>
      </c>
      <c r="S16" s="26">
        <v>0</v>
      </c>
      <c r="T16" s="26">
        <v>3.8073394495412844</v>
      </c>
      <c r="U16" s="26">
        <v>793.35168195717631</v>
      </c>
      <c r="V16" s="26">
        <v>757.68807339448961</v>
      </c>
      <c r="W16" s="27">
        <v>2400</v>
      </c>
      <c r="X16" s="24" t="s">
        <v>209</v>
      </c>
      <c r="Y16" s="30" t="s">
        <v>229</v>
      </c>
      <c r="Z16" s="24" t="s">
        <v>213</v>
      </c>
      <c r="AA16" s="28" t="s">
        <v>932</v>
      </c>
      <c r="AB16" s="24" t="s">
        <v>209</v>
      </c>
      <c r="AC16" s="30" t="s">
        <v>229</v>
      </c>
      <c r="AD16" s="30" t="s">
        <v>213</v>
      </c>
      <c r="AE16" s="36">
        <v>43839</v>
      </c>
    </row>
    <row r="17" spans="1:31" ht="15.75" x14ac:dyDescent="0.25">
      <c r="A17" s="23" t="s">
        <v>259</v>
      </c>
      <c r="B17" s="24" t="s">
        <v>260</v>
      </c>
      <c r="C17" s="24" t="s">
        <v>261</v>
      </c>
      <c r="D17" s="24" t="s">
        <v>262</v>
      </c>
      <c r="E17" s="29">
        <v>98421</v>
      </c>
      <c r="F17" s="24" t="s">
        <v>263</v>
      </c>
      <c r="G17" s="24" t="s">
        <v>224</v>
      </c>
      <c r="H17" s="24" t="s">
        <v>208</v>
      </c>
      <c r="I17" s="25">
        <v>91.936606587942805</v>
      </c>
      <c r="J17" s="26">
        <v>310.05198776758652</v>
      </c>
      <c r="K17" s="26">
        <v>125.46788990825682</v>
      </c>
      <c r="L17" s="26">
        <v>156.44648318042812</v>
      </c>
      <c r="M17" s="26">
        <v>181.69724770642222</v>
      </c>
      <c r="N17" s="26">
        <v>397.04587155963173</v>
      </c>
      <c r="O17" s="26">
        <v>265.07951070336571</v>
      </c>
      <c r="P17" s="26">
        <v>37.14373088685015</v>
      </c>
      <c r="Q17" s="26">
        <v>74.394495412843895</v>
      </c>
      <c r="R17" s="26">
        <v>250.14373088685025</v>
      </c>
      <c r="S17" s="26">
        <v>86.522935779816549</v>
      </c>
      <c r="T17" s="26">
        <v>95.61162079510693</v>
      </c>
      <c r="U17" s="26">
        <v>341.38532110092069</v>
      </c>
      <c r="V17" s="26">
        <v>501.83486238532032</v>
      </c>
      <c r="W17" s="27">
        <v>1181</v>
      </c>
      <c r="X17" s="24" t="s">
        <v>209</v>
      </c>
      <c r="Y17" s="30" t="s">
        <v>210</v>
      </c>
      <c r="Z17" s="24" t="s">
        <v>211</v>
      </c>
      <c r="AA17" s="28" t="s">
        <v>264</v>
      </c>
      <c r="AB17" s="24" t="s">
        <v>209</v>
      </c>
      <c r="AC17" s="30" t="s">
        <v>210</v>
      </c>
      <c r="AD17" s="30" t="s">
        <v>211</v>
      </c>
      <c r="AE17" s="36">
        <v>43209</v>
      </c>
    </row>
    <row r="18" spans="1:31" ht="15.75" x14ac:dyDescent="0.25">
      <c r="A18" s="23" t="s">
        <v>253</v>
      </c>
      <c r="B18" s="24" t="s">
        <v>254</v>
      </c>
      <c r="C18" s="24" t="s">
        <v>255</v>
      </c>
      <c r="D18" s="24" t="s">
        <v>205</v>
      </c>
      <c r="E18" s="29">
        <v>92154</v>
      </c>
      <c r="F18" s="24" t="s">
        <v>256</v>
      </c>
      <c r="G18" s="24" t="s">
        <v>224</v>
      </c>
      <c r="H18" s="24" t="s">
        <v>208</v>
      </c>
      <c r="I18" s="25">
        <v>97.201733911303805</v>
      </c>
      <c r="J18" s="26">
        <v>573.97247706421933</v>
      </c>
      <c r="K18" s="26">
        <v>92.822629969418969</v>
      </c>
      <c r="L18" s="26">
        <v>38.495412844036707</v>
      </c>
      <c r="M18" s="26">
        <v>66.266055045871568</v>
      </c>
      <c r="N18" s="26">
        <v>159.42201834862382</v>
      </c>
      <c r="O18" s="26">
        <v>512.09480122324101</v>
      </c>
      <c r="P18" s="26">
        <v>16.287461773700308</v>
      </c>
      <c r="Q18" s="26">
        <v>83.752293577981746</v>
      </c>
      <c r="R18" s="26">
        <v>93.321100917431295</v>
      </c>
      <c r="S18" s="26">
        <v>37.302752293578017</v>
      </c>
      <c r="T18" s="26">
        <v>43.587155963302727</v>
      </c>
      <c r="U18" s="26">
        <v>597.3455657492342</v>
      </c>
      <c r="V18" s="26">
        <v>451.85321100917338</v>
      </c>
      <c r="W18" s="27">
        <v>1100</v>
      </c>
      <c r="X18" s="24" t="s">
        <v>209</v>
      </c>
      <c r="Y18" s="30" t="s">
        <v>210</v>
      </c>
      <c r="Z18" s="24" t="s">
        <v>211</v>
      </c>
      <c r="AA18" s="28" t="s">
        <v>258</v>
      </c>
      <c r="AB18" s="24" t="s">
        <v>209</v>
      </c>
      <c r="AC18" s="30" t="s">
        <v>210</v>
      </c>
      <c r="AD18" s="30" t="s">
        <v>211</v>
      </c>
      <c r="AE18" s="36">
        <v>43490</v>
      </c>
    </row>
    <row r="19" spans="1:31" ht="15.75" x14ac:dyDescent="0.25">
      <c r="A19" s="23" t="s">
        <v>265</v>
      </c>
      <c r="B19" s="24" t="s">
        <v>266</v>
      </c>
      <c r="C19" s="24" t="s">
        <v>267</v>
      </c>
      <c r="D19" s="24" t="s">
        <v>222</v>
      </c>
      <c r="E19" s="29">
        <v>78566</v>
      </c>
      <c r="F19" s="24" t="s">
        <v>223</v>
      </c>
      <c r="G19" s="24" t="s">
        <v>268</v>
      </c>
      <c r="H19" s="24" t="s">
        <v>208</v>
      </c>
      <c r="I19" s="25">
        <v>15.273959396620199</v>
      </c>
      <c r="J19" s="26">
        <v>631.83486238530361</v>
      </c>
      <c r="K19" s="26">
        <v>49.706422018348619</v>
      </c>
      <c r="L19" s="26">
        <v>8.2568807339449535</v>
      </c>
      <c r="M19" s="26">
        <v>36.467889908256907</v>
      </c>
      <c r="N19" s="26">
        <v>184.76146788990988</v>
      </c>
      <c r="O19" s="26">
        <v>540.42507645259855</v>
      </c>
      <c r="P19" s="26">
        <v>1.5290519877675841E-2</v>
      </c>
      <c r="Q19" s="26">
        <v>1.064220183486237</v>
      </c>
      <c r="R19" s="26">
        <v>51.862385321100888</v>
      </c>
      <c r="S19" s="26">
        <v>47.495412844036721</v>
      </c>
      <c r="T19" s="26">
        <v>85.458715596330279</v>
      </c>
      <c r="U19" s="26">
        <v>541.44954128440224</v>
      </c>
      <c r="V19" s="26">
        <v>451.29357798165455</v>
      </c>
      <c r="W19" s="27">
        <v>800</v>
      </c>
      <c r="X19" s="24" t="s">
        <v>209</v>
      </c>
      <c r="Y19" s="30" t="s">
        <v>210</v>
      </c>
      <c r="Z19" s="24" t="s">
        <v>211</v>
      </c>
      <c r="AA19" s="28" t="s">
        <v>269</v>
      </c>
      <c r="AB19" s="24" t="s">
        <v>209</v>
      </c>
      <c r="AC19" s="30" t="s">
        <v>210</v>
      </c>
      <c r="AD19" s="30" t="s">
        <v>211</v>
      </c>
      <c r="AE19" s="36">
        <v>43496</v>
      </c>
    </row>
    <row r="20" spans="1:31" ht="15.75" x14ac:dyDescent="0.25">
      <c r="A20" s="23" t="s">
        <v>275</v>
      </c>
      <c r="B20" s="24" t="s">
        <v>276</v>
      </c>
      <c r="C20" s="24" t="s">
        <v>277</v>
      </c>
      <c r="D20" s="24" t="s">
        <v>222</v>
      </c>
      <c r="E20" s="29">
        <v>77301</v>
      </c>
      <c r="F20" s="24" t="s">
        <v>278</v>
      </c>
      <c r="G20" s="24" t="s">
        <v>224</v>
      </c>
      <c r="H20" s="24" t="s">
        <v>208</v>
      </c>
      <c r="I20" s="25">
        <v>26.833408172429301</v>
      </c>
      <c r="J20" s="26">
        <v>207.62691131498536</v>
      </c>
      <c r="K20" s="26">
        <v>253.28746177370266</v>
      </c>
      <c r="L20" s="26">
        <v>81.782874617736994</v>
      </c>
      <c r="M20" s="26">
        <v>127.32415902140698</v>
      </c>
      <c r="N20" s="26">
        <v>371.64831804282011</v>
      </c>
      <c r="O20" s="26">
        <v>200.60856269113197</v>
      </c>
      <c r="P20" s="26">
        <v>46.434250764526062</v>
      </c>
      <c r="Q20" s="26">
        <v>51.330275229357852</v>
      </c>
      <c r="R20" s="26">
        <v>201.5932721712544</v>
      </c>
      <c r="S20" s="26">
        <v>103.48318042813527</v>
      </c>
      <c r="T20" s="26">
        <v>120.14067278287428</v>
      </c>
      <c r="U20" s="26">
        <v>244.80428134556641</v>
      </c>
      <c r="V20" s="26">
        <v>412.08562691132391</v>
      </c>
      <c r="W20" s="27">
        <v>750</v>
      </c>
      <c r="X20" s="24" t="s">
        <v>209</v>
      </c>
      <c r="Y20" s="30" t="s">
        <v>210</v>
      </c>
      <c r="Z20" s="24" t="s">
        <v>211</v>
      </c>
      <c r="AA20" s="28" t="s">
        <v>279</v>
      </c>
      <c r="AB20" s="24" t="s">
        <v>209</v>
      </c>
      <c r="AC20" s="30" t="s">
        <v>210</v>
      </c>
      <c r="AD20" s="30" t="s">
        <v>211</v>
      </c>
      <c r="AE20" s="36">
        <v>43454</v>
      </c>
    </row>
    <row r="21" spans="1:31" ht="15.75" x14ac:dyDescent="0.25">
      <c r="A21" s="23" t="s">
        <v>270</v>
      </c>
      <c r="B21" s="24" t="s">
        <v>271</v>
      </c>
      <c r="C21" s="24" t="s">
        <v>272</v>
      </c>
      <c r="D21" s="24" t="s">
        <v>273</v>
      </c>
      <c r="E21" s="29">
        <v>88081</v>
      </c>
      <c r="F21" s="24" t="s">
        <v>274</v>
      </c>
      <c r="G21" s="24" t="s">
        <v>207</v>
      </c>
      <c r="H21" s="24" t="s">
        <v>5</v>
      </c>
      <c r="I21" s="25">
        <v>45.568210262828501</v>
      </c>
      <c r="J21" s="26">
        <v>402.74923547400732</v>
      </c>
      <c r="K21" s="26">
        <v>168.86544342507838</v>
      </c>
      <c r="L21" s="26">
        <v>62.6574923547401</v>
      </c>
      <c r="M21" s="26">
        <v>30.146788990825712</v>
      </c>
      <c r="N21" s="26">
        <v>324.58715596330177</v>
      </c>
      <c r="O21" s="26">
        <v>339.72171253822711</v>
      </c>
      <c r="P21" s="26">
        <v>0</v>
      </c>
      <c r="Q21" s="26">
        <v>0.11009174311926606</v>
      </c>
      <c r="R21" s="26">
        <v>51.584097859327329</v>
      </c>
      <c r="S21" s="26">
        <v>84.987767584097753</v>
      </c>
      <c r="T21" s="26">
        <v>194.19877675841096</v>
      </c>
      <c r="U21" s="26">
        <v>333.64831804281403</v>
      </c>
      <c r="V21" s="26">
        <v>378.62691131498696</v>
      </c>
      <c r="W21" s="27"/>
      <c r="X21" s="24" t="s">
        <v>209</v>
      </c>
      <c r="Y21" s="30" t="s">
        <v>210</v>
      </c>
      <c r="Z21" s="24" t="s">
        <v>211</v>
      </c>
      <c r="AA21" s="28" t="s">
        <v>269</v>
      </c>
      <c r="AB21" s="24" t="s">
        <v>209</v>
      </c>
      <c r="AC21" s="30" t="s">
        <v>210</v>
      </c>
      <c r="AD21" s="30" t="s">
        <v>211</v>
      </c>
      <c r="AE21" s="36">
        <v>43496</v>
      </c>
    </row>
    <row r="22" spans="1:31" ht="15.75" x14ac:dyDescent="0.25">
      <c r="A22" s="23" t="s">
        <v>48</v>
      </c>
      <c r="B22" s="24" t="s">
        <v>290</v>
      </c>
      <c r="C22" s="24" t="s">
        <v>291</v>
      </c>
      <c r="D22" s="24" t="s">
        <v>217</v>
      </c>
      <c r="E22" s="29">
        <v>31772</v>
      </c>
      <c r="F22" s="24" t="s">
        <v>218</v>
      </c>
      <c r="G22" s="24" t="s">
        <v>236</v>
      </c>
      <c r="H22" s="24" t="s">
        <v>208</v>
      </c>
      <c r="I22" s="25">
        <v>41.847864248098297</v>
      </c>
      <c r="J22" s="26">
        <v>273.79510703364014</v>
      </c>
      <c r="K22" s="26">
        <v>140.39143730886863</v>
      </c>
      <c r="L22" s="26">
        <v>127.14984709480157</v>
      </c>
      <c r="M22" s="26">
        <v>111.96330275229369</v>
      </c>
      <c r="N22" s="26">
        <v>250.2966360856268</v>
      </c>
      <c r="O22" s="26">
        <v>171.20489296636134</v>
      </c>
      <c r="P22" s="26">
        <v>87.801223241590193</v>
      </c>
      <c r="Q22" s="26">
        <v>143.99694189602468</v>
      </c>
      <c r="R22" s="26">
        <v>171.19877675840976</v>
      </c>
      <c r="S22" s="26">
        <v>74.862385321101215</v>
      </c>
      <c r="T22" s="26">
        <v>94.253822629969676</v>
      </c>
      <c r="U22" s="26">
        <v>312.98470948012408</v>
      </c>
      <c r="V22" s="26">
        <v>421.71865443425105</v>
      </c>
      <c r="W22" s="27">
        <v>600</v>
      </c>
      <c r="X22" s="24" t="s">
        <v>209</v>
      </c>
      <c r="Y22" s="30" t="s">
        <v>293</v>
      </c>
      <c r="Z22" s="24" t="s">
        <v>211</v>
      </c>
      <c r="AA22" s="28" t="s">
        <v>294</v>
      </c>
      <c r="AB22" s="24" t="s">
        <v>209</v>
      </c>
      <c r="AC22" s="30" t="s">
        <v>293</v>
      </c>
      <c r="AD22" s="30" t="s">
        <v>211</v>
      </c>
      <c r="AE22" s="36">
        <v>43265</v>
      </c>
    </row>
    <row r="23" spans="1:31" ht="15.75" x14ac:dyDescent="0.25">
      <c r="A23" s="23" t="s">
        <v>13</v>
      </c>
      <c r="B23" s="24" t="s">
        <v>287</v>
      </c>
      <c r="C23" s="24" t="s">
        <v>288</v>
      </c>
      <c r="D23" s="24" t="s">
        <v>222</v>
      </c>
      <c r="E23" s="29">
        <v>78580</v>
      </c>
      <c r="F23" s="24" t="s">
        <v>223</v>
      </c>
      <c r="G23" s="24" t="s">
        <v>236</v>
      </c>
      <c r="H23" s="24" t="s">
        <v>208</v>
      </c>
      <c r="I23" s="25">
        <v>31.3344020072484</v>
      </c>
      <c r="J23" s="26">
        <v>631.30275229357676</v>
      </c>
      <c r="K23" s="26">
        <v>9.3088685015290498</v>
      </c>
      <c r="L23" s="26">
        <v>2.6605504587155964</v>
      </c>
      <c r="M23" s="26">
        <v>0.28134556574923547</v>
      </c>
      <c r="N23" s="26">
        <v>44.908256880734022</v>
      </c>
      <c r="O23" s="26">
        <v>348.87767584097855</v>
      </c>
      <c r="P23" s="26">
        <v>33.550458715596349</v>
      </c>
      <c r="Q23" s="26">
        <v>216.21712538226365</v>
      </c>
      <c r="R23" s="26">
        <v>14.308868501529044</v>
      </c>
      <c r="S23" s="26">
        <v>17.412844036697233</v>
      </c>
      <c r="T23" s="26">
        <v>46.253822629969456</v>
      </c>
      <c r="U23" s="26">
        <v>565.57798165137422</v>
      </c>
      <c r="V23" s="26">
        <v>459.43730886849983</v>
      </c>
      <c r="W23" s="27">
        <v>750</v>
      </c>
      <c r="X23" s="24" t="s">
        <v>209</v>
      </c>
      <c r="Y23" s="30" t="s">
        <v>210</v>
      </c>
      <c r="Z23" s="24" t="s">
        <v>211</v>
      </c>
      <c r="AA23" s="28" t="s">
        <v>289</v>
      </c>
      <c r="AB23" s="24" t="s">
        <v>209</v>
      </c>
      <c r="AC23" s="30" t="s">
        <v>210</v>
      </c>
      <c r="AD23" s="30" t="s">
        <v>211</v>
      </c>
      <c r="AE23" s="36">
        <v>43440</v>
      </c>
    </row>
    <row r="24" spans="1:31" ht="15.75" x14ac:dyDescent="0.25">
      <c r="A24" s="23" t="s">
        <v>24</v>
      </c>
      <c r="B24" s="24" t="s">
        <v>284</v>
      </c>
      <c r="C24" s="24" t="s">
        <v>285</v>
      </c>
      <c r="D24" s="24" t="s">
        <v>234</v>
      </c>
      <c r="E24" s="29">
        <v>71251</v>
      </c>
      <c r="F24" s="24" t="s">
        <v>235</v>
      </c>
      <c r="G24" s="24" t="s">
        <v>207</v>
      </c>
      <c r="H24" s="24" t="s">
        <v>208</v>
      </c>
      <c r="I24" s="25">
        <v>107.506519558676</v>
      </c>
      <c r="J24" s="26">
        <v>499.6758409785935</v>
      </c>
      <c r="K24" s="26">
        <v>73.865443425076521</v>
      </c>
      <c r="L24" s="26">
        <v>39.501529051987724</v>
      </c>
      <c r="M24" s="26">
        <v>16.400611620795097</v>
      </c>
      <c r="N24" s="26">
        <v>90.59938837920491</v>
      </c>
      <c r="O24" s="26">
        <v>385.24770642201815</v>
      </c>
      <c r="P24" s="26">
        <v>30.712538226299699</v>
      </c>
      <c r="Q24" s="26">
        <v>122.88379204892969</v>
      </c>
      <c r="R24" s="26">
        <v>39.80733944954131</v>
      </c>
      <c r="S24" s="26">
        <v>21.896024464831811</v>
      </c>
      <c r="T24" s="26">
        <v>59.192660550458783</v>
      </c>
      <c r="U24" s="26">
        <v>508.54740061162079</v>
      </c>
      <c r="V24" s="26">
        <v>377.19571865443351</v>
      </c>
      <c r="W24" s="27"/>
      <c r="X24" s="24" t="s">
        <v>209</v>
      </c>
      <c r="Y24" s="30" t="s">
        <v>210</v>
      </c>
      <c r="Z24" s="24" t="s">
        <v>211</v>
      </c>
      <c r="AA24" s="28" t="s">
        <v>286</v>
      </c>
      <c r="AB24" s="24" t="s">
        <v>238</v>
      </c>
      <c r="AC24" s="30"/>
      <c r="AD24" s="30"/>
      <c r="AE24" s="36"/>
    </row>
    <row r="25" spans="1:31" ht="15.75" x14ac:dyDescent="0.25">
      <c r="A25" s="23" t="s">
        <v>299</v>
      </c>
      <c r="B25" s="24" t="s">
        <v>300</v>
      </c>
      <c r="C25" s="24" t="s">
        <v>301</v>
      </c>
      <c r="D25" s="24" t="s">
        <v>222</v>
      </c>
      <c r="E25" s="29">
        <v>77032</v>
      </c>
      <c r="F25" s="24" t="s">
        <v>278</v>
      </c>
      <c r="G25" s="24" t="s">
        <v>224</v>
      </c>
      <c r="H25" s="24" t="s">
        <v>208</v>
      </c>
      <c r="I25" s="25">
        <v>38.957434944237903</v>
      </c>
      <c r="J25" s="26">
        <v>257.11620795107007</v>
      </c>
      <c r="K25" s="26">
        <v>238.40978593272129</v>
      </c>
      <c r="L25" s="26">
        <v>65.492354740061174</v>
      </c>
      <c r="M25" s="26">
        <v>45.412844036697237</v>
      </c>
      <c r="N25" s="26">
        <v>257.65749235473947</v>
      </c>
      <c r="O25" s="26">
        <v>278.91437308868501</v>
      </c>
      <c r="P25" s="26">
        <v>20.550458715596339</v>
      </c>
      <c r="Q25" s="26">
        <v>49.308868501529055</v>
      </c>
      <c r="R25" s="26">
        <v>66.275229357798167</v>
      </c>
      <c r="S25" s="26">
        <v>86.773700305810266</v>
      </c>
      <c r="T25" s="26">
        <v>132.01529051987802</v>
      </c>
      <c r="U25" s="26">
        <v>321.36697247706439</v>
      </c>
      <c r="V25" s="26">
        <v>431.07951070336253</v>
      </c>
      <c r="W25" s="27">
        <v>750</v>
      </c>
      <c r="X25" s="24" t="s">
        <v>209</v>
      </c>
      <c r="Y25" s="30" t="s">
        <v>210</v>
      </c>
      <c r="Z25" s="24" t="s">
        <v>211</v>
      </c>
      <c r="AA25" s="28" t="s">
        <v>230</v>
      </c>
      <c r="AB25" s="24" t="s">
        <v>209</v>
      </c>
      <c r="AC25" s="30" t="s">
        <v>210</v>
      </c>
      <c r="AD25" s="30" t="s">
        <v>211</v>
      </c>
      <c r="AE25" s="36">
        <v>43475</v>
      </c>
    </row>
    <row r="26" spans="1:31" ht="15.75" x14ac:dyDescent="0.25">
      <c r="A26" s="23" t="s">
        <v>355</v>
      </c>
      <c r="B26" s="24" t="s">
        <v>239</v>
      </c>
      <c r="C26" s="24" t="s">
        <v>40</v>
      </c>
      <c r="D26" s="24" t="s">
        <v>240</v>
      </c>
      <c r="E26" s="29">
        <v>85131</v>
      </c>
      <c r="F26" s="24" t="s">
        <v>241</v>
      </c>
      <c r="G26" s="24" t="s">
        <v>207</v>
      </c>
      <c r="H26" s="24" t="s">
        <v>5</v>
      </c>
      <c r="I26" s="25">
        <v>64.026392111368907</v>
      </c>
      <c r="J26" s="26">
        <v>359.64831804281533</v>
      </c>
      <c r="K26" s="26">
        <v>89.755351681957166</v>
      </c>
      <c r="L26" s="26">
        <v>80.577981651376192</v>
      </c>
      <c r="M26" s="26">
        <v>68.030581039755432</v>
      </c>
      <c r="N26" s="26">
        <v>222.50152905198797</v>
      </c>
      <c r="O26" s="26">
        <v>375.51070336391592</v>
      </c>
      <c r="P26" s="26">
        <v>0</v>
      </c>
      <c r="Q26" s="26">
        <v>0</v>
      </c>
      <c r="R26" s="26">
        <v>67.452599388379241</v>
      </c>
      <c r="S26" s="26">
        <v>43.324159021406714</v>
      </c>
      <c r="T26" s="26">
        <v>111.30581039755344</v>
      </c>
      <c r="U26" s="26">
        <v>375.92966360856428</v>
      </c>
      <c r="V26" s="26">
        <v>346.24464831804494</v>
      </c>
      <c r="W26" s="27">
        <v>650</v>
      </c>
      <c r="X26" s="24" t="s">
        <v>238</v>
      </c>
      <c r="Y26" s="30"/>
      <c r="Z26" s="24"/>
      <c r="AA26" s="28" t="s">
        <v>356</v>
      </c>
      <c r="AB26" s="24" t="s">
        <v>238</v>
      </c>
      <c r="AC26" s="30"/>
      <c r="AD26" s="30"/>
      <c r="AE26" s="36"/>
    </row>
    <row r="27" spans="1:31" ht="15.75" x14ac:dyDescent="0.25">
      <c r="A27" s="23" t="s">
        <v>326</v>
      </c>
      <c r="B27" s="24" t="s">
        <v>327</v>
      </c>
      <c r="C27" s="24" t="s">
        <v>328</v>
      </c>
      <c r="D27" s="24" t="s">
        <v>329</v>
      </c>
      <c r="E27" s="29">
        <v>33194</v>
      </c>
      <c r="F27" s="24" t="s">
        <v>36</v>
      </c>
      <c r="G27" s="24" t="s">
        <v>268</v>
      </c>
      <c r="H27" s="24" t="s">
        <v>5</v>
      </c>
      <c r="I27" s="25">
        <v>27.103760045924201</v>
      </c>
      <c r="J27" s="26">
        <v>110.95412844036666</v>
      </c>
      <c r="K27" s="26">
        <v>65.767584097859469</v>
      </c>
      <c r="L27" s="26">
        <v>195.14373088685062</v>
      </c>
      <c r="M27" s="26">
        <v>174.61162079510731</v>
      </c>
      <c r="N27" s="26">
        <v>342.28440366972541</v>
      </c>
      <c r="O27" s="26">
        <v>204.19266055046009</v>
      </c>
      <c r="P27" s="26">
        <v>0</v>
      </c>
      <c r="Q27" s="26">
        <v>0</v>
      </c>
      <c r="R27" s="26">
        <v>166.21712538226302</v>
      </c>
      <c r="S27" s="26">
        <v>90.639143730886929</v>
      </c>
      <c r="T27" s="26">
        <v>85.2782874617738</v>
      </c>
      <c r="U27" s="26">
        <v>204.34250764526138</v>
      </c>
      <c r="V27" s="26">
        <v>373.61467889907311</v>
      </c>
      <c r="W27" s="27">
        <v>450</v>
      </c>
      <c r="X27" s="24" t="s">
        <v>209</v>
      </c>
      <c r="Y27" s="30" t="s">
        <v>210</v>
      </c>
      <c r="Z27" s="24" t="s">
        <v>213</v>
      </c>
      <c r="AA27" s="28" t="s">
        <v>315</v>
      </c>
      <c r="AB27" s="24" t="s">
        <v>209</v>
      </c>
      <c r="AC27" s="30" t="s">
        <v>210</v>
      </c>
      <c r="AD27" s="30" t="s">
        <v>211</v>
      </c>
      <c r="AE27" s="36">
        <v>43510</v>
      </c>
    </row>
    <row r="28" spans="1:31" ht="15.75" x14ac:dyDescent="0.25">
      <c r="A28" s="23" t="s">
        <v>295</v>
      </c>
      <c r="B28" s="24" t="s">
        <v>296</v>
      </c>
      <c r="C28" s="24" t="s">
        <v>297</v>
      </c>
      <c r="D28" s="24" t="s">
        <v>222</v>
      </c>
      <c r="E28" s="29">
        <v>79925</v>
      </c>
      <c r="F28" s="24" t="s">
        <v>274</v>
      </c>
      <c r="G28" s="24" t="s">
        <v>268</v>
      </c>
      <c r="H28" s="24" t="s">
        <v>208</v>
      </c>
      <c r="I28" s="25">
        <v>14.591020694493199</v>
      </c>
      <c r="J28" s="26">
        <v>315.88990825689291</v>
      </c>
      <c r="K28" s="26">
        <v>123.34862385320825</v>
      </c>
      <c r="L28" s="26">
        <v>67.434250764525842</v>
      </c>
      <c r="M28" s="26">
        <v>36.91437308868516</v>
      </c>
      <c r="N28" s="26">
        <v>157.88685015291236</v>
      </c>
      <c r="O28" s="26">
        <v>153.48012232415675</v>
      </c>
      <c r="P28" s="26">
        <v>73.20183486238497</v>
      </c>
      <c r="Q28" s="26">
        <v>159.01834862385377</v>
      </c>
      <c r="R28" s="26">
        <v>63.706422018348704</v>
      </c>
      <c r="S28" s="26">
        <v>57.159021406727405</v>
      </c>
      <c r="T28" s="26">
        <v>110.34250764525807</v>
      </c>
      <c r="U28" s="26">
        <v>312.37920489298165</v>
      </c>
      <c r="V28" s="26">
        <v>313.5779816514065</v>
      </c>
      <c r="W28" s="27">
        <v>600</v>
      </c>
      <c r="X28" s="24" t="s">
        <v>209</v>
      </c>
      <c r="Y28" s="30" t="s">
        <v>210</v>
      </c>
      <c r="Z28" s="24" t="s">
        <v>211</v>
      </c>
      <c r="AA28" s="28" t="s">
        <v>298</v>
      </c>
      <c r="AB28" s="24" t="s">
        <v>209</v>
      </c>
      <c r="AC28" s="30" t="s">
        <v>210</v>
      </c>
      <c r="AD28" s="30" t="s">
        <v>211</v>
      </c>
      <c r="AE28" s="36">
        <v>43447</v>
      </c>
    </row>
    <row r="29" spans="1:31" ht="15.75" x14ac:dyDescent="0.25">
      <c r="A29" s="23" t="s">
        <v>47</v>
      </c>
      <c r="B29" s="24" t="s">
        <v>302</v>
      </c>
      <c r="C29" s="24" t="s">
        <v>303</v>
      </c>
      <c r="D29" s="24" t="s">
        <v>234</v>
      </c>
      <c r="E29" s="29">
        <v>70576</v>
      </c>
      <c r="F29" s="24" t="s">
        <v>235</v>
      </c>
      <c r="G29" s="24" t="s">
        <v>207</v>
      </c>
      <c r="H29" s="24" t="s">
        <v>5</v>
      </c>
      <c r="I29" s="25">
        <v>87.193548387096797</v>
      </c>
      <c r="J29" s="26">
        <v>368.17737003058022</v>
      </c>
      <c r="K29" s="26">
        <v>87.623853211009234</v>
      </c>
      <c r="L29" s="26">
        <v>55.529051987767595</v>
      </c>
      <c r="M29" s="26">
        <v>17.795107033639148</v>
      </c>
      <c r="N29" s="26">
        <v>125.3394495412842</v>
      </c>
      <c r="O29" s="26">
        <v>403.78593272171082</v>
      </c>
      <c r="P29" s="26">
        <v>0</v>
      </c>
      <c r="Q29" s="26">
        <v>0</v>
      </c>
      <c r="R29" s="26">
        <v>34.9908256880734</v>
      </c>
      <c r="S29" s="26">
        <v>25.574923547400601</v>
      </c>
      <c r="T29" s="26">
        <v>65.259938837920544</v>
      </c>
      <c r="U29" s="26">
        <v>403.2996941896007</v>
      </c>
      <c r="V29" s="26">
        <v>299.68195718654459</v>
      </c>
      <c r="W29" s="27"/>
      <c r="X29" s="24" t="s">
        <v>209</v>
      </c>
      <c r="Y29" s="30" t="s">
        <v>210</v>
      </c>
      <c r="Z29" s="24" t="s">
        <v>211</v>
      </c>
      <c r="AA29" s="28" t="s">
        <v>304</v>
      </c>
      <c r="AB29" s="24" t="s">
        <v>209</v>
      </c>
      <c r="AC29" s="30" t="s">
        <v>210</v>
      </c>
      <c r="AD29" s="30" t="s">
        <v>211</v>
      </c>
      <c r="AE29" s="36">
        <v>43216</v>
      </c>
    </row>
    <row r="30" spans="1:31" ht="15.75" x14ac:dyDescent="0.25">
      <c r="A30" s="23" t="s">
        <v>316</v>
      </c>
      <c r="B30" s="24" t="s">
        <v>317</v>
      </c>
      <c r="C30" s="24" t="s">
        <v>318</v>
      </c>
      <c r="D30" s="24" t="s">
        <v>319</v>
      </c>
      <c r="E30" s="29">
        <v>7105</v>
      </c>
      <c r="F30" s="24" t="s">
        <v>320</v>
      </c>
      <c r="G30" s="24" t="s">
        <v>236</v>
      </c>
      <c r="H30" s="24" t="s">
        <v>5</v>
      </c>
      <c r="I30" s="25">
        <v>112.626802884615</v>
      </c>
      <c r="J30" s="26">
        <v>9.2171253822630028</v>
      </c>
      <c r="K30" s="26">
        <v>11.954128440366981</v>
      </c>
      <c r="L30" s="26">
        <v>313.27828746177386</v>
      </c>
      <c r="M30" s="26">
        <v>191.41284403669741</v>
      </c>
      <c r="N30" s="26">
        <v>313.92660550458771</v>
      </c>
      <c r="O30" s="26">
        <v>210.33944954128447</v>
      </c>
      <c r="P30" s="26">
        <v>1</v>
      </c>
      <c r="Q30" s="26">
        <v>0.59633027522935778</v>
      </c>
      <c r="R30" s="26">
        <v>180.29051987767579</v>
      </c>
      <c r="S30" s="26">
        <v>58.773700305810394</v>
      </c>
      <c r="T30" s="26">
        <v>82.204892966360816</v>
      </c>
      <c r="U30" s="26">
        <v>204.59327217125389</v>
      </c>
      <c r="V30" s="26">
        <v>272.34556574923516</v>
      </c>
      <c r="W30" s="27"/>
      <c r="X30" s="24" t="s">
        <v>209</v>
      </c>
      <c r="Y30" s="30" t="s">
        <v>210</v>
      </c>
      <c r="Z30" s="24" t="s">
        <v>211</v>
      </c>
      <c r="AA30" s="28" t="s">
        <v>246</v>
      </c>
      <c r="AB30" s="24" t="s">
        <v>209</v>
      </c>
      <c r="AC30" s="30" t="s">
        <v>210</v>
      </c>
      <c r="AD30" s="30" t="s">
        <v>211</v>
      </c>
      <c r="AE30" s="36">
        <v>43370</v>
      </c>
    </row>
    <row r="31" spans="1:31" ht="15.75" x14ac:dyDescent="0.25">
      <c r="A31" s="23" t="s">
        <v>308</v>
      </c>
      <c r="B31" s="24" t="s">
        <v>309</v>
      </c>
      <c r="C31" s="24" t="s">
        <v>310</v>
      </c>
      <c r="D31" s="24" t="s">
        <v>205</v>
      </c>
      <c r="E31" s="29">
        <v>92231</v>
      </c>
      <c r="F31" s="24" t="s">
        <v>256</v>
      </c>
      <c r="G31" s="24" t="s">
        <v>224</v>
      </c>
      <c r="H31" s="24" t="s">
        <v>208</v>
      </c>
      <c r="I31" s="25">
        <v>86.609150326797405</v>
      </c>
      <c r="J31" s="26">
        <v>474.84709480122314</v>
      </c>
      <c r="K31" s="26">
        <v>6.4525993883792045</v>
      </c>
      <c r="L31" s="26">
        <v>6.7461773700305798</v>
      </c>
      <c r="M31" s="26">
        <v>35.067278287461768</v>
      </c>
      <c r="N31" s="26">
        <v>61.293577981651417</v>
      </c>
      <c r="O31" s="26">
        <v>411.95718654434313</v>
      </c>
      <c r="P31" s="26">
        <v>2.0519877675840981</v>
      </c>
      <c r="Q31" s="26">
        <v>47.8103975535168</v>
      </c>
      <c r="R31" s="26">
        <v>45.21100917431194</v>
      </c>
      <c r="S31" s="26">
        <v>7.3761467889908268</v>
      </c>
      <c r="T31" s="26">
        <v>10.724770642201838</v>
      </c>
      <c r="U31" s="26">
        <v>459.80122324159044</v>
      </c>
      <c r="V31" s="26">
        <v>380.50764525993901</v>
      </c>
      <c r="W31" s="27">
        <v>640</v>
      </c>
      <c r="X31" s="24" t="s">
        <v>209</v>
      </c>
      <c r="Y31" s="30" t="s">
        <v>210</v>
      </c>
      <c r="Z31" s="24" t="s">
        <v>211</v>
      </c>
      <c r="AA31" s="28" t="s">
        <v>311</v>
      </c>
      <c r="AB31" s="24" t="s">
        <v>209</v>
      </c>
      <c r="AC31" s="30" t="s">
        <v>210</v>
      </c>
      <c r="AD31" s="30" t="s">
        <v>211</v>
      </c>
      <c r="AE31" s="36">
        <v>43482</v>
      </c>
    </row>
    <row r="32" spans="1:31" ht="15.75" x14ac:dyDescent="0.25">
      <c r="A32" s="23" t="s">
        <v>321</v>
      </c>
      <c r="B32" s="24" t="s">
        <v>322</v>
      </c>
      <c r="C32" s="24" t="s">
        <v>323</v>
      </c>
      <c r="D32" s="24" t="s">
        <v>324</v>
      </c>
      <c r="E32" s="29">
        <v>23901</v>
      </c>
      <c r="F32" s="24" t="s">
        <v>325</v>
      </c>
      <c r="G32" s="24" t="s">
        <v>207</v>
      </c>
      <c r="H32" s="24" t="s">
        <v>5</v>
      </c>
      <c r="I32" s="25">
        <v>69.6668060200669</v>
      </c>
      <c r="J32" s="26">
        <v>114.72171253822626</v>
      </c>
      <c r="K32" s="26">
        <v>162.98165137614706</v>
      </c>
      <c r="L32" s="26">
        <v>112.15596330275247</v>
      </c>
      <c r="M32" s="26">
        <v>129.63608562691138</v>
      </c>
      <c r="N32" s="26">
        <v>332.88379204892908</v>
      </c>
      <c r="O32" s="26">
        <v>186.07645259938866</v>
      </c>
      <c r="P32" s="26">
        <v>0.53516819571865448</v>
      </c>
      <c r="Q32" s="26">
        <v>0</v>
      </c>
      <c r="R32" s="26">
        <v>145.18348623853231</v>
      </c>
      <c r="S32" s="26">
        <v>98.26605504587171</v>
      </c>
      <c r="T32" s="26">
        <v>91.831804281345569</v>
      </c>
      <c r="U32" s="26">
        <v>184.21406727828767</v>
      </c>
      <c r="V32" s="26">
        <v>275.16819571865437</v>
      </c>
      <c r="W32" s="27">
        <v>500</v>
      </c>
      <c r="X32" s="24" t="s">
        <v>209</v>
      </c>
      <c r="Y32" s="30" t="s">
        <v>210</v>
      </c>
      <c r="Z32" s="24" t="s">
        <v>213</v>
      </c>
      <c r="AA32" s="28" t="s">
        <v>931</v>
      </c>
      <c r="AB32" s="24" t="s">
        <v>209</v>
      </c>
      <c r="AC32" s="30" t="s">
        <v>210</v>
      </c>
      <c r="AD32" s="30" t="s">
        <v>211</v>
      </c>
      <c r="AE32" s="36">
        <v>43524</v>
      </c>
    </row>
    <row r="33" spans="1:31" ht="15.75" x14ac:dyDescent="0.25">
      <c r="A33" s="23" t="s">
        <v>280</v>
      </c>
      <c r="B33" s="24" t="s">
        <v>281</v>
      </c>
      <c r="C33" s="24" t="s">
        <v>282</v>
      </c>
      <c r="D33" s="24" t="s">
        <v>234</v>
      </c>
      <c r="E33" s="29">
        <v>71202</v>
      </c>
      <c r="F33" s="24" t="s">
        <v>235</v>
      </c>
      <c r="G33" s="24" t="s">
        <v>207</v>
      </c>
      <c r="H33" s="24" t="s">
        <v>5</v>
      </c>
      <c r="I33" s="25">
        <v>126.437869822485</v>
      </c>
      <c r="J33" s="26">
        <v>434.41896024464717</v>
      </c>
      <c r="K33" s="26">
        <v>62.223241590214045</v>
      </c>
      <c r="L33" s="26">
        <v>12.354740061162071</v>
      </c>
      <c r="M33" s="26">
        <v>4.8899082568807337</v>
      </c>
      <c r="N33" s="26">
        <v>64.721712538226271</v>
      </c>
      <c r="O33" s="26">
        <v>448.77064220183382</v>
      </c>
      <c r="P33" s="26">
        <v>0</v>
      </c>
      <c r="Q33" s="26">
        <v>0.39449541284403672</v>
      </c>
      <c r="R33" s="26">
        <v>8.8654434250764478</v>
      </c>
      <c r="S33" s="26">
        <v>7.8287461773700251</v>
      </c>
      <c r="T33" s="26">
        <v>47.819571865443379</v>
      </c>
      <c r="U33" s="26">
        <v>449.37308868501418</v>
      </c>
      <c r="V33" s="26">
        <v>326.01529051987598</v>
      </c>
      <c r="W33" s="27"/>
      <c r="X33" s="24" t="s">
        <v>209</v>
      </c>
      <c r="Y33" s="30" t="s">
        <v>210</v>
      </c>
      <c r="Z33" s="24" t="s">
        <v>211</v>
      </c>
      <c r="AA33" s="28" t="s">
        <v>283</v>
      </c>
      <c r="AB33" s="24" t="s">
        <v>238</v>
      </c>
      <c r="AC33" s="30"/>
      <c r="AD33" s="30"/>
      <c r="AE33" s="36"/>
    </row>
    <row r="34" spans="1:31" ht="15.75" x14ac:dyDescent="0.25">
      <c r="A34" s="23" t="s">
        <v>312</v>
      </c>
      <c r="B34" s="24" t="s">
        <v>313</v>
      </c>
      <c r="C34" s="24" t="s">
        <v>49</v>
      </c>
      <c r="D34" s="24" t="s">
        <v>222</v>
      </c>
      <c r="E34" s="29">
        <v>76009</v>
      </c>
      <c r="F34" s="24" t="s">
        <v>314</v>
      </c>
      <c r="G34" s="24" t="s">
        <v>207</v>
      </c>
      <c r="H34" s="24" t="s">
        <v>208</v>
      </c>
      <c r="I34" s="25">
        <v>21.160326399264498</v>
      </c>
      <c r="J34" s="26">
        <v>230.27828746178423</v>
      </c>
      <c r="K34" s="26">
        <v>88.110091743118801</v>
      </c>
      <c r="L34" s="26">
        <v>98.773700305810138</v>
      </c>
      <c r="M34" s="26">
        <v>78.749235474006099</v>
      </c>
      <c r="N34" s="26">
        <v>260.66666666667692</v>
      </c>
      <c r="O34" s="26">
        <v>191.09480122324891</v>
      </c>
      <c r="P34" s="26">
        <v>23.000000000000032</v>
      </c>
      <c r="Q34" s="26">
        <v>21.149847094801256</v>
      </c>
      <c r="R34" s="26">
        <v>127.9571865443413</v>
      </c>
      <c r="S34" s="26">
        <v>69.568807339449179</v>
      </c>
      <c r="T34" s="26">
        <v>86.587155963302138</v>
      </c>
      <c r="U34" s="26">
        <v>211.7981651376229</v>
      </c>
      <c r="V34" s="26">
        <v>272.55963302753429</v>
      </c>
      <c r="W34" s="27"/>
      <c r="X34" s="24" t="s">
        <v>209</v>
      </c>
      <c r="Y34" s="30" t="s">
        <v>210</v>
      </c>
      <c r="Z34" s="24" t="s">
        <v>211</v>
      </c>
      <c r="AA34" s="28" t="s">
        <v>315</v>
      </c>
      <c r="AB34" s="24" t="s">
        <v>209</v>
      </c>
      <c r="AC34" s="30" t="s">
        <v>210</v>
      </c>
      <c r="AD34" s="30" t="s">
        <v>211</v>
      </c>
      <c r="AE34" s="36">
        <v>43510</v>
      </c>
    </row>
    <row r="35" spans="1:31" ht="15.75" x14ac:dyDescent="0.25">
      <c r="A35" s="23" t="s">
        <v>330</v>
      </c>
      <c r="B35" s="24" t="s">
        <v>331</v>
      </c>
      <c r="C35" s="24" t="s">
        <v>50</v>
      </c>
      <c r="D35" s="24" t="s">
        <v>332</v>
      </c>
      <c r="E35" s="29">
        <v>80010</v>
      </c>
      <c r="F35" s="24" t="s">
        <v>333</v>
      </c>
      <c r="G35" s="24" t="s">
        <v>224</v>
      </c>
      <c r="H35" s="24" t="s">
        <v>208</v>
      </c>
      <c r="I35" s="25">
        <v>78.699724517906304</v>
      </c>
      <c r="J35" s="26">
        <v>191.43425076452601</v>
      </c>
      <c r="K35" s="26">
        <v>62.34250764526</v>
      </c>
      <c r="L35" s="26">
        <v>141.18654434250752</v>
      </c>
      <c r="M35" s="26">
        <v>91.00611620795101</v>
      </c>
      <c r="N35" s="26">
        <v>264.28134556574906</v>
      </c>
      <c r="O35" s="26">
        <v>202.78593272171264</v>
      </c>
      <c r="P35" s="26">
        <v>5.3455657492354733</v>
      </c>
      <c r="Q35" s="26">
        <v>13.556574923547394</v>
      </c>
      <c r="R35" s="26">
        <v>134.72477064220183</v>
      </c>
      <c r="S35" s="26">
        <v>83.474006116208002</v>
      </c>
      <c r="T35" s="26">
        <v>51.896024464831832</v>
      </c>
      <c r="U35" s="26">
        <v>215.87461773700329</v>
      </c>
      <c r="V35" s="26">
        <v>288.3088685015282</v>
      </c>
      <c r="W35" s="27">
        <v>525</v>
      </c>
      <c r="X35" s="24" t="s">
        <v>209</v>
      </c>
      <c r="Y35" s="30" t="s">
        <v>210</v>
      </c>
      <c r="Z35" s="24" t="s">
        <v>211</v>
      </c>
      <c r="AA35" s="28" t="s">
        <v>334</v>
      </c>
      <c r="AB35" s="24" t="s">
        <v>209</v>
      </c>
      <c r="AC35" s="30" t="s">
        <v>210</v>
      </c>
      <c r="AD35" s="30" t="s">
        <v>211</v>
      </c>
      <c r="AE35" s="36">
        <v>43377</v>
      </c>
    </row>
    <row r="36" spans="1:31" ht="15.75" x14ac:dyDescent="0.25">
      <c r="A36" s="23" t="s">
        <v>9</v>
      </c>
      <c r="B36" s="24" t="s">
        <v>339</v>
      </c>
      <c r="C36" s="24" t="s">
        <v>340</v>
      </c>
      <c r="D36" s="24" t="s">
        <v>329</v>
      </c>
      <c r="E36" s="29">
        <v>33073</v>
      </c>
      <c r="F36" s="24" t="s">
        <v>36</v>
      </c>
      <c r="G36" s="24" t="s">
        <v>224</v>
      </c>
      <c r="H36" s="24" t="s">
        <v>208</v>
      </c>
      <c r="I36" s="25">
        <v>43.071765816808302</v>
      </c>
      <c r="J36" s="26">
        <v>427.03058103975525</v>
      </c>
      <c r="K36" s="26">
        <v>50.143730886850179</v>
      </c>
      <c r="L36" s="26">
        <v>0.33333333333333331</v>
      </c>
      <c r="M36" s="26">
        <v>7.9510703363914373E-2</v>
      </c>
      <c r="N36" s="26">
        <v>93.513761467889921</v>
      </c>
      <c r="O36" s="26">
        <v>308.55045871559571</v>
      </c>
      <c r="P36" s="26">
        <v>7.1253822629969399</v>
      </c>
      <c r="Q36" s="26">
        <v>68.397553516819528</v>
      </c>
      <c r="R36" s="26">
        <v>4.5718654434250752</v>
      </c>
      <c r="S36" s="26">
        <v>26.522935779816507</v>
      </c>
      <c r="T36" s="26">
        <v>70.660550458715619</v>
      </c>
      <c r="U36" s="26">
        <v>375.83180428134523</v>
      </c>
      <c r="V36" s="26">
        <v>269.83180428134614</v>
      </c>
      <c r="W36" s="27">
        <v>700</v>
      </c>
      <c r="X36" s="24" t="s">
        <v>209</v>
      </c>
      <c r="Y36" s="30" t="s">
        <v>210</v>
      </c>
      <c r="Z36" s="24" t="s">
        <v>211</v>
      </c>
      <c r="AA36" s="28" t="s">
        <v>341</v>
      </c>
      <c r="AB36" s="24" t="s">
        <v>209</v>
      </c>
      <c r="AC36" s="30" t="s">
        <v>210</v>
      </c>
      <c r="AD36" s="30" t="s">
        <v>211</v>
      </c>
      <c r="AE36" s="36">
        <v>43405</v>
      </c>
    </row>
    <row r="37" spans="1:31" ht="15.75" x14ac:dyDescent="0.25">
      <c r="A37" s="23" t="s">
        <v>335</v>
      </c>
      <c r="B37" s="24" t="s">
        <v>336</v>
      </c>
      <c r="C37" s="24" t="s">
        <v>337</v>
      </c>
      <c r="D37" s="24" t="s">
        <v>217</v>
      </c>
      <c r="E37" s="29">
        <v>31537</v>
      </c>
      <c r="F37" s="24" t="s">
        <v>218</v>
      </c>
      <c r="G37" s="24" t="s">
        <v>207</v>
      </c>
      <c r="H37" s="24" t="s">
        <v>5</v>
      </c>
      <c r="I37" s="25">
        <v>61.003430531732398</v>
      </c>
      <c r="J37" s="26">
        <v>315.31804281345569</v>
      </c>
      <c r="K37" s="26">
        <v>105.01529051987779</v>
      </c>
      <c r="L37" s="26">
        <v>33.483180428134546</v>
      </c>
      <c r="M37" s="26">
        <v>22.324159021406729</v>
      </c>
      <c r="N37" s="26">
        <v>186.18654434250749</v>
      </c>
      <c r="O37" s="26">
        <v>289.7584097859326</v>
      </c>
      <c r="P37" s="26">
        <v>0</v>
      </c>
      <c r="Q37" s="26">
        <v>0.19571865443425077</v>
      </c>
      <c r="R37" s="26">
        <v>49.620795107033715</v>
      </c>
      <c r="S37" s="26">
        <v>47.003058103975533</v>
      </c>
      <c r="T37" s="26">
        <v>90.660550458715747</v>
      </c>
      <c r="U37" s="26">
        <v>288.85626911314978</v>
      </c>
      <c r="V37" s="26">
        <v>207.4067278287464</v>
      </c>
      <c r="W37" s="27">
        <v>544</v>
      </c>
      <c r="X37" s="24" t="s">
        <v>209</v>
      </c>
      <c r="Y37" s="30" t="s">
        <v>210</v>
      </c>
      <c r="Z37" s="24" t="s">
        <v>211</v>
      </c>
      <c r="AA37" s="28" t="s">
        <v>338</v>
      </c>
      <c r="AB37" s="24" t="s">
        <v>209</v>
      </c>
      <c r="AC37" s="30" t="s">
        <v>210</v>
      </c>
      <c r="AD37" s="30" t="s">
        <v>211</v>
      </c>
      <c r="AE37" s="36">
        <v>42817</v>
      </c>
    </row>
    <row r="38" spans="1:31" ht="15.75" x14ac:dyDescent="0.25">
      <c r="A38" s="23" t="s">
        <v>305</v>
      </c>
      <c r="B38" s="24" t="s">
        <v>306</v>
      </c>
      <c r="C38" s="24" t="s">
        <v>307</v>
      </c>
      <c r="D38" s="24" t="s">
        <v>234</v>
      </c>
      <c r="E38" s="29">
        <v>70515</v>
      </c>
      <c r="F38" s="24" t="s">
        <v>235</v>
      </c>
      <c r="G38" s="24" t="s">
        <v>207</v>
      </c>
      <c r="H38" s="24" t="s">
        <v>208</v>
      </c>
      <c r="I38" s="25">
        <v>97.498945147679294</v>
      </c>
      <c r="J38" s="26">
        <v>404.28440366972404</v>
      </c>
      <c r="K38" s="26">
        <v>30.596330275229381</v>
      </c>
      <c r="L38" s="26">
        <v>9.9327217125382266</v>
      </c>
      <c r="M38" s="26">
        <v>3.4709480122324154</v>
      </c>
      <c r="N38" s="26">
        <v>3.0581039755351681E-2</v>
      </c>
      <c r="O38" s="26">
        <v>0.56269113149847094</v>
      </c>
      <c r="P38" s="26">
        <v>47.458715596330279</v>
      </c>
      <c r="Q38" s="26">
        <v>400.23241590214008</v>
      </c>
      <c r="R38" s="26">
        <v>9.3547400611620759</v>
      </c>
      <c r="S38" s="26">
        <v>7.4373088685015283</v>
      </c>
      <c r="T38" s="26">
        <v>31.93272171253825</v>
      </c>
      <c r="U38" s="26">
        <v>399.5596330275223</v>
      </c>
      <c r="V38" s="26">
        <v>190.27217125382259</v>
      </c>
      <c r="W38" s="27">
        <v>700</v>
      </c>
      <c r="X38" s="24" t="s">
        <v>209</v>
      </c>
      <c r="Y38" s="30" t="s">
        <v>210</v>
      </c>
      <c r="Z38" s="24" t="s">
        <v>211</v>
      </c>
      <c r="AA38" s="28" t="s">
        <v>286</v>
      </c>
      <c r="AB38" s="24" t="s">
        <v>209</v>
      </c>
      <c r="AC38" s="30" t="s">
        <v>293</v>
      </c>
      <c r="AD38" s="30" t="s">
        <v>211</v>
      </c>
      <c r="AE38" s="36">
        <v>42047</v>
      </c>
    </row>
    <row r="39" spans="1:31" ht="15.75" x14ac:dyDescent="0.25">
      <c r="A39" s="23" t="s">
        <v>12</v>
      </c>
      <c r="B39" s="24" t="s">
        <v>342</v>
      </c>
      <c r="C39" s="24" t="s">
        <v>343</v>
      </c>
      <c r="D39" s="24" t="s">
        <v>234</v>
      </c>
      <c r="E39" s="29">
        <v>71430</v>
      </c>
      <c r="F39" s="24" t="s">
        <v>235</v>
      </c>
      <c r="G39" s="24" t="s">
        <v>236</v>
      </c>
      <c r="H39" s="24" t="s">
        <v>5</v>
      </c>
      <c r="I39" s="25">
        <v>27.423967986520601</v>
      </c>
      <c r="J39" s="26">
        <v>266.30886850152876</v>
      </c>
      <c r="K39" s="26">
        <v>83.694189602446272</v>
      </c>
      <c r="L39" s="26">
        <v>56.681957186544579</v>
      </c>
      <c r="M39" s="26">
        <v>16.954128440366961</v>
      </c>
      <c r="N39" s="26">
        <v>149.46788990825684</v>
      </c>
      <c r="O39" s="26">
        <v>274.17125382262924</v>
      </c>
      <c r="P39" s="26">
        <v>0</v>
      </c>
      <c r="Q39" s="26">
        <v>0</v>
      </c>
      <c r="R39" s="26">
        <v>29.440366972477076</v>
      </c>
      <c r="S39" s="26">
        <v>33.954128440367001</v>
      </c>
      <c r="T39" s="26">
        <v>85.507645259938428</v>
      </c>
      <c r="U39" s="26">
        <v>274.73700305810331</v>
      </c>
      <c r="V39" s="26">
        <v>412.78899082568722</v>
      </c>
      <c r="W39" s="27">
        <v>625</v>
      </c>
      <c r="X39" s="24" t="s">
        <v>209</v>
      </c>
      <c r="Y39" s="30" t="s">
        <v>210</v>
      </c>
      <c r="Z39" s="24" t="s">
        <v>211</v>
      </c>
      <c r="AA39" s="28" t="s">
        <v>344</v>
      </c>
      <c r="AB39" s="24" t="s">
        <v>209</v>
      </c>
      <c r="AC39" s="30" t="s">
        <v>345</v>
      </c>
      <c r="AD39" s="30" t="s">
        <v>346</v>
      </c>
      <c r="AE39" s="36">
        <v>39190</v>
      </c>
    </row>
    <row r="40" spans="1:31" ht="15.75" x14ac:dyDescent="0.25">
      <c r="A40" s="23" t="s">
        <v>347</v>
      </c>
      <c r="B40" s="24" t="s">
        <v>348</v>
      </c>
      <c r="C40" s="24" t="s">
        <v>349</v>
      </c>
      <c r="D40" s="24" t="s">
        <v>350</v>
      </c>
      <c r="E40" s="29">
        <v>17402</v>
      </c>
      <c r="F40" s="24" t="s">
        <v>351</v>
      </c>
      <c r="G40" s="24" t="s">
        <v>236</v>
      </c>
      <c r="H40" s="24" t="s">
        <v>208</v>
      </c>
      <c r="I40" s="25">
        <v>56.478935698447899</v>
      </c>
      <c r="J40" s="26">
        <v>100.5351681957188</v>
      </c>
      <c r="K40" s="26">
        <v>107.58103975535168</v>
      </c>
      <c r="L40" s="26">
        <v>107.03058103975526</v>
      </c>
      <c r="M40" s="26">
        <v>92.097859327217193</v>
      </c>
      <c r="N40" s="26">
        <v>277.15902140672807</v>
      </c>
      <c r="O40" s="26">
        <v>103.26605504587168</v>
      </c>
      <c r="P40" s="26">
        <v>13.56269113149847</v>
      </c>
      <c r="Q40" s="26">
        <v>13.256880733944953</v>
      </c>
      <c r="R40" s="26">
        <v>153.28746177370007</v>
      </c>
      <c r="S40" s="26">
        <v>68.461773700305869</v>
      </c>
      <c r="T40" s="26">
        <v>66.74006116207957</v>
      </c>
      <c r="U40" s="26">
        <v>118.75535168195729</v>
      </c>
      <c r="V40" s="26">
        <v>302.05504587156042</v>
      </c>
      <c r="W40" s="27"/>
      <c r="X40" s="24" t="s">
        <v>209</v>
      </c>
      <c r="Y40" s="30" t="s">
        <v>293</v>
      </c>
      <c r="Z40" s="24" t="s">
        <v>211</v>
      </c>
      <c r="AA40" s="28" t="s">
        <v>352</v>
      </c>
      <c r="AB40" s="24" t="s">
        <v>209</v>
      </c>
      <c r="AC40" s="30" t="s">
        <v>293</v>
      </c>
      <c r="AD40" s="30" t="s">
        <v>211</v>
      </c>
      <c r="AE40" s="36">
        <v>43391</v>
      </c>
    </row>
    <row r="41" spans="1:31" ht="15.75" x14ac:dyDescent="0.25">
      <c r="A41" s="23" t="s">
        <v>20</v>
      </c>
      <c r="B41" s="24" t="s">
        <v>366</v>
      </c>
      <c r="C41" s="24" t="s">
        <v>367</v>
      </c>
      <c r="D41" s="24" t="s">
        <v>329</v>
      </c>
      <c r="E41" s="29">
        <v>33471</v>
      </c>
      <c r="F41" s="24" t="s">
        <v>36</v>
      </c>
      <c r="G41" s="24" t="s">
        <v>236</v>
      </c>
      <c r="H41" s="24" t="s">
        <v>208</v>
      </c>
      <c r="I41" s="25">
        <v>61.648571428571401</v>
      </c>
      <c r="J41" s="26">
        <v>1.3333333333333333</v>
      </c>
      <c r="K41" s="26">
        <v>31.53516819571864</v>
      </c>
      <c r="L41" s="26">
        <v>180.19877675840962</v>
      </c>
      <c r="M41" s="26">
        <v>173.86238532110079</v>
      </c>
      <c r="N41" s="26">
        <v>263.40672782874589</v>
      </c>
      <c r="O41" s="26">
        <v>66.339449541284495</v>
      </c>
      <c r="P41" s="26">
        <v>35.174311926605519</v>
      </c>
      <c r="Q41" s="26">
        <v>22.009174311926614</v>
      </c>
      <c r="R41" s="26">
        <v>170.3608562691131</v>
      </c>
      <c r="S41" s="26">
        <v>73.737003058104008</v>
      </c>
      <c r="T41" s="26">
        <v>54.767584097859341</v>
      </c>
      <c r="U41" s="26">
        <v>88.064220183486356</v>
      </c>
      <c r="V41" s="26">
        <v>257.66360856269091</v>
      </c>
      <c r="W41" s="27"/>
      <c r="X41" s="24" t="s">
        <v>209</v>
      </c>
      <c r="Y41" s="30" t="s">
        <v>345</v>
      </c>
      <c r="Z41" s="24" t="s">
        <v>213</v>
      </c>
      <c r="AA41" s="28" t="s">
        <v>925</v>
      </c>
      <c r="AB41" s="24" t="s">
        <v>209</v>
      </c>
      <c r="AC41" s="30" t="s">
        <v>345</v>
      </c>
      <c r="AD41" s="30" t="s">
        <v>368</v>
      </c>
      <c r="AE41" s="36">
        <v>43538</v>
      </c>
    </row>
    <row r="42" spans="1:31" ht="15.75" x14ac:dyDescent="0.25">
      <c r="A42" s="23" t="s">
        <v>360</v>
      </c>
      <c r="B42" s="24" t="s">
        <v>361</v>
      </c>
      <c r="C42" s="24" t="s">
        <v>362</v>
      </c>
      <c r="D42" s="24" t="s">
        <v>363</v>
      </c>
      <c r="E42" s="29">
        <v>14020</v>
      </c>
      <c r="F42" s="24" t="s">
        <v>364</v>
      </c>
      <c r="G42" s="24" t="s">
        <v>268</v>
      </c>
      <c r="H42" s="24" t="s">
        <v>208</v>
      </c>
      <c r="I42" s="25">
        <v>97.045331529093403</v>
      </c>
      <c r="J42" s="26">
        <v>114.52293577981656</v>
      </c>
      <c r="K42" s="26">
        <v>65.363914373088818</v>
      </c>
      <c r="L42" s="26">
        <v>86.342507645259943</v>
      </c>
      <c r="M42" s="26">
        <v>109.95107033639131</v>
      </c>
      <c r="N42" s="26">
        <v>243.65137614678869</v>
      </c>
      <c r="O42" s="26">
        <v>94.266055045871582</v>
      </c>
      <c r="P42" s="26">
        <v>15.477064220183486</v>
      </c>
      <c r="Q42" s="26">
        <v>22.785932721712538</v>
      </c>
      <c r="R42" s="26">
        <v>173.69418960244647</v>
      </c>
      <c r="S42" s="26">
        <v>36.284403669724803</v>
      </c>
      <c r="T42" s="26">
        <v>50.437308868501596</v>
      </c>
      <c r="U42" s="26">
        <v>115.76452599388378</v>
      </c>
      <c r="V42" s="26">
        <v>294.07645259938835</v>
      </c>
      <c r="W42" s="27">
        <v>400</v>
      </c>
      <c r="X42" s="24" t="s">
        <v>209</v>
      </c>
      <c r="Y42" s="30" t="s">
        <v>210</v>
      </c>
      <c r="Z42" s="24" t="s">
        <v>211</v>
      </c>
      <c r="AA42" s="28" t="s">
        <v>365</v>
      </c>
      <c r="AB42" s="24" t="s">
        <v>209</v>
      </c>
      <c r="AC42" s="30" t="s">
        <v>210</v>
      </c>
      <c r="AD42" s="30" t="s">
        <v>211</v>
      </c>
      <c r="AE42" s="36">
        <v>43181</v>
      </c>
    </row>
    <row r="43" spans="1:31" ht="15.75" x14ac:dyDescent="0.25">
      <c r="A43" s="23" t="s">
        <v>8</v>
      </c>
      <c r="B43" s="24" t="s">
        <v>358</v>
      </c>
      <c r="C43" s="24" t="s">
        <v>359</v>
      </c>
      <c r="D43" s="24" t="s">
        <v>234</v>
      </c>
      <c r="E43" s="29">
        <v>71465</v>
      </c>
      <c r="F43" s="24" t="s">
        <v>235</v>
      </c>
      <c r="G43" s="24" t="s">
        <v>236</v>
      </c>
      <c r="H43" s="24" t="s">
        <v>208</v>
      </c>
      <c r="I43" s="25">
        <v>18.423825256975</v>
      </c>
      <c r="J43" s="26">
        <v>247.42507645259994</v>
      </c>
      <c r="K43" s="26">
        <v>44.599388379205116</v>
      </c>
      <c r="L43" s="26">
        <v>40.373088685015503</v>
      </c>
      <c r="M43" s="26">
        <v>21.474006116207974</v>
      </c>
      <c r="N43" s="26">
        <v>104.14984709480191</v>
      </c>
      <c r="O43" s="26">
        <v>249.72171253822629</v>
      </c>
      <c r="P43" s="26">
        <v>0</v>
      </c>
      <c r="Q43" s="26">
        <v>0</v>
      </c>
      <c r="R43" s="26">
        <v>42.113149847095066</v>
      </c>
      <c r="S43" s="26">
        <v>22.24770642201835</v>
      </c>
      <c r="T43" s="26">
        <v>39.700305810397673</v>
      </c>
      <c r="U43" s="26">
        <v>249.81039755351682</v>
      </c>
      <c r="V43" s="26">
        <v>344.92660550458913</v>
      </c>
      <c r="W43" s="27">
        <v>550</v>
      </c>
      <c r="X43" s="24" t="s">
        <v>209</v>
      </c>
      <c r="Y43" s="30" t="s">
        <v>210</v>
      </c>
      <c r="Z43" s="24" t="s">
        <v>211</v>
      </c>
      <c r="AA43" s="28" t="s">
        <v>357</v>
      </c>
      <c r="AB43" s="24" t="s">
        <v>238</v>
      </c>
      <c r="AC43" s="30"/>
      <c r="AD43" s="30"/>
      <c r="AE43" s="36"/>
    </row>
    <row r="44" spans="1:31" ht="15.75" x14ac:dyDescent="0.25">
      <c r="A44" s="23" t="s">
        <v>17</v>
      </c>
      <c r="B44" s="24" t="s">
        <v>369</v>
      </c>
      <c r="C44" s="24" t="s">
        <v>370</v>
      </c>
      <c r="D44" s="24" t="s">
        <v>222</v>
      </c>
      <c r="E44" s="29">
        <v>78046</v>
      </c>
      <c r="F44" s="24" t="s">
        <v>223</v>
      </c>
      <c r="G44" s="24" t="s">
        <v>257</v>
      </c>
      <c r="H44" s="24" t="s">
        <v>5</v>
      </c>
      <c r="I44" s="25">
        <v>29.991064175467098</v>
      </c>
      <c r="J44" s="26">
        <v>270.76452599388301</v>
      </c>
      <c r="K44" s="26">
        <v>21.394495412844055</v>
      </c>
      <c r="L44" s="26">
        <v>9.9755351681957194</v>
      </c>
      <c r="M44" s="26">
        <v>10.868501529051985</v>
      </c>
      <c r="N44" s="26">
        <v>61.091743119266063</v>
      </c>
      <c r="O44" s="26">
        <v>251.85932721712527</v>
      </c>
      <c r="P44" s="26">
        <v>0</v>
      </c>
      <c r="Q44" s="26">
        <v>5.1987767584097858E-2</v>
      </c>
      <c r="R44" s="26">
        <v>9.3119266055045866</v>
      </c>
      <c r="S44" s="26">
        <v>9.1192660550458697</v>
      </c>
      <c r="T44" s="26">
        <v>42.896024464831847</v>
      </c>
      <c r="U44" s="26">
        <v>251.67584097859319</v>
      </c>
      <c r="V44" s="26">
        <v>233.05810397553503</v>
      </c>
      <c r="W44" s="27">
        <v>275</v>
      </c>
      <c r="X44" s="24" t="s">
        <v>209</v>
      </c>
      <c r="Y44" s="30" t="s">
        <v>293</v>
      </c>
      <c r="Z44" s="24" t="s">
        <v>211</v>
      </c>
      <c r="AA44" s="28" t="s">
        <v>926</v>
      </c>
      <c r="AB44" s="24" t="s">
        <v>209</v>
      </c>
      <c r="AC44" s="30" t="s">
        <v>293</v>
      </c>
      <c r="AD44" s="30" t="s">
        <v>211</v>
      </c>
      <c r="AE44" s="36">
        <v>43538</v>
      </c>
    </row>
    <row r="45" spans="1:31" ht="15.75" x14ac:dyDescent="0.25">
      <c r="A45" s="23" t="s">
        <v>21</v>
      </c>
      <c r="B45" s="24" t="s">
        <v>353</v>
      </c>
      <c r="C45" s="24" t="s">
        <v>42</v>
      </c>
      <c r="D45" s="24" t="s">
        <v>222</v>
      </c>
      <c r="E45" s="29">
        <v>76574</v>
      </c>
      <c r="F45" s="24" t="s">
        <v>223</v>
      </c>
      <c r="G45" s="24" t="s">
        <v>228</v>
      </c>
      <c r="H45" s="24" t="s">
        <v>11</v>
      </c>
      <c r="I45" s="25">
        <v>90.342465753424705</v>
      </c>
      <c r="J45" s="26">
        <v>301.04587155963259</v>
      </c>
      <c r="K45" s="26">
        <v>2.073394495412844</v>
      </c>
      <c r="L45" s="26">
        <v>0</v>
      </c>
      <c r="M45" s="26">
        <v>0</v>
      </c>
      <c r="N45" s="26">
        <v>0</v>
      </c>
      <c r="O45" s="26">
        <v>0.53516819571865448</v>
      </c>
      <c r="P45" s="26">
        <v>11.082568807339447</v>
      </c>
      <c r="Q45" s="26">
        <v>291.5015290519874</v>
      </c>
      <c r="R45" s="26">
        <v>0</v>
      </c>
      <c r="S45" s="26">
        <v>0.25076452599388377</v>
      </c>
      <c r="T45" s="26">
        <v>10.831804281345562</v>
      </c>
      <c r="U45" s="26">
        <v>292.03669724770606</v>
      </c>
      <c r="V45" s="26">
        <v>169.42813455657455</v>
      </c>
      <c r="W45" s="27"/>
      <c r="X45" s="24" t="s">
        <v>209</v>
      </c>
      <c r="Y45" s="30" t="s">
        <v>229</v>
      </c>
      <c r="Z45" s="24" t="s">
        <v>213</v>
      </c>
      <c r="AA45" s="28" t="s">
        <v>354</v>
      </c>
      <c r="AB45" s="24" t="s">
        <v>238</v>
      </c>
      <c r="AC45" s="30"/>
      <c r="AD45" s="30"/>
      <c r="AE45" s="36"/>
    </row>
    <row r="46" spans="1:31" ht="15.75" x14ac:dyDescent="0.25">
      <c r="A46" s="23" t="s">
        <v>375</v>
      </c>
      <c r="B46" s="24" t="s">
        <v>376</v>
      </c>
      <c r="C46" s="24" t="s">
        <v>377</v>
      </c>
      <c r="D46" s="24" t="s">
        <v>222</v>
      </c>
      <c r="E46" s="29">
        <v>77351</v>
      </c>
      <c r="F46" s="24" t="s">
        <v>278</v>
      </c>
      <c r="G46" s="24" t="s">
        <v>236</v>
      </c>
      <c r="H46" s="24" t="s">
        <v>5</v>
      </c>
      <c r="I46" s="25">
        <v>67.846933333333297</v>
      </c>
      <c r="J46" s="26">
        <v>235.14678899082548</v>
      </c>
      <c r="K46" s="26">
        <v>29.868501529052004</v>
      </c>
      <c r="L46" s="26">
        <v>16.168195718654435</v>
      </c>
      <c r="M46" s="26">
        <v>16.13149847094801</v>
      </c>
      <c r="N46" s="26">
        <v>55.590214067278268</v>
      </c>
      <c r="O46" s="26">
        <v>241.50458715596292</v>
      </c>
      <c r="P46" s="26">
        <v>2.7522935779816515E-2</v>
      </c>
      <c r="Q46" s="26">
        <v>0.19266055045871561</v>
      </c>
      <c r="R46" s="26">
        <v>17.48929663608563</v>
      </c>
      <c r="S46" s="26">
        <v>11.740061162079513</v>
      </c>
      <c r="T46" s="26">
        <v>27.660550458715623</v>
      </c>
      <c r="U46" s="26">
        <v>240.425076452599</v>
      </c>
      <c r="V46" s="26">
        <v>155.0000000000008</v>
      </c>
      <c r="W46" s="27"/>
      <c r="X46" s="24" t="s">
        <v>209</v>
      </c>
      <c r="Y46" s="30" t="s">
        <v>345</v>
      </c>
      <c r="Z46" s="24" t="s">
        <v>346</v>
      </c>
      <c r="AA46" s="28" t="s">
        <v>230</v>
      </c>
      <c r="AB46" s="24" t="s">
        <v>209</v>
      </c>
      <c r="AC46" s="30" t="s">
        <v>345</v>
      </c>
      <c r="AD46" s="30" t="s">
        <v>368</v>
      </c>
      <c r="AE46" s="36">
        <v>43475</v>
      </c>
    </row>
    <row r="47" spans="1:31" ht="15.75" x14ac:dyDescent="0.25">
      <c r="A47" s="23" t="s">
        <v>371</v>
      </c>
      <c r="B47" s="24" t="s">
        <v>372</v>
      </c>
      <c r="C47" s="24" t="s">
        <v>373</v>
      </c>
      <c r="D47" s="24" t="s">
        <v>234</v>
      </c>
      <c r="E47" s="29">
        <v>71334</v>
      </c>
      <c r="F47" s="24" t="s">
        <v>235</v>
      </c>
      <c r="G47" s="24" t="s">
        <v>207</v>
      </c>
      <c r="H47" s="24" t="s">
        <v>5</v>
      </c>
      <c r="I47" s="25">
        <v>101.743232791957</v>
      </c>
      <c r="J47" s="26">
        <v>253.32110091743073</v>
      </c>
      <c r="K47" s="26">
        <v>27.828746177370029</v>
      </c>
      <c r="L47" s="26">
        <v>7.9510703363914343</v>
      </c>
      <c r="M47" s="26">
        <v>5.896024464831803</v>
      </c>
      <c r="N47" s="26">
        <v>40.69418960244645</v>
      </c>
      <c r="O47" s="26">
        <v>254.29357798165103</v>
      </c>
      <c r="P47" s="26">
        <v>0</v>
      </c>
      <c r="Q47" s="26">
        <v>9.1743119266055051E-3</v>
      </c>
      <c r="R47" s="26">
        <v>7.2140672782874598</v>
      </c>
      <c r="S47" s="26">
        <v>8.2293577981651342</v>
      </c>
      <c r="T47" s="26">
        <v>25.740061162079517</v>
      </c>
      <c r="U47" s="26">
        <v>253.81345565749203</v>
      </c>
      <c r="V47" s="26">
        <v>218.3577981651373</v>
      </c>
      <c r="W47" s="27"/>
      <c r="X47" s="24" t="s">
        <v>209</v>
      </c>
      <c r="Y47" s="30" t="s">
        <v>345</v>
      </c>
      <c r="Z47" s="24" t="s">
        <v>368</v>
      </c>
      <c r="AA47" s="28" t="s">
        <v>926</v>
      </c>
      <c r="AB47" s="24" t="s">
        <v>209</v>
      </c>
      <c r="AC47" s="30" t="s">
        <v>345</v>
      </c>
      <c r="AD47" s="30" t="s">
        <v>368</v>
      </c>
      <c r="AE47" s="36">
        <v>43762</v>
      </c>
    </row>
    <row r="48" spans="1:31" ht="15.75" x14ac:dyDescent="0.25">
      <c r="A48" s="23" t="s">
        <v>380</v>
      </c>
      <c r="B48" s="24" t="s">
        <v>381</v>
      </c>
      <c r="C48" s="24" t="s">
        <v>382</v>
      </c>
      <c r="D48" s="24" t="s">
        <v>240</v>
      </c>
      <c r="E48" s="29">
        <v>85132</v>
      </c>
      <c r="F48" s="24" t="s">
        <v>241</v>
      </c>
      <c r="G48" s="24" t="s">
        <v>268</v>
      </c>
      <c r="H48" s="24" t="s">
        <v>5</v>
      </c>
      <c r="I48" s="25">
        <v>12.7794700346706</v>
      </c>
      <c r="J48" s="26">
        <v>200.03363914373665</v>
      </c>
      <c r="K48" s="26">
        <v>71.547400611620787</v>
      </c>
      <c r="L48" s="26">
        <v>5.0611620795106642</v>
      </c>
      <c r="M48" s="26">
        <v>3.8012232415901948</v>
      </c>
      <c r="N48" s="26">
        <v>94.073394495411932</v>
      </c>
      <c r="O48" s="26">
        <v>186.28134556575171</v>
      </c>
      <c r="P48" s="26">
        <v>3.3639143730886854E-2</v>
      </c>
      <c r="Q48" s="26">
        <v>5.5045871559633017E-2</v>
      </c>
      <c r="R48" s="26">
        <v>8.801223241590181</v>
      </c>
      <c r="S48" s="26">
        <v>11.746177370030548</v>
      </c>
      <c r="T48" s="26">
        <v>73.446483180428203</v>
      </c>
      <c r="U48" s="26">
        <v>186.44954128440619</v>
      </c>
      <c r="V48" s="26">
        <v>203.36085626911958</v>
      </c>
      <c r="W48" s="27">
        <v>374</v>
      </c>
      <c r="X48" s="24" t="s">
        <v>209</v>
      </c>
      <c r="Y48" s="30" t="s">
        <v>210</v>
      </c>
      <c r="Z48" s="24" t="s">
        <v>211</v>
      </c>
      <c r="AA48" s="28" t="s">
        <v>383</v>
      </c>
      <c r="AB48" s="24" t="s">
        <v>209</v>
      </c>
      <c r="AC48" s="30" t="s">
        <v>210</v>
      </c>
      <c r="AD48" s="30" t="s">
        <v>211</v>
      </c>
      <c r="AE48" s="36">
        <v>43202</v>
      </c>
    </row>
    <row r="49" spans="1:31" ht="15.75" x14ac:dyDescent="0.25">
      <c r="A49" s="23" t="s">
        <v>378</v>
      </c>
      <c r="B49" s="24" t="s">
        <v>379</v>
      </c>
      <c r="C49" s="24" t="s">
        <v>45</v>
      </c>
      <c r="D49" s="24" t="s">
        <v>222</v>
      </c>
      <c r="E49" s="29">
        <v>76837</v>
      </c>
      <c r="F49" s="24" t="s">
        <v>314</v>
      </c>
      <c r="G49" s="24" t="s">
        <v>292</v>
      </c>
      <c r="H49" s="24" t="s">
        <v>5</v>
      </c>
      <c r="I49" s="25">
        <v>72.339355852317397</v>
      </c>
      <c r="J49" s="26">
        <v>205.48929663608544</v>
      </c>
      <c r="K49" s="26">
        <v>43.232415902140687</v>
      </c>
      <c r="L49" s="26">
        <v>18.899082568807348</v>
      </c>
      <c r="M49" s="26">
        <v>10.660550458715594</v>
      </c>
      <c r="N49" s="26">
        <v>84.308868501529091</v>
      </c>
      <c r="O49" s="26">
        <v>193.90519877675817</v>
      </c>
      <c r="P49" s="26">
        <v>0</v>
      </c>
      <c r="Q49" s="26">
        <v>6.7278287461773695E-2</v>
      </c>
      <c r="R49" s="26">
        <v>29.351681957186575</v>
      </c>
      <c r="S49" s="26">
        <v>19.654434250764513</v>
      </c>
      <c r="T49" s="26">
        <v>35.22018348623854</v>
      </c>
      <c r="U49" s="26">
        <v>194.0550458715594</v>
      </c>
      <c r="V49" s="26">
        <v>136.84097859327196</v>
      </c>
      <c r="W49" s="27"/>
      <c r="X49" s="24" t="s">
        <v>209</v>
      </c>
      <c r="Y49" s="30" t="s">
        <v>345</v>
      </c>
      <c r="Z49" s="24" t="s">
        <v>368</v>
      </c>
      <c r="AA49" s="28" t="s">
        <v>279</v>
      </c>
      <c r="AB49" s="24" t="s">
        <v>238</v>
      </c>
      <c r="AC49" s="30"/>
      <c r="AD49" s="30"/>
      <c r="AE49" s="36"/>
    </row>
    <row r="50" spans="1:31" ht="15.75" x14ac:dyDescent="0.25">
      <c r="A50" s="23" t="s">
        <v>57</v>
      </c>
      <c r="B50" s="24" t="s">
        <v>384</v>
      </c>
      <c r="C50" s="24" t="s">
        <v>385</v>
      </c>
      <c r="D50" s="24" t="s">
        <v>205</v>
      </c>
      <c r="E50" s="29">
        <v>93301</v>
      </c>
      <c r="F50" s="24" t="s">
        <v>386</v>
      </c>
      <c r="G50" s="24" t="s">
        <v>224</v>
      </c>
      <c r="H50" s="24" t="s">
        <v>208</v>
      </c>
      <c r="I50" s="25">
        <v>39.125042358522499</v>
      </c>
      <c r="J50" s="26">
        <v>51.180428134556614</v>
      </c>
      <c r="K50" s="26">
        <v>86.590214067278112</v>
      </c>
      <c r="L50" s="26">
        <v>55.764525993883822</v>
      </c>
      <c r="M50" s="26">
        <v>74.425076452599498</v>
      </c>
      <c r="N50" s="26">
        <v>200.75535168195856</v>
      </c>
      <c r="O50" s="26">
        <v>19.318042813455659</v>
      </c>
      <c r="P50" s="26">
        <v>9.3455657492354707</v>
      </c>
      <c r="Q50" s="26">
        <v>38.541284403669728</v>
      </c>
      <c r="R50" s="26">
        <v>153.81039755351713</v>
      </c>
      <c r="S50" s="26">
        <v>34.56574923547403</v>
      </c>
      <c r="T50" s="26">
        <v>20.519877675840988</v>
      </c>
      <c r="U50" s="26">
        <v>59.06422018348632</v>
      </c>
      <c r="V50" s="26">
        <v>198.33027522935896</v>
      </c>
      <c r="W50" s="27">
        <v>320</v>
      </c>
      <c r="X50" s="24" t="s">
        <v>209</v>
      </c>
      <c r="Y50" s="30" t="s">
        <v>210</v>
      </c>
      <c r="Z50" s="24" t="s">
        <v>211</v>
      </c>
      <c r="AA50" s="28" t="s">
        <v>242</v>
      </c>
      <c r="AB50" s="24" t="s">
        <v>209</v>
      </c>
      <c r="AC50" s="30" t="s">
        <v>210</v>
      </c>
      <c r="AD50" s="30" t="s">
        <v>211</v>
      </c>
      <c r="AE50" s="36">
        <v>43279</v>
      </c>
    </row>
    <row r="51" spans="1:31" ht="15.75" x14ac:dyDescent="0.25">
      <c r="A51" s="23" t="s">
        <v>387</v>
      </c>
      <c r="B51" s="24" t="s">
        <v>388</v>
      </c>
      <c r="C51" s="24" t="s">
        <v>389</v>
      </c>
      <c r="D51" s="24" t="s">
        <v>222</v>
      </c>
      <c r="E51" s="29">
        <v>76642</v>
      </c>
      <c r="F51" s="24" t="s">
        <v>223</v>
      </c>
      <c r="G51" s="24" t="s">
        <v>292</v>
      </c>
      <c r="H51" s="24" t="s">
        <v>5</v>
      </c>
      <c r="I51" s="25">
        <v>101.76976976976999</v>
      </c>
      <c r="J51" s="26">
        <v>237.55657492354749</v>
      </c>
      <c r="K51" s="26">
        <v>20.446483180428139</v>
      </c>
      <c r="L51" s="26">
        <v>1.9969418960244645</v>
      </c>
      <c r="M51" s="26">
        <v>1.5779816513761469</v>
      </c>
      <c r="N51" s="26">
        <v>36.324159021406757</v>
      </c>
      <c r="O51" s="26">
        <v>225.20795107033658</v>
      </c>
      <c r="P51" s="26">
        <v>9.1743119266055051E-3</v>
      </c>
      <c r="Q51" s="26">
        <v>3.6697247706422013E-2</v>
      </c>
      <c r="R51" s="26">
        <v>2.9999999999999987</v>
      </c>
      <c r="S51" s="26">
        <v>1.6788990825688059</v>
      </c>
      <c r="T51" s="26">
        <v>31.84097859327219</v>
      </c>
      <c r="U51" s="26">
        <v>225.05810397553535</v>
      </c>
      <c r="V51" s="26">
        <v>144.94189602446494</v>
      </c>
      <c r="W51" s="27"/>
      <c r="X51" s="24" t="s">
        <v>209</v>
      </c>
      <c r="Y51" s="30" t="s">
        <v>345</v>
      </c>
      <c r="Z51" s="24" t="s">
        <v>368</v>
      </c>
      <c r="AA51" s="28" t="s">
        <v>289</v>
      </c>
      <c r="AB51" s="24" t="s">
        <v>209</v>
      </c>
      <c r="AC51" s="30" t="s">
        <v>345</v>
      </c>
      <c r="AD51" s="30" t="s">
        <v>390</v>
      </c>
      <c r="AE51" s="36">
        <v>41389</v>
      </c>
    </row>
    <row r="52" spans="1:31" ht="15.75" x14ac:dyDescent="0.25">
      <c r="A52" s="23" t="s">
        <v>475</v>
      </c>
      <c r="B52" s="24" t="s">
        <v>476</v>
      </c>
      <c r="C52" s="24" t="s">
        <v>477</v>
      </c>
      <c r="D52" s="24" t="s">
        <v>222</v>
      </c>
      <c r="E52" s="29">
        <v>79501</v>
      </c>
      <c r="F52" s="24" t="s">
        <v>314</v>
      </c>
      <c r="G52" s="24" t="s">
        <v>236</v>
      </c>
      <c r="H52" s="24" t="s">
        <v>5</v>
      </c>
      <c r="I52" s="25">
        <v>34.559322033898297</v>
      </c>
      <c r="J52" s="26">
        <v>85.847094801223065</v>
      </c>
      <c r="K52" s="26">
        <v>79.571865443425096</v>
      </c>
      <c r="L52" s="26">
        <v>49.461773700305869</v>
      </c>
      <c r="M52" s="26">
        <v>38.308868501529041</v>
      </c>
      <c r="N52" s="26">
        <v>166.8073394495415</v>
      </c>
      <c r="O52" s="26">
        <v>60.737003058104023</v>
      </c>
      <c r="P52" s="26">
        <v>4.3180428134556577</v>
      </c>
      <c r="Q52" s="26">
        <v>21.32721712538228</v>
      </c>
      <c r="R52" s="26">
        <v>87.758409785932699</v>
      </c>
      <c r="S52" s="26">
        <v>45.495412844036721</v>
      </c>
      <c r="T52" s="26">
        <v>36.90519877675839</v>
      </c>
      <c r="U52" s="26">
        <v>83.030581039755205</v>
      </c>
      <c r="V52" s="26">
        <v>149.59327217125383</v>
      </c>
      <c r="W52" s="27">
        <v>750</v>
      </c>
      <c r="X52" s="24" t="s">
        <v>209</v>
      </c>
      <c r="Y52" s="30" t="s">
        <v>210</v>
      </c>
      <c r="Z52" s="24" t="s">
        <v>390</v>
      </c>
      <c r="AA52" s="28" t="s">
        <v>279</v>
      </c>
      <c r="AB52" s="24" t="s">
        <v>238</v>
      </c>
      <c r="AC52" s="30"/>
      <c r="AD52" s="30"/>
      <c r="AE52" s="36"/>
    </row>
    <row r="53" spans="1:31" ht="15.75" x14ac:dyDescent="0.25">
      <c r="A53" s="23" t="s">
        <v>412</v>
      </c>
      <c r="B53" s="24" t="s">
        <v>413</v>
      </c>
      <c r="C53" s="24" t="s">
        <v>414</v>
      </c>
      <c r="D53" s="24" t="s">
        <v>329</v>
      </c>
      <c r="E53" s="29">
        <v>32063</v>
      </c>
      <c r="F53" s="24" t="s">
        <v>36</v>
      </c>
      <c r="G53" s="24" t="s">
        <v>236</v>
      </c>
      <c r="H53" s="24" t="s">
        <v>208</v>
      </c>
      <c r="I53" s="25">
        <v>38.104477611940297</v>
      </c>
      <c r="J53" s="26">
        <v>36.232415902140708</v>
      </c>
      <c r="K53" s="26">
        <v>66.406727828746227</v>
      </c>
      <c r="L53" s="26">
        <v>82.639143730886801</v>
      </c>
      <c r="M53" s="26">
        <v>52.91131498470952</v>
      </c>
      <c r="N53" s="26">
        <v>148.18042813455659</v>
      </c>
      <c r="O53" s="26">
        <v>74.504587155963293</v>
      </c>
      <c r="P53" s="26">
        <v>12.678899082568805</v>
      </c>
      <c r="Q53" s="26">
        <v>2.8256880733944945</v>
      </c>
      <c r="R53" s="26">
        <v>79.342507645259886</v>
      </c>
      <c r="S53" s="26">
        <v>36.626911314984739</v>
      </c>
      <c r="T53" s="26">
        <v>45.088685015290572</v>
      </c>
      <c r="U53" s="26">
        <v>77.13149847094796</v>
      </c>
      <c r="V53" s="26">
        <v>130.5535168195722</v>
      </c>
      <c r="W53" s="27"/>
      <c r="X53" s="24" t="s">
        <v>209</v>
      </c>
      <c r="Y53" s="30" t="s">
        <v>345</v>
      </c>
      <c r="Z53" s="24" t="s">
        <v>368</v>
      </c>
      <c r="AA53" s="28" t="s">
        <v>415</v>
      </c>
      <c r="AB53" s="24" t="s">
        <v>209</v>
      </c>
      <c r="AC53" s="30" t="s">
        <v>345</v>
      </c>
      <c r="AD53" s="30" t="s">
        <v>368</v>
      </c>
      <c r="AE53" s="36">
        <v>43252</v>
      </c>
    </row>
    <row r="54" spans="1:31" ht="15.75" x14ac:dyDescent="0.25">
      <c r="A54" s="23" t="s">
        <v>391</v>
      </c>
      <c r="B54" s="24" t="s">
        <v>392</v>
      </c>
      <c r="C54" s="24" t="s">
        <v>393</v>
      </c>
      <c r="D54" s="24" t="s">
        <v>35</v>
      </c>
      <c r="E54" s="29">
        <v>2360</v>
      </c>
      <c r="F54" s="24" t="s">
        <v>394</v>
      </c>
      <c r="G54" s="24" t="s">
        <v>236</v>
      </c>
      <c r="H54" s="24" t="s">
        <v>5</v>
      </c>
      <c r="I54" s="25">
        <v>82.212421242124194</v>
      </c>
      <c r="J54" s="26">
        <v>102.48318042813456</v>
      </c>
      <c r="K54" s="26">
        <v>30.755351681957183</v>
      </c>
      <c r="L54" s="26">
        <v>47.217125382263006</v>
      </c>
      <c r="M54" s="26">
        <v>53.26605504587156</v>
      </c>
      <c r="N54" s="26">
        <v>110.70030581039758</v>
      </c>
      <c r="O54" s="26">
        <v>123.00305810397546</v>
      </c>
      <c r="P54" s="26">
        <v>1.834862385321101E-2</v>
      </c>
      <c r="Q54" s="26">
        <v>0</v>
      </c>
      <c r="R54" s="26">
        <v>58.33027522935781</v>
      </c>
      <c r="S54" s="26">
        <v>21.477064220183497</v>
      </c>
      <c r="T54" s="26">
        <v>30.911314984709477</v>
      </c>
      <c r="U54" s="26">
        <v>123.00305810397546</v>
      </c>
      <c r="V54" s="26">
        <v>125.10091743119246</v>
      </c>
      <c r="W54" s="27"/>
      <c r="X54" s="24" t="s">
        <v>209</v>
      </c>
      <c r="Y54" s="30" t="s">
        <v>345</v>
      </c>
      <c r="Z54" s="24" t="s">
        <v>368</v>
      </c>
      <c r="AA54" s="28" t="s">
        <v>294</v>
      </c>
      <c r="AB54" s="24" t="s">
        <v>209</v>
      </c>
      <c r="AC54" s="30" t="s">
        <v>345</v>
      </c>
      <c r="AD54" s="30" t="s">
        <v>368</v>
      </c>
      <c r="AE54" s="36">
        <v>43265</v>
      </c>
    </row>
    <row r="55" spans="1:31" ht="15.75" x14ac:dyDescent="0.25">
      <c r="A55" s="23" t="s">
        <v>408</v>
      </c>
      <c r="B55" s="24" t="s">
        <v>409</v>
      </c>
      <c r="C55" s="24" t="s">
        <v>410</v>
      </c>
      <c r="D55" s="24" t="s">
        <v>324</v>
      </c>
      <c r="E55" s="29">
        <v>22427</v>
      </c>
      <c r="F55" s="24" t="s">
        <v>325</v>
      </c>
      <c r="G55" s="24" t="s">
        <v>207</v>
      </c>
      <c r="H55" s="24" t="s">
        <v>208</v>
      </c>
      <c r="I55" s="25">
        <v>56.358844765343001</v>
      </c>
      <c r="J55" s="26">
        <v>54.318042813455676</v>
      </c>
      <c r="K55" s="26">
        <v>72.730886850152942</v>
      </c>
      <c r="L55" s="26">
        <v>50.541284403669749</v>
      </c>
      <c r="M55" s="26">
        <v>54.3333333333334</v>
      </c>
      <c r="N55" s="26">
        <v>135.17125382262986</v>
      </c>
      <c r="O55" s="26">
        <v>70.05810397553519</v>
      </c>
      <c r="P55" s="26">
        <v>7.088685015290519</v>
      </c>
      <c r="Q55" s="26">
        <v>19.605504587155963</v>
      </c>
      <c r="R55" s="26">
        <v>53.804281345565798</v>
      </c>
      <c r="S55" s="26">
        <v>44.969418960244681</v>
      </c>
      <c r="T55" s="26">
        <v>44.477064220183486</v>
      </c>
      <c r="U55" s="26">
        <v>88.672782874617752</v>
      </c>
      <c r="V55" s="26">
        <v>121.76146788990836</v>
      </c>
      <c r="W55" s="27">
        <v>224</v>
      </c>
      <c r="X55" s="24" t="s">
        <v>209</v>
      </c>
      <c r="Y55" s="30" t="s">
        <v>210</v>
      </c>
      <c r="Z55" s="24" t="s">
        <v>211</v>
      </c>
      <c r="AA55" s="28" t="s">
        <v>411</v>
      </c>
      <c r="AB55" s="24" t="s">
        <v>209</v>
      </c>
      <c r="AC55" s="30" t="s">
        <v>210</v>
      </c>
      <c r="AD55" s="30" t="s">
        <v>390</v>
      </c>
      <c r="AE55" s="36">
        <v>43454</v>
      </c>
    </row>
    <row r="56" spans="1:31" ht="15.75" x14ac:dyDescent="0.25">
      <c r="A56" s="23" t="s">
        <v>23</v>
      </c>
      <c r="B56" s="24" t="s">
        <v>395</v>
      </c>
      <c r="C56" s="24" t="s">
        <v>396</v>
      </c>
      <c r="D56" s="24" t="s">
        <v>397</v>
      </c>
      <c r="E56" s="29">
        <v>55330</v>
      </c>
      <c r="F56" s="24" t="s">
        <v>398</v>
      </c>
      <c r="G56" s="24" t="s">
        <v>236</v>
      </c>
      <c r="H56" s="24" t="s">
        <v>208</v>
      </c>
      <c r="I56" s="25">
        <v>59.047656870532201</v>
      </c>
      <c r="J56" s="26">
        <v>19.825688073394502</v>
      </c>
      <c r="K56" s="26">
        <v>26.795107033639166</v>
      </c>
      <c r="L56" s="26">
        <v>157.5657492354743</v>
      </c>
      <c r="M56" s="26">
        <v>22.336391437308858</v>
      </c>
      <c r="N56" s="26">
        <v>146.31498470948026</v>
      </c>
      <c r="O56" s="26">
        <v>67.905198776758468</v>
      </c>
      <c r="P56" s="26">
        <v>7.8195718654434279</v>
      </c>
      <c r="Q56" s="26">
        <v>4.4831804281345562</v>
      </c>
      <c r="R56" s="26">
        <v>73.409785932721746</v>
      </c>
      <c r="S56" s="26">
        <v>42.342507645259914</v>
      </c>
      <c r="T56" s="26">
        <v>38.027522935779828</v>
      </c>
      <c r="U56" s="26">
        <v>72.743119266055075</v>
      </c>
      <c r="V56" s="26">
        <v>156.95107033639135</v>
      </c>
      <c r="W56" s="27">
        <v>300</v>
      </c>
      <c r="X56" s="24" t="s">
        <v>209</v>
      </c>
      <c r="Y56" s="30" t="s">
        <v>345</v>
      </c>
      <c r="Z56" s="24" t="s">
        <v>368</v>
      </c>
      <c r="AA56" s="28" t="s">
        <v>357</v>
      </c>
      <c r="AB56" s="24" t="s">
        <v>209</v>
      </c>
      <c r="AC56" s="30" t="s">
        <v>345</v>
      </c>
      <c r="AD56" s="30" t="s">
        <v>368</v>
      </c>
      <c r="AE56" s="36">
        <v>43420</v>
      </c>
    </row>
    <row r="57" spans="1:31" ht="15.75" x14ac:dyDescent="0.25">
      <c r="A57" s="23" t="s">
        <v>29</v>
      </c>
      <c r="B57" s="24" t="s">
        <v>448</v>
      </c>
      <c r="C57" s="24" t="s">
        <v>449</v>
      </c>
      <c r="D57" s="24" t="s">
        <v>222</v>
      </c>
      <c r="E57" s="29">
        <v>78118</v>
      </c>
      <c r="F57" s="24" t="s">
        <v>223</v>
      </c>
      <c r="G57" s="24" t="s">
        <v>228</v>
      </c>
      <c r="H57" s="24" t="s">
        <v>5</v>
      </c>
      <c r="I57" s="25">
        <v>29.4289146976372</v>
      </c>
      <c r="J57" s="26">
        <v>213.50764525993935</v>
      </c>
      <c r="K57" s="26">
        <v>10.868501529051981</v>
      </c>
      <c r="L57" s="26">
        <v>0.5107033639143731</v>
      </c>
      <c r="M57" s="26">
        <v>8.5626911314984705E-2</v>
      </c>
      <c r="N57" s="26">
        <v>4.2568807339449544</v>
      </c>
      <c r="O57" s="26">
        <v>156.24464831804312</v>
      </c>
      <c r="P57" s="26">
        <v>0</v>
      </c>
      <c r="Q57" s="26">
        <v>64.470948012232526</v>
      </c>
      <c r="R57" s="26">
        <v>0</v>
      </c>
      <c r="S57" s="26">
        <v>0.40978593272171249</v>
      </c>
      <c r="T57" s="26">
        <v>3.8470948012232418</v>
      </c>
      <c r="U57" s="26">
        <v>220.71559633027573</v>
      </c>
      <c r="V57" s="26">
        <v>208.12844036697336</v>
      </c>
      <c r="W57" s="27">
        <v>830</v>
      </c>
      <c r="X57" s="24" t="s">
        <v>209</v>
      </c>
      <c r="Y57" s="30" t="s">
        <v>229</v>
      </c>
      <c r="Z57" s="24" t="s">
        <v>213</v>
      </c>
      <c r="AA57" s="28" t="s">
        <v>450</v>
      </c>
      <c r="AB57" s="24" t="s">
        <v>209</v>
      </c>
      <c r="AC57" s="30" t="s">
        <v>229</v>
      </c>
      <c r="AD57" s="30" t="s">
        <v>213</v>
      </c>
      <c r="AE57" s="36">
        <v>43804</v>
      </c>
    </row>
    <row r="58" spans="1:31" ht="15.75" x14ac:dyDescent="0.25">
      <c r="A58" s="23" t="s">
        <v>403</v>
      </c>
      <c r="B58" s="24" t="s">
        <v>404</v>
      </c>
      <c r="C58" s="24" t="s">
        <v>405</v>
      </c>
      <c r="D58" s="24" t="s">
        <v>273</v>
      </c>
      <c r="E58" s="29">
        <v>87016</v>
      </c>
      <c r="F58" s="24" t="s">
        <v>274</v>
      </c>
      <c r="G58" s="24" t="s">
        <v>236</v>
      </c>
      <c r="H58" s="24" t="s">
        <v>5</v>
      </c>
      <c r="I58" s="25">
        <v>33.963376507369397</v>
      </c>
      <c r="J58" s="26">
        <v>119.57186544342481</v>
      </c>
      <c r="K58" s="26">
        <v>57.094801223241639</v>
      </c>
      <c r="L58" s="26">
        <v>29.507645259938862</v>
      </c>
      <c r="M58" s="26">
        <v>18.538226299694202</v>
      </c>
      <c r="N58" s="26">
        <v>120.56574923547379</v>
      </c>
      <c r="O58" s="26">
        <v>104.14678899082558</v>
      </c>
      <c r="P58" s="26">
        <v>0</v>
      </c>
      <c r="Q58" s="26">
        <v>0</v>
      </c>
      <c r="R58" s="26">
        <v>22.951070336391446</v>
      </c>
      <c r="S58" s="26">
        <v>34.207951070336406</v>
      </c>
      <c r="T58" s="26">
        <v>64.746177370030708</v>
      </c>
      <c r="U58" s="26">
        <v>102.80733944954123</v>
      </c>
      <c r="V58" s="26">
        <v>195.11314984709455</v>
      </c>
      <c r="W58" s="27">
        <v>714</v>
      </c>
      <c r="X58" s="24" t="s">
        <v>209</v>
      </c>
      <c r="Y58" s="30" t="s">
        <v>210</v>
      </c>
      <c r="Z58" s="24" t="s">
        <v>211</v>
      </c>
      <c r="AA58" s="28" t="s">
        <v>212</v>
      </c>
      <c r="AB58" s="24" t="s">
        <v>209</v>
      </c>
      <c r="AC58" s="30" t="s">
        <v>210</v>
      </c>
      <c r="AD58" s="30" t="s">
        <v>390</v>
      </c>
      <c r="AE58" s="36">
        <v>43671</v>
      </c>
    </row>
    <row r="59" spans="1:31" ht="15.75" x14ac:dyDescent="0.25">
      <c r="A59" s="23" t="s">
        <v>416</v>
      </c>
      <c r="B59" s="24" t="s">
        <v>417</v>
      </c>
      <c r="C59" s="24" t="s">
        <v>418</v>
      </c>
      <c r="D59" s="24" t="s">
        <v>419</v>
      </c>
      <c r="E59" s="29">
        <v>60098</v>
      </c>
      <c r="F59" s="24" t="s">
        <v>43</v>
      </c>
      <c r="G59" s="24" t="s">
        <v>292</v>
      </c>
      <c r="H59" s="24" t="s">
        <v>208</v>
      </c>
      <c r="I59" s="25">
        <v>26.595440494590399</v>
      </c>
      <c r="J59" s="26">
        <v>82.483180428134688</v>
      </c>
      <c r="K59" s="26">
        <v>24.929663608562716</v>
      </c>
      <c r="L59" s="26">
        <v>56.847094801223278</v>
      </c>
      <c r="M59" s="26">
        <v>54.47400611620796</v>
      </c>
      <c r="N59" s="26">
        <v>121.37308868501519</v>
      </c>
      <c r="O59" s="26">
        <v>74.391437308868632</v>
      </c>
      <c r="P59" s="26">
        <v>6.9755351681957212</v>
      </c>
      <c r="Q59" s="26">
        <v>15.993883792048905</v>
      </c>
      <c r="R59" s="26">
        <v>65.703363914373142</v>
      </c>
      <c r="S59" s="26">
        <v>32.785932721712555</v>
      </c>
      <c r="T59" s="26">
        <v>30.391437308868518</v>
      </c>
      <c r="U59" s="26">
        <v>89.853211009174416</v>
      </c>
      <c r="V59" s="26">
        <v>140.74006116208031</v>
      </c>
      <c r="W59" s="27"/>
      <c r="X59" s="24" t="s">
        <v>209</v>
      </c>
      <c r="Y59" s="30" t="s">
        <v>345</v>
      </c>
      <c r="Z59" s="24" t="s">
        <v>368</v>
      </c>
      <c r="AA59" s="28" t="s">
        <v>294</v>
      </c>
      <c r="AB59" s="24" t="s">
        <v>209</v>
      </c>
      <c r="AC59" s="30" t="s">
        <v>345</v>
      </c>
      <c r="AD59" s="30" t="s">
        <v>368</v>
      </c>
      <c r="AE59" s="36">
        <v>43265</v>
      </c>
    </row>
    <row r="60" spans="1:31" ht="15.75" x14ac:dyDescent="0.25">
      <c r="A60" s="23" t="s">
        <v>420</v>
      </c>
      <c r="B60" s="24" t="s">
        <v>421</v>
      </c>
      <c r="C60" s="24" t="s">
        <v>337</v>
      </c>
      <c r="D60" s="24" t="s">
        <v>217</v>
      </c>
      <c r="E60" s="29">
        <v>31537</v>
      </c>
      <c r="F60" s="24" t="s">
        <v>218</v>
      </c>
      <c r="G60" s="24" t="s">
        <v>207</v>
      </c>
      <c r="H60" s="24" t="s">
        <v>5</v>
      </c>
      <c r="I60" s="25">
        <v>39.886547811993502</v>
      </c>
      <c r="J60" s="26">
        <v>25.513761467889921</v>
      </c>
      <c r="K60" s="26">
        <v>29.902140672782906</v>
      </c>
      <c r="L60" s="26">
        <v>90.259938837920487</v>
      </c>
      <c r="M60" s="26">
        <v>60.902140672782878</v>
      </c>
      <c r="N60" s="26">
        <v>165.06116207951086</v>
      </c>
      <c r="O60" s="26">
        <v>41.516819571865462</v>
      </c>
      <c r="P60" s="26">
        <v>0</v>
      </c>
      <c r="Q60" s="26">
        <v>0</v>
      </c>
      <c r="R60" s="26">
        <v>102.3547400611622</v>
      </c>
      <c r="S60" s="26">
        <v>41.785932721712555</v>
      </c>
      <c r="T60" s="26">
        <v>20.577981651376156</v>
      </c>
      <c r="U60" s="26">
        <v>41.859327217125397</v>
      </c>
      <c r="V60" s="26">
        <v>124.36085626911354</v>
      </c>
      <c r="W60" s="27">
        <v>338</v>
      </c>
      <c r="X60" s="24" t="s">
        <v>209</v>
      </c>
      <c r="Y60" s="30" t="s">
        <v>210</v>
      </c>
      <c r="Z60" s="24" t="s">
        <v>211</v>
      </c>
      <c r="AA60" s="28" t="s">
        <v>338</v>
      </c>
      <c r="AB60" s="24" t="s">
        <v>238</v>
      </c>
      <c r="AC60" s="30"/>
      <c r="AD60" s="30"/>
      <c r="AE60" s="36"/>
    </row>
    <row r="61" spans="1:31" ht="15.75" x14ac:dyDescent="0.25">
      <c r="A61" s="23" t="s">
        <v>399</v>
      </c>
      <c r="B61" s="24" t="s">
        <v>400</v>
      </c>
      <c r="C61" s="24" t="s">
        <v>401</v>
      </c>
      <c r="D61" s="24" t="s">
        <v>319</v>
      </c>
      <c r="E61" s="29">
        <v>7032</v>
      </c>
      <c r="F61" s="24" t="s">
        <v>402</v>
      </c>
      <c r="G61" s="24" t="s">
        <v>236</v>
      </c>
      <c r="H61" s="24" t="s">
        <v>208</v>
      </c>
      <c r="I61" s="25">
        <v>74.603248259860806</v>
      </c>
      <c r="J61" s="26">
        <v>55.859327217125653</v>
      </c>
      <c r="K61" s="26">
        <v>37.669724770642205</v>
      </c>
      <c r="L61" s="26">
        <v>63.767584097859384</v>
      </c>
      <c r="M61" s="26">
        <v>48.80733944954131</v>
      </c>
      <c r="N61" s="26">
        <v>129.01223241590205</v>
      </c>
      <c r="O61" s="26">
        <v>57.351681957186791</v>
      </c>
      <c r="P61" s="26">
        <v>13.831804281345565</v>
      </c>
      <c r="Q61" s="26">
        <v>5.9082568807339424</v>
      </c>
      <c r="R61" s="26">
        <v>66.896024464831839</v>
      </c>
      <c r="S61" s="26">
        <v>30.804281345565748</v>
      </c>
      <c r="T61" s="26">
        <v>46.37614678899083</v>
      </c>
      <c r="U61" s="26">
        <v>62.027522935780041</v>
      </c>
      <c r="V61" s="26">
        <v>117.77370030581024</v>
      </c>
      <c r="W61" s="27"/>
      <c r="X61" s="24" t="s">
        <v>209</v>
      </c>
      <c r="Y61" s="30" t="s">
        <v>293</v>
      </c>
      <c r="Z61" s="24" t="s">
        <v>211</v>
      </c>
      <c r="AA61" s="28" t="s">
        <v>219</v>
      </c>
      <c r="AB61" s="24" t="s">
        <v>209</v>
      </c>
      <c r="AC61" s="30" t="s">
        <v>293</v>
      </c>
      <c r="AD61" s="30" t="s">
        <v>211</v>
      </c>
      <c r="AE61" s="36">
        <v>43328</v>
      </c>
    </row>
    <row r="62" spans="1:31" ht="15.75" x14ac:dyDescent="0.25">
      <c r="A62" s="23" t="s">
        <v>10</v>
      </c>
      <c r="B62" s="24" t="s">
        <v>406</v>
      </c>
      <c r="C62" s="24" t="s">
        <v>37</v>
      </c>
      <c r="D62" s="24" t="s">
        <v>234</v>
      </c>
      <c r="E62" s="29">
        <v>71303</v>
      </c>
      <c r="F62" s="24" t="s">
        <v>235</v>
      </c>
      <c r="G62" s="24" t="s">
        <v>407</v>
      </c>
      <c r="H62" s="24" t="s">
        <v>5</v>
      </c>
      <c r="I62" s="25">
        <v>2.97566844919786</v>
      </c>
      <c r="J62" s="26">
        <v>89.721712538224537</v>
      </c>
      <c r="K62" s="26">
        <v>36.960244648319438</v>
      </c>
      <c r="L62" s="26">
        <v>41.648318042814708</v>
      </c>
      <c r="M62" s="26">
        <v>34.587155963303722</v>
      </c>
      <c r="N62" s="26">
        <v>107.43119266054977</v>
      </c>
      <c r="O62" s="26">
        <v>95.440366972474891</v>
      </c>
      <c r="P62" s="26">
        <v>2.4464831804281346E-2</v>
      </c>
      <c r="Q62" s="26">
        <v>2.1406727828746176E-2</v>
      </c>
      <c r="R62" s="26">
        <v>48.428134556576083</v>
      </c>
      <c r="S62" s="26">
        <v>23.033639143731278</v>
      </c>
      <c r="T62" s="26">
        <v>35.385321100918958</v>
      </c>
      <c r="U62" s="26">
        <v>96.070336391435234</v>
      </c>
      <c r="V62" s="26">
        <v>200.34556574927427</v>
      </c>
      <c r="W62" s="27">
        <v>1170</v>
      </c>
      <c r="X62" s="24" t="s">
        <v>238</v>
      </c>
      <c r="Y62" s="30"/>
      <c r="Z62" s="24"/>
      <c r="AA62" s="28"/>
      <c r="AB62" s="24" t="s">
        <v>238</v>
      </c>
      <c r="AC62" s="30"/>
      <c r="AD62" s="30"/>
      <c r="AE62" s="36"/>
    </row>
    <row r="63" spans="1:31" ht="15.75" x14ac:dyDescent="0.25">
      <c r="A63" s="23" t="s">
        <v>19</v>
      </c>
      <c r="B63" s="24" t="s">
        <v>422</v>
      </c>
      <c r="C63" s="24" t="s">
        <v>370</v>
      </c>
      <c r="D63" s="24" t="s">
        <v>222</v>
      </c>
      <c r="E63" s="29">
        <v>78041</v>
      </c>
      <c r="F63" s="24" t="s">
        <v>223</v>
      </c>
      <c r="G63" s="24" t="s">
        <v>207</v>
      </c>
      <c r="H63" s="24" t="s">
        <v>208</v>
      </c>
      <c r="I63" s="25">
        <v>35.578153289076603</v>
      </c>
      <c r="J63" s="26">
        <v>175.95412844036696</v>
      </c>
      <c r="K63" s="26">
        <v>6.4709480122324159</v>
      </c>
      <c r="L63" s="26">
        <v>6.8899082568807337</v>
      </c>
      <c r="M63" s="26">
        <v>8.5198776758409771</v>
      </c>
      <c r="N63" s="26">
        <v>0.35779816513761453</v>
      </c>
      <c r="O63" s="26">
        <v>0.51681957186544347</v>
      </c>
      <c r="P63" s="26">
        <v>24.342507645259957</v>
      </c>
      <c r="Q63" s="26">
        <v>172.6177370030581</v>
      </c>
      <c r="R63" s="26">
        <v>7.5443425076452613</v>
      </c>
      <c r="S63" s="26">
        <v>5.8103975535168182</v>
      </c>
      <c r="T63" s="26">
        <v>11.507645259938839</v>
      </c>
      <c r="U63" s="26">
        <v>172.97247706422013</v>
      </c>
      <c r="V63" s="26">
        <v>105.49235474006144</v>
      </c>
      <c r="W63" s="27"/>
      <c r="X63" s="24" t="s">
        <v>209</v>
      </c>
      <c r="Y63" s="30" t="s">
        <v>345</v>
      </c>
      <c r="Z63" s="24" t="s">
        <v>368</v>
      </c>
      <c r="AA63" s="28" t="s">
        <v>423</v>
      </c>
      <c r="AB63" s="24" t="s">
        <v>209</v>
      </c>
      <c r="AC63" s="30" t="s">
        <v>345</v>
      </c>
      <c r="AD63" s="30" t="s">
        <v>368</v>
      </c>
      <c r="AE63" s="36">
        <v>43258</v>
      </c>
    </row>
    <row r="64" spans="1:31" ht="15.75" x14ac:dyDescent="0.25">
      <c r="A64" s="23" t="s">
        <v>39</v>
      </c>
      <c r="B64" s="24" t="s">
        <v>430</v>
      </c>
      <c r="C64" s="24" t="s">
        <v>431</v>
      </c>
      <c r="D64" s="24" t="s">
        <v>432</v>
      </c>
      <c r="E64" s="29">
        <v>74447</v>
      </c>
      <c r="F64" s="24" t="s">
        <v>314</v>
      </c>
      <c r="G64" s="24" t="s">
        <v>236</v>
      </c>
      <c r="H64" s="24" t="s">
        <v>5</v>
      </c>
      <c r="I64" s="25">
        <v>48.052074857607799</v>
      </c>
      <c r="J64" s="26">
        <v>96.828746177369936</v>
      </c>
      <c r="K64" s="26">
        <v>42.642201834862398</v>
      </c>
      <c r="L64" s="26">
        <v>24.012232415902151</v>
      </c>
      <c r="M64" s="26">
        <v>24.168195718654438</v>
      </c>
      <c r="N64" s="26">
        <v>99.963302752293558</v>
      </c>
      <c r="O64" s="26">
        <v>87.68807339449522</v>
      </c>
      <c r="P64" s="26">
        <v>0</v>
      </c>
      <c r="Q64" s="26">
        <v>0</v>
      </c>
      <c r="R64" s="26">
        <v>45.565749235474044</v>
      </c>
      <c r="S64" s="26">
        <v>23.324159021406718</v>
      </c>
      <c r="T64" s="26">
        <v>31.351681957186582</v>
      </c>
      <c r="U64" s="26">
        <v>87.409785932721533</v>
      </c>
      <c r="V64" s="26">
        <v>100.71253822629977</v>
      </c>
      <c r="W64" s="27"/>
      <c r="X64" s="24" t="s">
        <v>209</v>
      </c>
      <c r="Y64" s="30" t="s">
        <v>210</v>
      </c>
      <c r="Z64" s="24" t="s">
        <v>211</v>
      </c>
      <c r="AA64" s="28" t="s">
        <v>433</v>
      </c>
      <c r="AB64" s="24" t="s">
        <v>209</v>
      </c>
      <c r="AC64" s="30" t="s">
        <v>210</v>
      </c>
      <c r="AD64" s="30" t="s">
        <v>211</v>
      </c>
      <c r="AE64" s="36">
        <v>43377</v>
      </c>
    </row>
    <row r="65" spans="1:31" ht="15.75" x14ac:dyDescent="0.25">
      <c r="A65" s="23" t="s">
        <v>56</v>
      </c>
      <c r="B65" s="24" t="s">
        <v>436</v>
      </c>
      <c r="C65" s="24" t="s">
        <v>437</v>
      </c>
      <c r="D65" s="24" t="s">
        <v>319</v>
      </c>
      <c r="E65" s="29">
        <v>7601</v>
      </c>
      <c r="F65" s="24" t="s">
        <v>402</v>
      </c>
      <c r="G65" s="24" t="s">
        <v>292</v>
      </c>
      <c r="H65" s="24" t="s">
        <v>208</v>
      </c>
      <c r="I65" s="25">
        <v>68.622833843017304</v>
      </c>
      <c r="J65" s="26">
        <v>61.318042813455776</v>
      </c>
      <c r="K65" s="26">
        <v>26.590214067278293</v>
      </c>
      <c r="L65" s="26">
        <v>60.266055045871568</v>
      </c>
      <c r="M65" s="26">
        <v>36.470948012232455</v>
      </c>
      <c r="N65" s="26">
        <v>105.85015290519881</v>
      </c>
      <c r="O65" s="26">
        <v>61.95107033639151</v>
      </c>
      <c r="P65" s="26">
        <v>7.7461773700305807</v>
      </c>
      <c r="Q65" s="26">
        <v>9.0978593272171242</v>
      </c>
      <c r="R65" s="26">
        <v>43.568807339449556</v>
      </c>
      <c r="S65" s="26">
        <v>31.244648318042813</v>
      </c>
      <c r="T65" s="26">
        <v>39.379204892966378</v>
      </c>
      <c r="U65" s="26">
        <v>70.452599388379269</v>
      </c>
      <c r="V65" s="26">
        <v>102.36085626911311</v>
      </c>
      <c r="W65" s="27"/>
      <c r="X65" s="24" t="s">
        <v>209</v>
      </c>
      <c r="Y65" s="30" t="s">
        <v>345</v>
      </c>
      <c r="Z65" s="24" t="s">
        <v>346</v>
      </c>
      <c r="AA65" s="28" t="s">
        <v>931</v>
      </c>
      <c r="AB65" s="24" t="s">
        <v>209</v>
      </c>
      <c r="AC65" s="30" t="s">
        <v>345</v>
      </c>
      <c r="AD65" s="30" t="s">
        <v>368</v>
      </c>
      <c r="AE65" s="36">
        <v>43524</v>
      </c>
    </row>
    <row r="66" spans="1:31" ht="15.75" x14ac:dyDescent="0.25">
      <c r="A66" s="23" t="s">
        <v>438</v>
      </c>
      <c r="B66" s="24" t="s">
        <v>439</v>
      </c>
      <c r="C66" s="24" t="s">
        <v>54</v>
      </c>
      <c r="D66" s="24" t="s">
        <v>440</v>
      </c>
      <c r="E66" s="29">
        <v>89015</v>
      </c>
      <c r="F66" s="24" t="s">
        <v>441</v>
      </c>
      <c r="G66" s="24" t="s">
        <v>292</v>
      </c>
      <c r="H66" s="24" t="s">
        <v>208</v>
      </c>
      <c r="I66" s="25">
        <v>44.171452009844103</v>
      </c>
      <c r="J66" s="26">
        <v>49.461773700305777</v>
      </c>
      <c r="K66" s="26">
        <v>48.318042813455669</v>
      </c>
      <c r="L66" s="26">
        <v>51.134556574923579</v>
      </c>
      <c r="M66" s="26">
        <v>35.262996941896006</v>
      </c>
      <c r="N66" s="26">
        <v>99.012232415902133</v>
      </c>
      <c r="O66" s="26">
        <v>63.639143730886836</v>
      </c>
      <c r="P66" s="26">
        <v>14.351681957186548</v>
      </c>
      <c r="Q66" s="26">
        <v>7.1743119266054984</v>
      </c>
      <c r="R66" s="26">
        <v>45.327217125382305</v>
      </c>
      <c r="S66" s="26">
        <v>33.455657492354739</v>
      </c>
      <c r="T66" s="26">
        <v>34.486238532110086</v>
      </c>
      <c r="U66" s="26">
        <v>70.908256880733802</v>
      </c>
      <c r="V66" s="26">
        <v>114.53822629969424</v>
      </c>
      <c r="W66" s="27"/>
      <c r="X66" s="24" t="s">
        <v>209</v>
      </c>
      <c r="Y66" s="30" t="s">
        <v>345</v>
      </c>
      <c r="Z66" s="24" t="s">
        <v>368</v>
      </c>
      <c r="AA66" s="28" t="s">
        <v>427</v>
      </c>
      <c r="AB66" s="24" t="s">
        <v>209</v>
      </c>
      <c r="AC66" s="30" t="s">
        <v>345</v>
      </c>
      <c r="AD66" s="30" t="s">
        <v>368</v>
      </c>
      <c r="AE66" s="36">
        <v>43300</v>
      </c>
    </row>
    <row r="67" spans="1:31" ht="15.75" x14ac:dyDescent="0.25">
      <c r="A67" s="23" t="s">
        <v>424</v>
      </c>
      <c r="B67" s="24" t="s">
        <v>425</v>
      </c>
      <c r="C67" s="24" t="s">
        <v>426</v>
      </c>
      <c r="D67" s="24" t="s">
        <v>53</v>
      </c>
      <c r="E67" s="29">
        <v>35901</v>
      </c>
      <c r="F67" s="24" t="s">
        <v>235</v>
      </c>
      <c r="G67" s="24" t="s">
        <v>292</v>
      </c>
      <c r="H67" s="24" t="s">
        <v>5</v>
      </c>
      <c r="I67" s="25">
        <v>23.687785990848301</v>
      </c>
      <c r="J67" s="26">
        <v>64.516819571865625</v>
      </c>
      <c r="K67" s="26">
        <v>30.46177370030582</v>
      </c>
      <c r="L67" s="26">
        <v>38.039755351682082</v>
      </c>
      <c r="M67" s="26">
        <v>41.229357798165182</v>
      </c>
      <c r="N67" s="26">
        <v>98.669724770642858</v>
      </c>
      <c r="O67" s="26">
        <v>74.648318042813742</v>
      </c>
      <c r="P67" s="26">
        <v>0.58103975535168195</v>
      </c>
      <c r="Q67" s="26">
        <v>0.34862385321100925</v>
      </c>
      <c r="R67" s="26">
        <v>58.91437308868516</v>
      </c>
      <c r="S67" s="26">
        <v>19.966360856269116</v>
      </c>
      <c r="T67" s="26">
        <v>20.532110091743132</v>
      </c>
      <c r="U67" s="26">
        <v>74.834862385321458</v>
      </c>
      <c r="V67" s="26">
        <v>149.39143730886926</v>
      </c>
      <c r="W67" s="27"/>
      <c r="X67" s="24" t="s">
        <v>209</v>
      </c>
      <c r="Y67" s="30" t="s">
        <v>345</v>
      </c>
      <c r="Z67" s="24" t="s">
        <v>368</v>
      </c>
      <c r="AA67" s="28" t="s">
        <v>427</v>
      </c>
      <c r="AB67" s="24" t="s">
        <v>209</v>
      </c>
      <c r="AC67" s="30" t="s">
        <v>345</v>
      </c>
      <c r="AD67" s="30" t="s">
        <v>368</v>
      </c>
      <c r="AE67" s="36">
        <v>43300</v>
      </c>
    </row>
    <row r="68" spans="1:31" ht="15.75" x14ac:dyDescent="0.25">
      <c r="A68" s="23" t="s">
        <v>428</v>
      </c>
      <c r="B68" s="24" t="s">
        <v>429</v>
      </c>
      <c r="C68" s="24" t="s">
        <v>27</v>
      </c>
      <c r="D68" s="24" t="s">
        <v>319</v>
      </c>
      <c r="E68" s="29">
        <v>7201</v>
      </c>
      <c r="F68" s="24" t="s">
        <v>320</v>
      </c>
      <c r="G68" s="24" t="s">
        <v>224</v>
      </c>
      <c r="H68" s="24" t="s">
        <v>208</v>
      </c>
      <c r="I68" s="25">
        <v>46.888812154696097</v>
      </c>
      <c r="J68" s="26">
        <v>123.36391437308848</v>
      </c>
      <c r="K68" s="26">
        <v>43.116207951070358</v>
      </c>
      <c r="L68" s="26">
        <v>0.99082568807339488</v>
      </c>
      <c r="M68" s="26">
        <v>0.54434250764526027</v>
      </c>
      <c r="N68" s="26">
        <v>48.669724770642233</v>
      </c>
      <c r="O68" s="26">
        <v>103.04892966360865</v>
      </c>
      <c r="P68" s="26">
        <v>2.7217125382262992</v>
      </c>
      <c r="Q68" s="26">
        <v>13.574923547400598</v>
      </c>
      <c r="R68" s="26">
        <v>7.0214067278287411</v>
      </c>
      <c r="S68" s="26">
        <v>10.113149847094801</v>
      </c>
      <c r="T68" s="26">
        <v>34.308868501529048</v>
      </c>
      <c r="U68" s="26">
        <v>116.57186544342488</v>
      </c>
      <c r="V68" s="26">
        <v>104.27522935779794</v>
      </c>
      <c r="W68" s="27">
        <v>285</v>
      </c>
      <c r="X68" s="24" t="s">
        <v>209</v>
      </c>
      <c r="Y68" s="30" t="s">
        <v>210</v>
      </c>
      <c r="Z68" s="24" t="s">
        <v>211</v>
      </c>
      <c r="AA68" s="28" t="s">
        <v>283</v>
      </c>
      <c r="AB68" s="24" t="s">
        <v>209</v>
      </c>
      <c r="AC68" s="30" t="s">
        <v>210</v>
      </c>
      <c r="AD68" s="30" t="s">
        <v>211</v>
      </c>
      <c r="AE68" s="36">
        <v>43385</v>
      </c>
    </row>
    <row r="69" spans="1:31" ht="15.75" x14ac:dyDescent="0.25">
      <c r="A69" s="23" t="s">
        <v>38</v>
      </c>
      <c r="B69" s="24" t="s">
        <v>445</v>
      </c>
      <c r="C69" s="24" t="s">
        <v>446</v>
      </c>
      <c r="D69" s="24" t="s">
        <v>440</v>
      </c>
      <c r="E69" s="29">
        <v>89060</v>
      </c>
      <c r="F69" s="24" t="s">
        <v>441</v>
      </c>
      <c r="G69" s="24" t="s">
        <v>292</v>
      </c>
      <c r="H69" s="24" t="s">
        <v>208</v>
      </c>
      <c r="I69" s="25">
        <v>76.072580645161295</v>
      </c>
      <c r="J69" s="26">
        <v>82.480122324159055</v>
      </c>
      <c r="K69" s="26">
        <v>20.663608562691142</v>
      </c>
      <c r="L69" s="26">
        <v>34.061162079510709</v>
      </c>
      <c r="M69" s="26">
        <v>27.186544342507645</v>
      </c>
      <c r="N69" s="26">
        <v>67.48623853211015</v>
      </c>
      <c r="O69" s="26">
        <v>40.437308868501539</v>
      </c>
      <c r="P69" s="26">
        <v>10.785932721712538</v>
      </c>
      <c r="Q69" s="26">
        <v>45.681957186544366</v>
      </c>
      <c r="R69" s="26">
        <v>37.715596330275233</v>
      </c>
      <c r="S69" s="26">
        <v>21.24464831804281</v>
      </c>
      <c r="T69" s="26">
        <v>19.183486238532122</v>
      </c>
      <c r="U69" s="26">
        <v>86.247706422018368</v>
      </c>
      <c r="V69" s="26">
        <v>98.544342507645268</v>
      </c>
      <c r="W69" s="27"/>
      <c r="X69" s="24" t="s">
        <v>209</v>
      </c>
      <c r="Y69" s="30" t="s">
        <v>293</v>
      </c>
      <c r="Z69" s="24" t="s">
        <v>211</v>
      </c>
      <c r="AA69" s="28" t="s">
        <v>447</v>
      </c>
      <c r="AB69" s="24" t="s">
        <v>209</v>
      </c>
      <c r="AC69" s="30" t="s">
        <v>293</v>
      </c>
      <c r="AD69" s="30" t="s">
        <v>211</v>
      </c>
      <c r="AE69" s="36">
        <v>43307</v>
      </c>
    </row>
    <row r="70" spans="1:31" ht="15.75" x14ac:dyDescent="0.25">
      <c r="A70" s="23" t="s">
        <v>930</v>
      </c>
      <c r="B70" s="24" t="s">
        <v>929</v>
      </c>
      <c r="C70" s="24" t="s">
        <v>277</v>
      </c>
      <c r="D70" s="24" t="s">
        <v>222</v>
      </c>
      <c r="E70" s="29">
        <v>77301</v>
      </c>
      <c r="F70" s="24" t="s">
        <v>278</v>
      </c>
      <c r="G70" s="24" t="s">
        <v>236</v>
      </c>
      <c r="H70" s="24" t="s">
        <v>208</v>
      </c>
      <c r="I70" s="25">
        <v>33.865892291446698</v>
      </c>
      <c r="J70" s="26">
        <v>84.495412844036863</v>
      </c>
      <c r="K70" s="26">
        <v>38.761467889908261</v>
      </c>
      <c r="L70" s="26">
        <v>14.626911314984708</v>
      </c>
      <c r="M70" s="26">
        <v>15.532110091743112</v>
      </c>
      <c r="N70" s="26">
        <v>51.788990825688053</v>
      </c>
      <c r="O70" s="26">
        <v>67.339449541284381</v>
      </c>
      <c r="P70" s="26">
        <v>11.085626911314982</v>
      </c>
      <c r="Q70" s="26">
        <v>23.201834862385333</v>
      </c>
      <c r="R70" s="26">
        <v>25.042813455657495</v>
      </c>
      <c r="S70" s="26">
        <v>12.425076452599381</v>
      </c>
      <c r="T70" s="26">
        <v>24.877675840978601</v>
      </c>
      <c r="U70" s="26">
        <v>91.070336391437465</v>
      </c>
      <c r="V70" s="26">
        <v>117.94801223241633</v>
      </c>
      <c r="W70" s="27"/>
      <c r="X70" s="24" t="s">
        <v>238</v>
      </c>
      <c r="Y70" s="30"/>
      <c r="Z70" s="24"/>
      <c r="AA70" s="28" t="s">
        <v>356</v>
      </c>
      <c r="AB70" s="24" t="s">
        <v>238</v>
      </c>
      <c r="AC70" s="30"/>
      <c r="AD70" s="30"/>
      <c r="AE70" s="36"/>
    </row>
    <row r="71" spans="1:31" ht="15.75" x14ac:dyDescent="0.25">
      <c r="A71" s="23" t="s">
        <v>466</v>
      </c>
      <c r="B71" s="24" t="s">
        <v>467</v>
      </c>
      <c r="C71" s="24" t="s">
        <v>468</v>
      </c>
      <c r="D71" s="24" t="s">
        <v>469</v>
      </c>
      <c r="E71" s="29">
        <v>49014</v>
      </c>
      <c r="F71" s="24" t="s">
        <v>461</v>
      </c>
      <c r="G71" s="24" t="s">
        <v>236</v>
      </c>
      <c r="H71" s="24" t="s">
        <v>208</v>
      </c>
      <c r="I71" s="25">
        <v>42.032753326509699</v>
      </c>
      <c r="J71" s="26">
        <v>34.737003058104008</v>
      </c>
      <c r="K71" s="26">
        <v>51.220183486238604</v>
      </c>
      <c r="L71" s="26">
        <v>33.253822629969441</v>
      </c>
      <c r="M71" s="26">
        <v>18.076452599388372</v>
      </c>
      <c r="N71" s="26">
        <v>83.388379204892999</v>
      </c>
      <c r="O71" s="26">
        <v>31.394495412844048</v>
      </c>
      <c r="P71" s="26">
        <v>11.107033639143728</v>
      </c>
      <c r="Q71" s="26">
        <v>11.397553516819571</v>
      </c>
      <c r="R71" s="26">
        <v>42.516819571865483</v>
      </c>
      <c r="S71" s="26">
        <v>23.165137614678912</v>
      </c>
      <c r="T71" s="26">
        <v>29.27217125382262</v>
      </c>
      <c r="U71" s="26">
        <v>42.333333333333407</v>
      </c>
      <c r="V71" s="26">
        <v>86.07645259938829</v>
      </c>
      <c r="W71" s="27">
        <v>75</v>
      </c>
      <c r="X71" s="24" t="s">
        <v>209</v>
      </c>
      <c r="Y71" s="30" t="s">
        <v>345</v>
      </c>
      <c r="Z71" s="24" t="s">
        <v>346</v>
      </c>
      <c r="AA71" s="28" t="s">
        <v>925</v>
      </c>
      <c r="AB71" s="24" t="s">
        <v>209</v>
      </c>
      <c r="AC71" s="30" t="s">
        <v>345</v>
      </c>
      <c r="AD71" s="30" t="s">
        <v>368</v>
      </c>
      <c r="AE71" s="36">
        <v>43531</v>
      </c>
    </row>
    <row r="72" spans="1:31" ht="15.75" x14ac:dyDescent="0.25">
      <c r="A72" s="23" t="s">
        <v>451</v>
      </c>
      <c r="B72" s="24" t="s">
        <v>452</v>
      </c>
      <c r="C72" s="24" t="s">
        <v>453</v>
      </c>
      <c r="D72" s="24" t="s">
        <v>205</v>
      </c>
      <c r="E72" s="29">
        <v>95901</v>
      </c>
      <c r="F72" s="24" t="s">
        <v>386</v>
      </c>
      <c r="G72" s="24" t="s">
        <v>236</v>
      </c>
      <c r="H72" s="24" t="s">
        <v>208</v>
      </c>
      <c r="I72" s="25">
        <v>79.8379814077025</v>
      </c>
      <c r="J72" s="26">
        <v>10.214067278287457</v>
      </c>
      <c r="K72" s="26">
        <v>16.498470948012233</v>
      </c>
      <c r="L72" s="26">
        <v>36.840978593272233</v>
      </c>
      <c r="M72" s="26">
        <v>69.48012232415897</v>
      </c>
      <c r="N72" s="26">
        <v>110.9082568807338</v>
      </c>
      <c r="O72" s="26">
        <v>13.874617737003057</v>
      </c>
      <c r="P72" s="26">
        <v>6.8073394495412849</v>
      </c>
      <c r="Q72" s="26">
        <v>1.4434250764525991</v>
      </c>
      <c r="R72" s="26">
        <v>79.409785932721618</v>
      </c>
      <c r="S72" s="26">
        <v>20.740061162079524</v>
      </c>
      <c r="T72" s="26">
        <v>17.571865443425079</v>
      </c>
      <c r="U72" s="26">
        <v>15.311926605504585</v>
      </c>
      <c r="V72" s="26">
        <v>92.795107033639098</v>
      </c>
      <c r="W72" s="27"/>
      <c r="X72" s="24" t="s">
        <v>209</v>
      </c>
      <c r="Y72" s="30" t="s">
        <v>345</v>
      </c>
      <c r="Z72" s="24" t="s">
        <v>368</v>
      </c>
      <c r="AA72" s="28" t="s">
        <v>357</v>
      </c>
      <c r="AB72" s="24" t="s">
        <v>209</v>
      </c>
      <c r="AC72" s="30" t="s">
        <v>345</v>
      </c>
      <c r="AD72" s="30" t="s">
        <v>368</v>
      </c>
      <c r="AE72" s="36">
        <v>43420</v>
      </c>
    </row>
    <row r="73" spans="1:31" ht="15.75" x14ac:dyDescent="0.25">
      <c r="A73" s="23" t="s">
        <v>928</v>
      </c>
      <c r="B73" s="24" t="s">
        <v>927</v>
      </c>
      <c r="C73" s="24" t="s">
        <v>382</v>
      </c>
      <c r="D73" s="24" t="s">
        <v>240</v>
      </c>
      <c r="E73" s="29">
        <v>85132</v>
      </c>
      <c r="F73" s="24" t="s">
        <v>241</v>
      </c>
      <c r="G73" s="24" t="s">
        <v>292</v>
      </c>
      <c r="H73" s="24" t="s">
        <v>5</v>
      </c>
      <c r="I73" s="25">
        <v>49.136850783182197</v>
      </c>
      <c r="J73" s="26">
        <v>19.587155963302731</v>
      </c>
      <c r="K73" s="26">
        <v>11.663608562691126</v>
      </c>
      <c r="L73" s="26">
        <v>60.562691131498553</v>
      </c>
      <c r="M73" s="26">
        <v>38.339449541284438</v>
      </c>
      <c r="N73" s="26">
        <v>85.532110091743149</v>
      </c>
      <c r="O73" s="26">
        <v>31.636085626911321</v>
      </c>
      <c r="P73" s="26">
        <v>3.1987767584097861</v>
      </c>
      <c r="Q73" s="26">
        <v>9.7859327217125376</v>
      </c>
      <c r="R73" s="26">
        <v>35.645259938837974</v>
      </c>
      <c r="S73" s="26">
        <v>27.856269113149871</v>
      </c>
      <c r="T73" s="26">
        <v>24.535168195718654</v>
      </c>
      <c r="U73" s="26">
        <v>42.116207951070344</v>
      </c>
      <c r="V73" s="26">
        <v>63.397553516819677</v>
      </c>
      <c r="W73" s="27"/>
      <c r="X73" s="24" t="s">
        <v>209</v>
      </c>
      <c r="Y73" s="30" t="s">
        <v>293</v>
      </c>
      <c r="Z73" s="24" t="s">
        <v>211</v>
      </c>
      <c r="AA73" s="28" t="s">
        <v>354</v>
      </c>
      <c r="AB73" s="24" t="s">
        <v>209</v>
      </c>
      <c r="AC73" s="30" t="s">
        <v>293</v>
      </c>
      <c r="AD73" s="30" t="s">
        <v>211</v>
      </c>
      <c r="AE73" s="36">
        <v>43342</v>
      </c>
    </row>
    <row r="74" spans="1:31" ht="15.75" x14ac:dyDescent="0.25">
      <c r="A74" s="23" t="s">
        <v>454</v>
      </c>
      <c r="B74" s="24" t="s">
        <v>455</v>
      </c>
      <c r="C74" s="24" t="s">
        <v>456</v>
      </c>
      <c r="D74" s="24" t="s">
        <v>222</v>
      </c>
      <c r="E74" s="29">
        <v>76031</v>
      </c>
      <c r="F74" s="24" t="s">
        <v>314</v>
      </c>
      <c r="G74" s="24" t="s">
        <v>236</v>
      </c>
      <c r="H74" s="24" t="s">
        <v>5</v>
      </c>
      <c r="I74" s="25">
        <v>23.322091062394598</v>
      </c>
      <c r="J74" s="26">
        <v>59.678899082568662</v>
      </c>
      <c r="K74" s="26">
        <v>27.874617737003167</v>
      </c>
      <c r="L74" s="26">
        <v>23.825688073394559</v>
      </c>
      <c r="M74" s="26">
        <v>18.721712538226317</v>
      </c>
      <c r="N74" s="26">
        <v>80.544342507645055</v>
      </c>
      <c r="O74" s="26">
        <v>49.553516819571676</v>
      </c>
      <c r="P74" s="26">
        <v>0</v>
      </c>
      <c r="Q74" s="26">
        <v>3.0581039755351682E-3</v>
      </c>
      <c r="R74" s="26">
        <v>31.345565749235661</v>
      </c>
      <c r="S74" s="26">
        <v>20.379204892966392</v>
      </c>
      <c r="T74" s="26">
        <v>29.146788990825847</v>
      </c>
      <c r="U74" s="26">
        <v>49.229357798164955</v>
      </c>
      <c r="V74" s="26">
        <v>69.284403669724483</v>
      </c>
      <c r="W74" s="27"/>
      <c r="X74" s="24" t="s">
        <v>209</v>
      </c>
      <c r="Y74" s="30" t="s">
        <v>210</v>
      </c>
      <c r="Z74" s="24" t="s">
        <v>211</v>
      </c>
      <c r="AA74" s="28" t="s">
        <v>344</v>
      </c>
      <c r="AB74" s="24" t="s">
        <v>209</v>
      </c>
      <c r="AC74" s="30" t="s">
        <v>210</v>
      </c>
      <c r="AD74" s="30" t="s">
        <v>211</v>
      </c>
      <c r="AE74" s="36">
        <v>43335</v>
      </c>
    </row>
    <row r="75" spans="1:31" ht="15.75" x14ac:dyDescent="0.25">
      <c r="A75" s="23" t="s">
        <v>434</v>
      </c>
      <c r="B75" s="24" t="s">
        <v>435</v>
      </c>
      <c r="C75" s="24" t="s">
        <v>50</v>
      </c>
      <c r="D75" s="24" t="s">
        <v>332</v>
      </c>
      <c r="E75" s="29">
        <v>80010</v>
      </c>
      <c r="F75" s="24" t="s">
        <v>333</v>
      </c>
      <c r="G75" s="24" t="s">
        <v>224</v>
      </c>
      <c r="H75" s="24" t="s">
        <v>208</v>
      </c>
      <c r="I75" s="25">
        <v>78.292307692307702</v>
      </c>
      <c r="J75" s="26">
        <v>87.871559633027601</v>
      </c>
      <c r="K75" s="26">
        <v>6.1681957186544336</v>
      </c>
      <c r="L75" s="26">
        <v>19.275229357798167</v>
      </c>
      <c r="M75" s="26">
        <v>15.174311926605498</v>
      </c>
      <c r="N75" s="26">
        <v>27.944954128440372</v>
      </c>
      <c r="O75" s="26">
        <v>75.363914373088747</v>
      </c>
      <c r="P75" s="26">
        <v>10.905198776758407</v>
      </c>
      <c r="Q75" s="26">
        <v>14.275229357798166</v>
      </c>
      <c r="R75" s="26">
        <v>23.342507645259968</v>
      </c>
      <c r="S75" s="26">
        <v>7.0519877675840998</v>
      </c>
      <c r="T75" s="26">
        <v>8.5504587155963332</v>
      </c>
      <c r="U75" s="26">
        <v>89.544342507645311</v>
      </c>
      <c r="V75" s="26">
        <v>82.079510703364065</v>
      </c>
      <c r="W75" s="27">
        <v>432</v>
      </c>
      <c r="X75" s="24" t="s">
        <v>209</v>
      </c>
      <c r="Y75" s="30" t="s">
        <v>210</v>
      </c>
      <c r="Z75" s="24" t="s">
        <v>211</v>
      </c>
      <c r="AA75" s="28" t="s">
        <v>334</v>
      </c>
      <c r="AB75" s="24" t="s">
        <v>238</v>
      </c>
      <c r="AC75" s="30"/>
      <c r="AD75" s="30"/>
      <c r="AE75" s="36"/>
    </row>
    <row r="76" spans="1:31" ht="15.75" x14ac:dyDescent="0.25">
      <c r="A76" s="23" t="s">
        <v>15</v>
      </c>
      <c r="B76" s="24" t="s">
        <v>381</v>
      </c>
      <c r="C76" s="24" t="s">
        <v>382</v>
      </c>
      <c r="D76" s="24" t="s">
        <v>240</v>
      </c>
      <c r="E76" s="29">
        <v>85232</v>
      </c>
      <c r="F76" s="24" t="s">
        <v>241</v>
      </c>
      <c r="G76" s="24" t="s">
        <v>407</v>
      </c>
      <c r="H76" s="24" t="s">
        <v>5</v>
      </c>
      <c r="I76" s="25">
        <v>1.7853978531265999</v>
      </c>
      <c r="J76" s="26">
        <v>64.773700305812937</v>
      </c>
      <c r="K76" s="26">
        <v>36.50764525994191</v>
      </c>
      <c r="L76" s="26">
        <v>16.067278287461463</v>
      </c>
      <c r="M76" s="26">
        <v>10.333333333333176</v>
      </c>
      <c r="N76" s="26">
        <v>61.46483180428217</v>
      </c>
      <c r="O76" s="26">
        <v>54.920489296638976</v>
      </c>
      <c r="P76" s="26">
        <v>4.3302752293577607</v>
      </c>
      <c r="Q76" s="26">
        <v>6.9663608562690307</v>
      </c>
      <c r="R76" s="26">
        <v>16.541284403669458</v>
      </c>
      <c r="S76" s="26">
        <v>12.752293577981389</v>
      </c>
      <c r="T76" s="26">
        <v>36.477064220185937</v>
      </c>
      <c r="U76" s="26">
        <v>61.911314984712178</v>
      </c>
      <c r="V76" s="26">
        <v>108.69418960243611</v>
      </c>
      <c r="W76" s="27">
        <v>374</v>
      </c>
      <c r="X76" s="24" t="s">
        <v>238</v>
      </c>
      <c r="Y76" s="30"/>
      <c r="Z76" s="24"/>
      <c r="AA76" s="28"/>
      <c r="AB76" s="24" t="s">
        <v>238</v>
      </c>
      <c r="AC76" s="30"/>
      <c r="AD76" s="30"/>
      <c r="AE76" s="36"/>
    </row>
    <row r="77" spans="1:31" ht="15.75" x14ac:dyDescent="0.25">
      <c r="A77" s="23" t="s">
        <v>442</v>
      </c>
      <c r="B77" s="24" t="s">
        <v>443</v>
      </c>
      <c r="C77" s="24" t="s">
        <v>444</v>
      </c>
      <c r="D77" s="24" t="s">
        <v>350</v>
      </c>
      <c r="E77" s="29">
        <v>18428</v>
      </c>
      <c r="F77" s="24" t="s">
        <v>351</v>
      </c>
      <c r="G77" s="24" t="s">
        <v>236</v>
      </c>
      <c r="H77" s="24" t="s">
        <v>5</v>
      </c>
      <c r="I77" s="25">
        <v>68.838909541511796</v>
      </c>
      <c r="J77" s="26">
        <v>49.755351681957194</v>
      </c>
      <c r="K77" s="26">
        <v>18.296636085626922</v>
      </c>
      <c r="L77" s="26">
        <v>36.201834862385319</v>
      </c>
      <c r="M77" s="26">
        <v>22.899082568807327</v>
      </c>
      <c r="N77" s="26">
        <v>77.795107033639184</v>
      </c>
      <c r="O77" s="26">
        <v>49.284403669724767</v>
      </c>
      <c r="P77" s="26">
        <v>1.5290519877675841E-2</v>
      </c>
      <c r="Q77" s="26">
        <v>5.8103975535168197E-2</v>
      </c>
      <c r="R77" s="26">
        <v>37.370030581039742</v>
      </c>
      <c r="S77" s="26">
        <v>15.009174311926602</v>
      </c>
      <c r="T77" s="26">
        <v>25.379204892966367</v>
      </c>
      <c r="U77" s="26">
        <v>49.39449541284403</v>
      </c>
      <c r="V77" s="26">
        <v>74.321100917431295</v>
      </c>
      <c r="W77" s="27"/>
      <c r="X77" s="24" t="s">
        <v>209</v>
      </c>
      <c r="Y77" s="30" t="s">
        <v>293</v>
      </c>
      <c r="Z77" s="24" t="s">
        <v>211</v>
      </c>
      <c r="AA77" s="28" t="s">
        <v>304</v>
      </c>
      <c r="AB77" s="24" t="s">
        <v>209</v>
      </c>
      <c r="AC77" s="30" t="s">
        <v>293</v>
      </c>
      <c r="AD77" s="30" t="s">
        <v>211</v>
      </c>
      <c r="AE77" s="36">
        <v>43146</v>
      </c>
    </row>
    <row r="78" spans="1:31" ht="15.75" x14ac:dyDescent="0.25">
      <c r="A78" s="23" t="s">
        <v>457</v>
      </c>
      <c r="B78" s="24" t="s">
        <v>458</v>
      </c>
      <c r="C78" s="24" t="s">
        <v>459</v>
      </c>
      <c r="D78" s="24" t="s">
        <v>35</v>
      </c>
      <c r="E78" s="29">
        <v>2747</v>
      </c>
      <c r="F78" s="24" t="s">
        <v>394</v>
      </c>
      <c r="G78" s="24" t="s">
        <v>236</v>
      </c>
      <c r="H78" s="24" t="s">
        <v>208</v>
      </c>
      <c r="I78" s="25">
        <v>99.063524590163894</v>
      </c>
      <c r="J78" s="26">
        <v>16.149847094801224</v>
      </c>
      <c r="K78" s="26">
        <v>12.272171253822631</v>
      </c>
      <c r="L78" s="26">
        <v>37.984709480122348</v>
      </c>
      <c r="M78" s="26">
        <v>57.892966360856299</v>
      </c>
      <c r="N78" s="26">
        <v>75.076452599388446</v>
      </c>
      <c r="O78" s="26">
        <v>41.048929663608604</v>
      </c>
      <c r="P78" s="26">
        <v>5.5963302752293558</v>
      </c>
      <c r="Q78" s="26">
        <v>2.5779816513761467</v>
      </c>
      <c r="R78" s="26">
        <v>55.287461773700336</v>
      </c>
      <c r="S78" s="26">
        <v>9.3516819571865444</v>
      </c>
      <c r="T78" s="26">
        <v>15.914373088685013</v>
      </c>
      <c r="U78" s="26">
        <v>43.746177370030637</v>
      </c>
      <c r="V78" s="26">
        <v>72.042813455657495</v>
      </c>
      <c r="W78" s="27"/>
      <c r="X78" s="24" t="s">
        <v>209</v>
      </c>
      <c r="Y78" s="30" t="s">
        <v>293</v>
      </c>
      <c r="Z78" s="24" t="s">
        <v>211</v>
      </c>
      <c r="AA78" s="28" t="s">
        <v>264</v>
      </c>
      <c r="AB78" s="24" t="s">
        <v>209</v>
      </c>
      <c r="AC78" s="30" t="s">
        <v>293</v>
      </c>
      <c r="AD78" s="30" t="s">
        <v>211</v>
      </c>
      <c r="AE78" s="36">
        <v>43230</v>
      </c>
    </row>
    <row r="79" spans="1:31" ht="15.75" x14ac:dyDescent="0.25">
      <c r="A79" s="23" t="s">
        <v>462</v>
      </c>
      <c r="B79" s="24" t="s">
        <v>463</v>
      </c>
      <c r="C79" s="24" t="s">
        <v>464</v>
      </c>
      <c r="D79" s="24" t="s">
        <v>419</v>
      </c>
      <c r="E79" s="29">
        <v>62992</v>
      </c>
      <c r="F79" s="24" t="s">
        <v>43</v>
      </c>
      <c r="G79" s="24" t="s">
        <v>236</v>
      </c>
      <c r="H79" s="24" t="s">
        <v>208</v>
      </c>
      <c r="I79" s="25">
        <v>24.5107270560191</v>
      </c>
      <c r="J79" s="26">
        <v>40.036697247706499</v>
      </c>
      <c r="K79" s="26">
        <v>17.951070336391432</v>
      </c>
      <c r="L79" s="26">
        <v>32.718654434250816</v>
      </c>
      <c r="M79" s="26">
        <v>29.547400611620869</v>
      </c>
      <c r="N79" s="26">
        <v>74.877675840978767</v>
      </c>
      <c r="O79" s="26">
        <v>36.281345565749284</v>
      </c>
      <c r="P79" s="26">
        <v>4.6299694189602443</v>
      </c>
      <c r="Q79" s="26">
        <v>4.4648318042813422</v>
      </c>
      <c r="R79" s="26">
        <v>31.975535168195844</v>
      </c>
      <c r="S79" s="26">
        <v>24.657492354740121</v>
      </c>
      <c r="T79" s="26">
        <v>23.406727828746174</v>
      </c>
      <c r="U79" s="26">
        <v>40.214067278287544</v>
      </c>
      <c r="V79" s="26">
        <v>78.039755351681819</v>
      </c>
      <c r="W79" s="27"/>
      <c r="X79" s="24" t="s">
        <v>209</v>
      </c>
      <c r="Y79" s="30" t="s">
        <v>210</v>
      </c>
      <c r="Z79" s="24" t="s">
        <v>211</v>
      </c>
      <c r="AA79" s="28" t="s">
        <v>926</v>
      </c>
      <c r="AB79" s="24" t="s">
        <v>209</v>
      </c>
      <c r="AC79" s="30" t="s">
        <v>210</v>
      </c>
      <c r="AD79" s="30" t="s">
        <v>211</v>
      </c>
      <c r="AE79" s="36">
        <v>43538</v>
      </c>
    </row>
    <row r="80" spans="1:31" ht="15.75" x14ac:dyDescent="0.25">
      <c r="A80" s="23" t="s">
        <v>34</v>
      </c>
      <c r="B80" s="24" t="s">
        <v>491</v>
      </c>
      <c r="C80" s="24" t="s">
        <v>492</v>
      </c>
      <c r="D80" s="24" t="s">
        <v>363</v>
      </c>
      <c r="E80" s="29">
        <v>10924</v>
      </c>
      <c r="F80" s="24" t="s">
        <v>402</v>
      </c>
      <c r="G80" s="24" t="s">
        <v>236</v>
      </c>
      <c r="H80" s="24" t="s">
        <v>208</v>
      </c>
      <c r="I80" s="25">
        <v>88.844339622641499</v>
      </c>
      <c r="J80" s="26">
        <v>27.663608562691135</v>
      </c>
      <c r="K80" s="26">
        <v>22.78593272171253</v>
      </c>
      <c r="L80" s="26">
        <v>37.957186544342505</v>
      </c>
      <c r="M80" s="26">
        <v>17.345565749235472</v>
      </c>
      <c r="N80" s="26">
        <v>66.516819571865497</v>
      </c>
      <c r="O80" s="26">
        <v>37.455657492354746</v>
      </c>
      <c r="P80" s="26">
        <v>0.28134556574923547</v>
      </c>
      <c r="Q80" s="26">
        <v>1.4984709480122325</v>
      </c>
      <c r="R80" s="26">
        <v>23.088685015290512</v>
      </c>
      <c r="S80" s="26">
        <v>15.792048929663606</v>
      </c>
      <c r="T80" s="26">
        <v>29.211009174311929</v>
      </c>
      <c r="U80" s="26">
        <v>37.660550458715598</v>
      </c>
      <c r="V80" s="26">
        <v>46.944954128440422</v>
      </c>
      <c r="W80" s="27"/>
      <c r="X80" s="24" t="s">
        <v>209</v>
      </c>
      <c r="Y80" s="30" t="s">
        <v>345</v>
      </c>
      <c r="Z80" s="24" t="s">
        <v>368</v>
      </c>
      <c r="AA80" s="28" t="s">
        <v>490</v>
      </c>
      <c r="AB80" s="24" t="s">
        <v>209</v>
      </c>
      <c r="AC80" s="30" t="s">
        <v>345</v>
      </c>
      <c r="AD80" s="30" t="s">
        <v>368</v>
      </c>
      <c r="AE80" s="36">
        <v>43209</v>
      </c>
    </row>
    <row r="81" spans="1:31" ht="15.75" x14ac:dyDescent="0.25">
      <c r="A81" s="23" t="s">
        <v>485</v>
      </c>
      <c r="B81" s="24" t="s">
        <v>486</v>
      </c>
      <c r="C81" s="24" t="s">
        <v>33</v>
      </c>
      <c r="D81" s="24" t="s">
        <v>460</v>
      </c>
      <c r="E81" s="29">
        <v>45011</v>
      </c>
      <c r="F81" s="24" t="s">
        <v>461</v>
      </c>
      <c r="G81" s="24" t="s">
        <v>236</v>
      </c>
      <c r="H81" s="24" t="s">
        <v>208</v>
      </c>
      <c r="I81" s="25">
        <v>45.270921985815598</v>
      </c>
      <c r="J81" s="26">
        <v>30.825688073394502</v>
      </c>
      <c r="K81" s="26">
        <v>25.516819571865462</v>
      </c>
      <c r="L81" s="26">
        <v>31.46177370030583</v>
      </c>
      <c r="M81" s="26">
        <v>14.192660550458712</v>
      </c>
      <c r="N81" s="26">
        <v>62.984709480122334</v>
      </c>
      <c r="O81" s="26">
        <v>30.938837920489302</v>
      </c>
      <c r="P81" s="26">
        <v>3.452599388379205</v>
      </c>
      <c r="Q81" s="26">
        <v>4.620795107033639</v>
      </c>
      <c r="R81" s="26">
        <v>17.685015290519875</v>
      </c>
      <c r="S81" s="26">
        <v>21.269113149847101</v>
      </c>
      <c r="T81" s="26">
        <v>28.480122324159048</v>
      </c>
      <c r="U81" s="26">
        <v>34.562691131498504</v>
      </c>
      <c r="V81" s="26">
        <v>37.981651376146822</v>
      </c>
      <c r="W81" s="27"/>
      <c r="X81" s="24" t="s">
        <v>209</v>
      </c>
      <c r="Y81" s="30" t="s">
        <v>345</v>
      </c>
      <c r="Z81" s="24" t="s">
        <v>368</v>
      </c>
      <c r="AA81" s="28" t="s">
        <v>411</v>
      </c>
      <c r="AB81" s="24" t="s">
        <v>209</v>
      </c>
      <c r="AC81" s="30" t="s">
        <v>345</v>
      </c>
      <c r="AD81" s="30" t="s">
        <v>368</v>
      </c>
      <c r="AE81" s="36">
        <v>43154</v>
      </c>
    </row>
    <row r="82" spans="1:31" ht="15.75" x14ac:dyDescent="0.25">
      <c r="A82" s="23" t="s">
        <v>481</v>
      </c>
      <c r="B82" s="24" t="s">
        <v>482</v>
      </c>
      <c r="C82" s="24" t="s">
        <v>483</v>
      </c>
      <c r="D82" s="24" t="s">
        <v>484</v>
      </c>
      <c r="E82" s="29">
        <v>41005</v>
      </c>
      <c r="F82" s="24" t="s">
        <v>43</v>
      </c>
      <c r="G82" s="24" t="s">
        <v>292</v>
      </c>
      <c r="H82" s="24" t="s">
        <v>208</v>
      </c>
      <c r="I82" s="25">
        <v>40.010126582278502</v>
      </c>
      <c r="J82" s="26">
        <v>24.504587155963332</v>
      </c>
      <c r="K82" s="26">
        <v>15.229357798165132</v>
      </c>
      <c r="L82" s="26">
        <v>33.198776758409814</v>
      </c>
      <c r="M82" s="26">
        <v>28.146788990825687</v>
      </c>
      <c r="N82" s="26">
        <v>74.709480122324095</v>
      </c>
      <c r="O82" s="26">
        <v>24.388379204892985</v>
      </c>
      <c r="P82" s="26">
        <v>1.2996941896024465</v>
      </c>
      <c r="Q82" s="26">
        <v>0.68195718654434256</v>
      </c>
      <c r="R82" s="26">
        <v>28.74923547400611</v>
      </c>
      <c r="S82" s="26">
        <v>27.504587155963325</v>
      </c>
      <c r="T82" s="26">
        <v>19.969418960244649</v>
      </c>
      <c r="U82" s="26">
        <v>24.856269113149864</v>
      </c>
      <c r="V82" s="26">
        <v>49.752293577981717</v>
      </c>
      <c r="W82" s="27"/>
      <c r="X82" s="24" t="s">
        <v>209</v>
      </c>
      <c r="Y82" s="30" t="s">
        <v>345</v>
      </c>
      <c r="Z82" s="24" t="s">
        <v>346</v>
      </c>
      <c r="AA82" s="28" t="s">
        <v>925</v>
      </c>
      <c r="AB82" s="24" t="s">
        <v>209</v>
      </c>
      <c r="AC82" s="30" t="s">
        <v>345</v>
      </c>
      <c r="AD82" s="30" t="s">
        <v>368</v>
      </c>
      <c r="AE82" s="36">
        <v>43531</v>
      </c>
    </row>
    <row r="83" spans="1:31" ht="15.75" x14ac:dyDescent="0.25">
      <c r="A83" s="23" t="s">
        <v>487</v>
      </c>
      <c r="B83" s="24" t="s">
        <v>488</v>
      </c>
      <c r="C83" s="24" t="s">
        <v>489</v>
      </c>
      <c r="D83" s="24" t="s">
        <v>465</v>
      </c>
      <c r="E83" s="29">
        <v>53039</v>
      </c>
      <c r="F83" s="24" t="s">
        <v>43</v>
      </c>
      <c r="G83" s="24" t="s">
        <v>292</v>
      </c>
      <c r="H83" s="24" t="s">
        <v>208</v>
      </c>
      <c r="I83" s="25">
        <v>28.363095238095202</v>
      </c>
      <c r="J83" s="26">
        <v>13.110091743119263</v>
      </c>
      <c r="K83" s="26">
        <v>11.045871559633019</v>
      </c>
      <c r="L83" s="26">
        <v>40.409785932721739</v>
      </c>
      <c r="M83" s="26">
        <v>29.727828746177398</v>
      </c>
      <c r="N83" s="26">
        <v>71.103975535168317</v>
      </c>
      <c r="O83" s="26">
        <v>18.21100917431194</v>
      </c>
      <c r="P83" s="26">
        <v>4.2752293577981648</v>
      </c>
      <c r="Q83" s="26">
        <v>0.70336391437308865</v>
      </c>
      <c r="R83" s="26">
        <v>22.990825688073404</v>
      </c>
      <c r="S83" s="26">
        <v>33.067278287461818</v>
      </c>
      <c r="T83" s="26">
        <v>18.354740061162076</v>
      </c>
      <c r="U83" s="26">
        <v>19.880733944954155</v>
      </c>
      <c r="V83" s="26">
        <v>48.03669724770652</v>
      </c>
      <c r="W83" s="27"/>
      <c r="X83" s="24" t="s">
        <v>209</v>
      </c>
      <c r="Y83" s="30" t="s">
        <v>345</v>
      </c>
      <c r="Z83" s="24" t="s">
        <v>368</v>
      </c>
      <c r="AA83" s="28" t="s">
        <v>490</v>
      </c>
      <c r="AB83" s="24" t="s">
        <v>209</v>
      </c>
      <c r="AC83" s="30" t="s">
        <v>345</v>
      </c>
      <c r="AD83" s="30" t="s">
        <v>368</v>
      </c>
      <c r="AE83" s="36">
        <v>43209</v>
      </c>
    </row>
    <row r="84" spans="1:31" ht="15.75" x14ac:dyDescent="0.25">
      <c r="A84" s="23" t="s">
        <v>478</v>
      </c>
      <c r="B84" s="24" t="s">
        <v>479</v>
      </c>
      <c r="C84" s="24" t="s">
        <v>480</v>
      </c>
      <c r="D84" s="24" t="s">
        <v>419</v>
      </c>
      <c r="E84" s="29">
        <v>60901</v>
      </c>
      <c r="F84" s="24" t="s">
        <v>43</v>
      </c>
      <c r="G84" s="24" t="s">
        <v>292</v>
      </c>
      <c r="H84" s="24" t="s">
        <v>5</v>
      </c>
      <c r="I84" s="25">
        <v>11.7736220472441</v>
      </c>
      <c r="J84" s="26">
        <v>33.801223241590264</v>
      </c>
      <c r="K84" s="26">
        <v>12.727828746177346</v>
      </c>
      <c r="L84" s="26">
        <v>17.13149847094801</v>
      </c>
      <c r="M84" s="26">
        <v>28.477064220183614</v>
      </c>
      <c r="N84" s="26">
        <v>62.119266055046204</v>
      </c>
      <c r="O84" s="26">
        <v>29.519877675841034</v>
      </c>
      <c r="P84" s="26">
        <v>0.34250764525993882</v>
      </c>
      <c r="Q84" s="26">
        <v>0.15596330275229361</v>
      </c>
      <c r="R84" s="26">
        <v>33.556574923547544</v>
      </c>
      <c r="S84" s="26">
        <v>17.201834862385304</v>
      </c>
      <c r="T84" s="26">
        <v>11.761467889908227</v>
      </c>
      <c r="U84" s="26">
        <v>29.617737003058153</v>
      </c>
      <c r="V84" s="26">
        <v>66.489296636085953</v>
      </c>
      <c r="W84" s="27"/>
      <c r="X84" s="24" t="s">
        <v>209</v>
      </c>
      <c r="Y84" s="30" t="s">
        <v>345</v>
      </c>
      <c r="Z84" s="24" t="s">
        <v>368</v>
      </c>
      <c r="AA84" s="28" t="s">
        <v>383</v>
      </c>
      <c r="AB84" s="24" t="s">
        <v>209</v>
      </c>
      <c r="AC84" s="30" t="s">
        <v>345</v>
      </c>
      <c r="AD84" s="30" t="s">
        <v>368</v>
      </c>
      <c r="AE84" s="36">
        <v>43202</v>
      </c>
    </row>
    <row r="85" spans="1:31" ht="15.75" x14ac:dyDescent="0.25">
      <c r="A85" s="23" t="s">
        <v>502</v>
      </c>
      <c r="B85" s="24" t="s">
        <v>503</v>
      </c>
      <c r="C85" s="24" t="s">
        <v>504</v>
      </c>
      <c r="D85" s="24" t="s">
        <v>432</v>
      </c>
      <c r="E85" s="29">
        <v>74647</v>
      </c>
      <c r="F85" s="24" t="s">
        <v>314</v>
      </c>
      <c r="G85" s="24" t="s">
        <v>236</v>
      </c>
      <c r="H85" s="24" t="s">
        <v>11</v>
      </c>
      <c r="I85" s="25">
        <v>77.584070796460196</v>
      </c>
      <c r="J85" s="26">
        <v>57.033639143730916</v>
      </c>
      <c r="K85" s="26">
        <v>17.538226299694198</v>
      </c>
      <c r="L85" s="26">
        <v>7.1100917431192654</v>
      </c>
      <c r="M85" s="26">
        <v>6.7339449541284413</v>
      </c>
      <c r="N85" s="26">
        <v>19.370030581039753</v>
      </c>
      <c r="O85" s="26">
        <v>8.5259938837920473</v>
      </c>
      <c r="P85" s="26">
        <v>13.623853211009175</v>
      </c>
      <c r="Q85" s="26">
        <v>46.896024464831797</v>
      </c>
      <c r="R85" s="26">
        <v>12.357798165137613</v>
      </c>
      <c r="S85" s="26">
        <v>7.4770642201834852</v>
      </c>
      <c r="T85" s="26">
        <v>13.159021406727827</v>
      </c>
      <c r="U85" s="26">
        <v>55.422018348623872</v>
      </c>
      <c r="V85" s="26">
        <v>40.581039755351711</v>
      </c>
      <c r="W85" s="27"/>
      <c r="X85" s="24" t="s">
        <v>209</v>
      </c>
      <c r="Y85" s="30" t="s">
        <v>210</v>
      </c>
      <c r="Z85" s="24" t="s">
        <v>211</v>
      </c>
      <c r="AA85" s="28" t="s">
        <v>289</v>
      </c>
      <c r="AB85" s="24" t="s">
        <v>238</v>
      </c>
      <c r="AC85" s="30"/>
      <c r="AD85" s="30"/>
      <c r="AE85" s="36"/>
    </row>
    <row r="86" spans="1:31" ht="15.75" x14ac:dyDescent="0.25">
      <c r="A86" s="23" t="s">
        <v>470</v>
      </c>
      <c r="B86" s="24" t="s">
        <v>471</v>
      </c>
      <c r="C86" s="24" t="s">
        <v>472</v>
      </c>
      <c r="D86" s="24" t="s">
        <v>46</v>
      </c>
      <c r="E86" s="29">
        <v>21863</v>
      </c>
      <c r="F86" s="24" t="s">
        <v>473</v>
      </c>
      <c r="G86" s="24" t="s">
        <v>236</v>
      </c>
      <c r="H86" s="24" t="s">
        <v>208</v>
      </c>
      <c r="I86" s="25">
        <v>79.350446428571402</v>
      </c>
      <c r="J86" s="26">
        <v>22.49235474006117</v>
      </c>
      <c r="K86" s="26">
        <v>7.6513761467889925</v>
      </c>
      <c r="L86" s="26">
        <v>22.281345565749234</v>
      </c>
      <c r="M86" s="26">
        <v>34.840978593272162</v>
      </c>
      <c r="N86" s="26">
        <v>55.886850152905211</v>
      </c>
      <c r="O86" s="26">
        <v>25.544342507645275</v>
      </c>
      <c r="P86" s="26">
        <v>3.3547400611620795</v>
      </c>
      <c r="Q86" s="26">
        <v>2.4801223241590216</v>
      </c>
      <c r="R86" s="26">
        <v>31.614678899082556</v>
      </c>
      <c r="S86" s="26">
        <v>14.834862385321104</v>
      </c>
      <c r="T86" s="26">
        <v>12.957186544342512</v>
      </c>
      <c r="U86" s="26">
        <v>27.859327217125404</v>
      </c>
      <c r="V86" s="26">
        <v>58.715596330275268</v>
      </c>
      <c r="W86" s="27"/>
      <c r="X86" s="24" t="s">
        <v>209</v>
      </c>
      <c r="Y86" s="30" t="s">
        <v>345</v>
      </c>
      <c r="Z86" s="24" t="s">
        <v>368</v>
      </c>
      <c r="AA86" s="28" t="s">
        <v>474</v>
      </c>
      <c r="AB86" s="24" t="s">
        <v>209</v>
      </c>
      <c r="AC86" s="30" t="s">
        <v>345</v>
      </c>
      <c r="AD86" s="30" t="s">
        <v>368</v>
      </c>
      <c r="AE86" s="36">
        <v>43328</v>
      </c>
    </row>
    <row r="87" spans="1:31" ht="15.75" x14ac:dyDescent="0.25">
      <c r="A87" s="23" t="s">
        <v>505</v>
      </c>
      <c r="B87" s="24" t="s">
        <v>506</v>
      </c>
      <c r="C87" s="24" t="s">
        <v>507</v>
      </c>
      <c r="D87" s="24" t="s">
        <v>329</v>
      </c>
      <c r="E87" s="29">
        <v>32327</v>
      </c>
      <c r="F87" s="24" t="s">
        <v>36</v>
      </c>
      <c r="G87" s="24" t="s">
        <v>236</v>
      </c>
      <c r="H87" s="24" t="s">
        <v>5</v>
      </c>
      <c r="I87" s="25">
        <v>37.735714285714302</v>
      </c>
      <c r="J87" s="26">
        <v>10.388379204892955</v>
      </c>
      <c r="K87" s="26">
        <v>10.495412844036654</v>
      </c>
      <c r="L87" s="26">
        <v>26.342507645259939</v>
      </c>
      <c r="M87" s="26">
        <v>35.103975535168217</v>
      </c>
      <c r="N87" s="26">
        <v>65.923547400611739</v>
      </c>
      <c r="O87" s="26">
        <v>16.406727828746135</v>
      </c>
      <c r="P87" s="26">
        <v>0</v>
      </c>
      <c r="Q87" s="26">
        <v>0</v>
      </c>
      <c r="R87" s="26">
        <v>41.899082568807387</v>
      </c>
      <c r="S87" s="26">
        <v>14.051987767584087</v>
      </c>
      <c r="T87" s="26">
        <v>10.400611620795095</v>
      </c>
      <c r="U87" s="26">
        <v>15.978593272171205</v>
      </c>
      <c r="V87" s="26">
        <v>70.773700305810436</v>
      </c>
      <c r="W87" s="27"/>
      <c r="X87" s="24" t="s">
        <v>209</v>
      </c>
      <c r="Y87" s="30" t="s">
        <v>345</v>
      </c>
      <c r="Z87" s="24" t="s">
        <v>368</v>
      </c>
      <c r="AA87" s="28" t="s">
        <v>352</v>
      </c>
      <c r="AB87" s="24" t="s">
        <v>209</v>
      </c>
      <c r="AC87" s="30" t="s">
        <v>345</v>
      </c>
      <c r="AD87" s="30" t="s">
        <v>368</v>
      </c>
      <c r="AE87" s="36">
        <v>43447</v>
      </c>
    </row>
    <row r="88" spans="1:31" ht="15.75" x14ac:dyDescent="0.25">
      <c r="A88" s="23" t="s">
        <v>31</v>
      </c>
      <c r="B88" s="24" t="s">
        <v>501</v>
      </c>
      <c r="C88" s="24" t="s">
        <v>370</v>
      </c>
      <c r="D88" s="24" t="s">
        <v>222</v>
      </c>
      <c r="E88" s="29">
        <v>78046</v>
      </c>
      <c r="F88" s="24" t="s">
        <v>223</v>
      </c>
      <c r="G88" s="24" t="s">
        <v>207</v>
      </c>
      <c r="H88" s="24" t="s">
        <v>208</v>
      </c>
      <c r="I88" s="25">
        <v>38.679841897233203</v>
      </c>
      <c r="J88" s="26">
        <v>27.669724770642201</v>
      </c>
      <c r="K88" s="26">
        <v>3.7675840978593289</v>
      </c>
      <c r="L88" s="26">
        <v>14.076452599388372</v>
      </c>
      <c r="M88" s="26">
        <v>34.871559633027509</v>
      </c>
      <c r="N88" s="26">
        <v>37.409785932721782</v>
      </c>
      <c r="O88" s="26">
        <v>37.538226299694202</v>
      </c>
      <c r="P88" s="26">
        <v>2.7492354740061158</v>
      </c>
      <c r="Q88" s="26">
        <v>2.6880733944954129</v>
      </c>
      <c r="R88" s="26">
        <v>17.813455657492355</v>
      </c>
      <c r="S88" s="26">
        <v>9.712538226299694</v>
      </c>
      <c r="T88" s="26">
        <v>12.629969418960243</v>
      </c>
      <c r="U88" s="26">
        <v>40.229357798165132</v>
      </c>
      <c r="V88" s="26">
        <v>50.125382262996986</v>
      </c>
      <c r="W88" s="27"/>
      <c r="X88" s="24" t="s">
        <v>209</v>
      </c>
      <c r="Y88" s="30" t="s">
        <v>210</v>
      </c>
      <c r="Z88" s="24" t="s">
        <v>211</v>
      </c>
      <c r="AA88" s="28" t="s">
        <v>249</v>
      </c>
      <c r="AB88" s="24" t="s">
        <v>209</v>
      </c>
      <c r="AC88" s="30" t="s">
        <v>210</v>
      </c>
      <c r="AD88" s="30" t="s">
        <v>211</v>
      </c>
      <c r="AE88" s="36">
        <v>43503</v>
      </c>
    </row>
    <row r="89" spans="1:31" ht="15.75" x14ac:dyDescent="0.25">
      <c r="A89" s="23" t="s">
        <v>512</v>
      </c>
      <c r="B89" s="24" t="s">
        <v>513</v>
      </c>
      <c r="C89" s="24" t="s">
        <v>514</v>
      </c>
      <c r="D89" s="24" t="s">
        <v>515</v>
      </c>
      <c r="E89" s="29">
        <v>3820</v>
      </c>
      <c r="F89" s="24" t="s">
        <v>394</v>
      </c>
      <c r="G89" s="24" t="s">
        <v>236</v>
      </c>
      <c r="H89" s="24" t="s">
        <v>208</v>
      </c>
      <c r="I89" s="25">
        <v>18.793663060278199</v>
      </c>
      <c r="J89" s="26">
        <v>25.629969418960243</v>
      </c>
      <c r="K89" s="26">
        <v>8.5045871559632893</v>
      </c>
      <c r="L89" s="26">
        <v>19.33027522935777</v>
      </c>
      <c r="M89" s="26">
        <v>25.541284403669735</v>
      </c>
      <c r="N89" s="26">
        <v>40.003058103975519</v>
      </c>
      <c r="O89" s="26">
        <v>30.57492354740063</v>
      </c>
      <c r="P89" s="26">
        <v>4.2201834862385326</v>
      </c>
      <c r="Q89" s="26">
        <v>4.2079510703363896</v>
      </c>
      <c r="R89" s="26">
        <v>25.963302752293593</v>
      </c>
      <c r="S89" s="26">
        <v>8.9204892966360774</v>
      </c>
      <c r="T89" s="26">
        <v>9.5321100917431032</v>
      </c>
      <c r="U89" s="26">
        <v>34.590214067278318</v>
      </c>
      <c r="V89" s="26">
        <v>53.486238532109951</v>
      </c>
      <c r="W89" s="27"/>
      <c r="X89" s="24" t="s">
        <v>209</v>
      </c>
      <c r="Y89" s="30" t="s">
        <v>293</v>
      </c>
      <c r="Z89" s="24" t="s">
        <v>211</v>
      </c>
      <c r="AA89" s="28" t="s">
        <v>298</v>
      </c>
      <c r="AB89" s="24" t="s">
        <v>209</v>
      </c>
      <c r="AC89" s="30" t="s">
        <v>293</v>
      </c>
      <c r="AD89" s="30" t="s">
        <v>211</v>
      </c>
      <c r="AE89" s="36">
        <v>43447</v>
      </c>
    </row>
    <row r="90" spans="1:31" ht="15.75" x14ac:dyDescent="0.25">
      <c r="A90" s="23" t="s">
        <v>7</v>
      </c>
      <c r="B90" s="24" t="s">
        <v>493</v>
      </c>
      <c r="C90" s="24" t="s">
        <v>494</v>
      </c>
      <c r="D90" s="24" t="s">
        <v>234</v>
      </c>
      <c r="E90" s="29">
        <v>70655</v>
      </c>
      <c r="F90" s="24" t="s">
        <v>235</v>
      </c>
      <c r="G90" s="24" t="s">
        <v>236</v>
      </c>
      <c r="H90" s="24" t="s">
        <v>5</v>
      </c>
      <c r="I90" s="25">
        <v>77.196610169491507</v>
      </c>
      <c r="J90" s="26">
        <v>44.042813455657488</v>
      </c>
      <c r="K90" s="26">
        <v>31.486238532110107</v>
      </c>
      <c r="L90" s="26">
        <v>2.3302752293577984</v>
      </c>
      <c r="M90" s="26">
        <v>1.0856269113149848</v>
      </c>
      <c r="N90" s="26">
        <v>13.599388379204898</v>
      </c>
      <c r="O90" s="26">
        <v>65.345565749235462</v>
      </c>
      <c r="P90" s="26">
        <v>0</v>
      </c>
      <c r="Q90" s="26">
        <v>0</v>
      </c>
      <c r="R90" s="26">
        <v>3.4342507645259936</v>
      </c>
      <c r="S90" s="26">
        <v>1.2507645259938835</v>
      </c>
      <c r="T90" s="26">
        <v>9.5259938837920508</v>
      </c>
      <c r="U90" s="26">
        <v>64.733944954128432</v>
      </c>
      <c r="V90" s="26">
        <v>43.281345565749263</v>
      </c>
      <c r="W90" s="27"/>
      <c r="X90" s="24" t="s">
        <v>209</v>
      </c>
      <c r="Y90" s="30" t="s">
        <v>210</v>
      </c>
      <c r="Z90" s="24" t="s">
        <v>211</v>
      </c>
      <c r="AA90" s="28" t="s">
        <v>495</v>
      </c>
      <c r="AB90" s="24" t="s">
        <v>209</v>
      </c>
      <c r="AC90" s="30" t="s">
        <v>210</v>
      </c>
      <c r="AD90" s="30" t="s">
        <v>374</v>
      </c>
      <c r="AE90" s="36">
        <v>43510</v>
      </c>
    </row>
    <row r="91" spans="1:31" ht="15.75" x14ac:dyDescent="0.25">
      <c r="A91" s="23" t="s">
        <v>517</v>
      </c>
      <c r="B91" s="24" t="s">
        <v>518</v>
      </c>
      <c r="C91" s="24" t="s">
        <v>446</v>
      </c>
      <c r="D91" s="24" t="s">
        <v>440</v>
      </c>
      <c r="E91" s="29">
        <v>89060</v>
      </c>
      <c r="F91" s="24" t="s">
        <v>441</v>
      </c>
      <c r="G91" s="24" t="s">
        <v>236</v>
      </c>
      <c r="H91" s="24" t="s">
        <v>208</v>
      </c>
      <c r="I91" s="25">
        <v>51.634271099744197</v>
      </c>
      <c r="J91" s="26">
        <v>19.645259938837928</v>
      </c>
      <c r="K91" s="26">
        <v>6.0642201834862393</v>
      </c>
      <c r="L91" s="26">
        <v>22.296636085626915</v>
      </c>
      <c r="M91" s="26">
        <v>27.58409785932723</v>
      </c>
      <c r="N91" s="26">
        <v>51.88073394495413</v>
      </c>
      <c r="O91" s="26">
        <v>23.709480122324173</v>
      </c>
      <c r="P91" s="26">
        <v>0</v>
      </c>
      <c r="Q91" s="26">
        <v>0</v>
      </c>
      <c r="R91" s="26">
        <v>29.498470948012248</v>
      </c>
      <c r="S91" s="26">
        <v>13.749235474006122</v>
      </c>
      <c r="T91" s="26">
        <v>8.3547400611620795</v>
      </c>
      <c r="U91" s="26">
        <v>23.987767584097874</v>
      </c>
      <c r="V91" s="26">
        <v>52.266055045871511</v>
      </c>
      <c r="W91" s="27"/>
      <c r="X91" s="24" t="s">
        <v>209</v>
      </c>
      <c r="Y91" s="30" t="s">
        <v>345</v>
      </c>
      <c r="Z91" s="24" t="s">
        <v>368</v>
      </c>
      <c r="AA91" s="28" t="s">
        <v>495</v>
      </c>
      <c r="AB91" s="24" t="s">
        <v>209</v>
      </c>
      <c r="AC91" s="30" t="s">
        <v>345</v>
      </c>
      <c r="AD91" s="30" t="s">
        <v>390</v>
      </c>
      <c r="AE91" s="36">
        <v>43616</v>
      </c>
    </row>
    <row r="92" spans="1:31" ht="15.75" x14ac:dyDescent="0.25">
      <c r="A92" s="23" t="s">
        <v>530</v>
      </c>
      <c r="B92" s="24" t="s">
        <v>531</v>
      </c>
      <c r="C92" s="24" t="s">
        <v>532</v>
      </c>
      <c r="D92" s="24" t="s">
        <v>350</v>
      </c>
      <c r="E92" s="29">
        <v>17745</v>
      </c>
      <c r="F92" s="24" t="s">
        <v>351</v>
      </c>
      <c r="G92" s="24" t="s">
        <v>292</v>
      </c>
      <c r="H92" s="24" t="s">
        <v>5</v>
      </c>
      <c r="I92" s="25">
        <v>30.0512195121951</v>
      </c>
      <c r="J92" s="26">
        <v>2.2935779816513757</v>
      </c>
      <c r="K92" s="26">
        <v>19.195718654434259</v>
      </c>
      <c r="L92" s="26">
        <v>35.165137614678962</v>
      </c>
      <c r="M92" s="26">
        <v>18.743119266055043</v>
      </c>
      <c r="N92" s="26">
        <v>74.34250764526</v>
      </c>
      <c r="O92" s="26">
        <v>1.0519877675840978</v>
      </c>
      <c r="P92" s="26">
        <v>3.0581039755351682E-3</v>
      </c>
      <c r="Q92" s="26">
        <v>0</v>
      </c>
      <c r="R92" s="26">
        <v>53.397553516819634</v>
      </c>
      <c r="S92" s="26">
        <v>18.703363914373099</v>
      </c>
      <c r="T92" s="26">
        <v>2.2752293577981653</v>
      </c>
      <c r="U92" s="26">
        <v>1.0214067278287462</v>
      </c>
      <c r="V92" s="26">
        <v>72.229357798165196</v>
      </c>
      <c r="W92" s="27"/>
      <c r="X92" s="24" t="s">
        <v>209</v>
      </c>
      <c r="Y92" s="30" t="s">
        <v>345</v>
      </c>
      <c r="Z92" s="24" t="s">
        <v>346</v>
      </c>
      <c r="AA92" s="28" t="s">
        <v>246</v>
      </c>
      <c r="AB92" s="24" t="s">
        <v>209</v>
      </c>
      <c r="AC92" s="30" t="s">
        <v>345</v>
      </c>
      <c r="AD92" s="30" t="s">
        <v>368</v>
      </c>
      <c r="AE92" s="36">
        <v>43412</v>
      </c>
    </row>
    <row r="93" spans="1:31" ht="15.75" x14ac:dyDescent="0.25">
      <c r="A93" s="23" t="s">
        <v>497</v>
      </c>
      <c r="B93" s="24" t="s">
        <v>498</v>
      </c>
      <c r="C93" s="24" t="s">
        <v>499</v>
      </c>
      <c r="D93" s="24" t="s">
        <v>500</v>
      </c>
      <c r="E93" s="29">
        <v>2863</v>
      </c>
      <c r="F93" s="24" t="s">
        <v>394</v>
      </c>
      <c r="G93" s="24" t="s">
        <v>292</v>
      </c>
      <c r="H93" s="24" t="s">
        <v>5</v>
      </c>
      <c r="I93" s="25">
        <v>71.240208877284601</v>
      </c>
      <c r="J93" s="26">
        <v>22.678899082568822</v>
      </c>
      <c r="K93" s="26">
        <v>4.8103975535168191</v>
      </c>
      <c r="L93" s="26">
        <v>14.226299694189601</v>
      </c>
      <c r="M93" s="26">
        <v>32.489296636085626</v>
      </c>
      <c r="N93" s="26">
        <v>40.229357798165132</v>
      </c>
      <c r="O93" s="26">
        <v>33.975535168195705</v>
      </c>
      <c r="P93" s="26">
        <v>0</v>
      </c>
      <c r="Q93" s="26">
        <v>0</v>
      </c>
      <c r="R93" s="26">
        <v>25.892966360856263</v>
      </c>
      <c r="S93" s="26">
        <v>6.65749235474006</v>
      </c>
      <c r="T93" s="26">
        <v>7.6788990825688064</v>
      </c>
      <c r="U93" s="26">
        <v>33.975535168195705</v>
      </c>
      <c r="V93" s="26">
        <v>41.189602446483214</v>
      </c>
      <c r="W93" s="27"/>
      <c r="X93" s="24" t="s">
        <v>209</v>
      </c>
      <c r="Y93" s="30" t="s">
        <v>345</v>
      </c>
      <c r="Z93" s="24" t="s">
        <v>368</v>
      </c>
      <c r="AA93" s="28" t="s">
        <v>383</v>
      </c>
      <c r="AB93" s="24" t="s">
        <v>209</v>
      </c>
      <c r="AC93" s="30" t="s">
        <v>345</v>
      </c>
      <c r="AD93" s="30" t="s">
        <v>390</v>
      </c>
      <c r="AE93" s="36">
        <v>42670</v>
      </c>
    </row>
    <row r="94" spans="1:31" ht="15.75" x14ac:dyDescent="0.25">
      <c r="A94" s="23" t="s">
        <v>526</v>
      </c>
      <c r="B94" s="24" t="s">
        <v>527</v>
      </c>
      <c r="C94" s="24" t="s">
        <v>528</v>
      </c>
      <c r="D94" s="24" t="s">
        <v>529</v>
      </c>
      <c r="E94" s="29">
        <v>66845</v>
      </c>
      <c r="F94" s="24" t="s">
        <v>43</v>
      </c>
      <c r="G94" s="24" t="s">
        <v>236</v>
      </c>
      <c r="H94" s="24" t="s">
        <v>208</v>
      </c>
      <c r="I94" s="25">
        <v>36.833634719710702</v>
      </c>
      <c r="J94" s="26">
        <v>7.5810397553516813</v>
      </c>
      <c r="K94" s="26">
        <v>33.633027522935826</v>
      </c>
      <c r="L94" s="26">
        <v>21.718654434250769</v>
      </c>
      <c r="M94" s="26">
        <v>6.5076452599388368</v>
      </c>
      <c r="N94" s="26">
        <v>45.379204892966399</v>
      </c>
      <c r="O94" s="26">
        <v>21.223241590214077</v>
      </c>
      <c r="P94" s="26">
        <v>2.0795107033639142</v>
      </c>
      <c r="Q94" s="26">
        <v>0.75840978593272179</v>
      </c>
      <c r="R94" s="26">
        <v>20.920489296636088</v>
      </c>
      <c r="S94" s="26">
        <v>12.394495412844041</v>
      </c>
      <c r="T94" s="26">
        <v>14.13149847094801</v>
      </c>
      <c r="U94" s="26">
        <v>21.993883792048941</v>
      </c>
      <c r="V94" s="26">
        <v>47.559633027522914</v>
      </c>
      <c r="W94" s="27"/>
      <c r="X94" s="24" t="s">
        <v>209</v>
      </c>
      <c r="Y94" s="30" t="s">
        <v>345</v>
      </c>
      <c r="Z94" s="24" t="s">
        <v>368</v>
      </c>
      <c r="AA94" s="28" t="s">
        <v>523</v>
      </c>
      <c r="AB94" s="24" t="s">
        <v>209</v>
      </c>
      <c r="AC94" s="30" t="s">
        <v>345</v>
      </c>
      <c r="AD94" s="30" t="s">
        <v>368</v>
      </c>
      <c r="AE94" s="36">
        <v>43293</v>
      </c>
    </row>
    <row r="95" spans="1:31" ht="15.75" x14ac:dyDescent="0.25">
      <c r="A95" s="23" t="s">
        <v>508</v>
      </c>
      <c r="B95" s="24" t="s">
        <v>509</v>
      </c>
      <c r="C95" s="24" t="s">
        <v>510</v>
      </c>
      <c r="D95" s="24" t="s">
        <v>222</v>
      </c>
      <c r="E95" s="29">
        <v>79521</v>
      </c>
      <c r="F95" s="24" t="s">
        <v>314</v>
      </c>
      <c r="G95" s="24" t="s">
        <v>292</v>
      </c>
      <c r="H95" s="24" t="s">
        <v>208</v>
      </c>
      <c r="I95" s="25">
        <v>48.605839416058402</v>
      </c>
      <c r="J95" s="26">
        <v>42.030581039755283</v>
      </c>
      <c r="K95" s="26">
        <v>11.146788990825694</v>
      </c>
      <c r="L95" s="26">
        <v>8.8195718654434323</v>
      </c>
      <c r="M95" s="26">
        <v>5.6299694189602443</v>
      </c>
      <c r="N95" s="26">
        <v>20.024464831804284</v>
      </c>
      <c r="O95" s="26">
        <v>5.8776758409785961</v>
      </c>
      <c r="P95" s="26">
        <v>7.636085626911318</v>
      </c>
      <c r="Q95" s="26">
        <v>34.08868501529048</v>
      </c>
      <c r="R95" s="26">
        <v>13.626911314984726</v>
      </c>
      <c r="S95" s="26">
        <v>6.253822629969422</v>
      </c>
      <c r="T95" s="26">
        <v>7.7492354740061193</v>
      </c>
      <c r="U95" s="26">
        <v>39.99694189602441</v>
      </c>
      <c r="V95" s="26">
        <v>36.409785932721718</v>
      </c>
      <c r="W95" s="27"/>
      <c r="X95" s="24" t="s">
        <v>209</v>
      </c>
      <c r="Y95" s="30" t="s">
        <v>345</v>
      </c>
      <c r="Z95" s="24" t="s">
        <v>368</v>
      </c>
      <c r="AA95" s="28" t="s">
        <v>511</v>
      </c>
      <c r="AB95" s="24" t="s">
        <v>209</v>
      </c>
      <c r="AC95" s="30" t="s">
        <v>210</v>
      </c>
      <c r="AD95" s="30" t="s">
        <v>211</v>
      </c>
      <c r="AE95" s="36">
        <v>42775</v>
      </c>
    </row>
    <row r="96" spans="1:31" ht="15.75" x14ac:dyDescent="0.25">
      <c r="A96" s="23" t="s">
        <v>519</v>
      </c>
      <c r="B96" s="24" t="s">
        <v>520</v>
      </c>
      <c r="C96" s="24" t="s">
        <v>521</v>
      </c>
      <c r="D96" s="24" t="s">
        <v>522</v>
      </c>
      <c r="E96" s="29">
        <v>68801</v>
      </c>
      <c r="F96" s="24" t="s">
        <v>398</v>
      </c>
      <c r="G96" s="24" t="s">
        <v>236</v>
      </c>
      <c r="H96" s="24" t="s">
        <v>208</v>
      </c>
      <c r="I96" s="25">
        <v>50.542725173210201</v>
      </c>
      <c r="J96" s="26">
        <v>10.434250764525993</v>
      </c>
      <c r="K96" s="26">
        <v>12.86544342507645</v>
      </c>
      <c r="L96" s="26">
        <v>21.162079510703371</v>
      </c>
      <c r="M96" s="26">
        <v>16.308868501529052</v>
      </c>
      <c r="N96" s="26">
        <v>48.82568807339446</v>
      </c>
      <c r="O96" s="26">
        <v>7.0795107033639155</v>
      </c>
      <c r="P96" s="26">
        <v>4.2201834862385326</v>
      </c>
      <c r="Q96" s="26">
        <v>0.64525993883792054</v>
      </c>
      <c r="R96" s="26">
        <v>17.853211009174313</v>
      </c>
      <c r="S96" s="26">
        <v>22.547400611620798</v>
      </c>
      <c r="T96" s="26">
        <v>12.914373088685013</v>
      </c>
      <c r="U96" s="26">
        <v>7.4556574923547396</v>
      </c>
      <c r="V96" s="26">
        <v>39.055045871559592</v>
      </c>
      <c r="W96" s="27"/>
      <c r="X96" s="24" t="s">
        <v>209</v>
      </c>
      <c r="Y96" s="30" t="s">
        <v>345</v>
      </c>
      <c r="Z96" s="24" t="s">
        <v>368</v>
      </c>
      <c r="AA96" s="28" t="s">
        <v>523</v>
      </c>
      <c r="AB96" s="24" t="s">
        <v>209</v>
      </c>
      <c r="AC96" s="30" t="s">
        <v>345</v>
      </c>
      <c r="AD96" s="30" t="s">
        <v>368</v>
      </c>
      <c r="AE96" s="36">
        <v>43293</v>
      </c>
    </row>
    <row r="97" spans="1:31" ht="15.75" x14ac:dyDescent="0.25">
      <c r="A97" s="23" t="s">
        <v>561</v>
      </c>
      <c r="B97" s="24" t="s">
        <v>562</v>
      </c>
      <c r="C97" s="24" t="s">
        <v>563</v>
      </c>
      <c r="D97" s="24" t="s">
        <v>397</v>
      </c>
      <c r="E97" s="29">
        <v>56007</v>
      </c>
      <c r="F97" s="24" t="s">
        <v>398</v>
      </c>
      <c r="G97" s="24" t="s">
        <v>236</v>
      </c>
      <c r="H97" s="24" t="s">
        <v>5</v>
      </c>
      <c r="I97" s="25">
        <v>41.941176470588204</v>
      </c>
      <c r="J97" s="26">
        <v>6.0152905198776745</v>
      </c>
      <c r="K97" s="26">
        <v>9.7186544342507659</v>
      </c>
      <c r="L97" s="26">
        <v>23.064220183486245</v>
      </c>
      <c r="M97" s="26">
        <v>20.134556574923543</v>
      </c>
      <c r="N97" s="26">
        <v>45.688073394495419</v>
      </c>
      <c r="O97" s="26">
        <v>13.207951070336394</v>
      </c>
      <c r="P97" s="26">
        <v>3.669724770642202E-2</v>
      </c>
      <c r="Q97" s="26">
        <v>0</v>
      </c>
      <c r="R97" s="26">
        <v>21.308868501529044</v>
      </c>
      <c r="S97" s="26">
        <v>15.507645259938837</v>
      </c>
      <c r="T97" s="26">
        <v>8.9724770642201861</v>
      </c>
      <c r="U97" s="26">
        <v>13.143730886850157</v>
      </c>
      <c r="V97" s="26">
        <v>43.902140672782892</v>
      </c>
      <c r="W97" s="27"/>
      <c r="X97" s="24" t="s">
        <v>209</v>
      </c>
      <c r="Y97" s="30" t="s">
        <v>345</v>
      </c>
      <c r="Z97" s="24" t="s">
        <v>368</v>
      </c>
      <c r="AA97" s="28" t="s">
        <v>490</v>
      </c>
      <c r="AB97" s="24" t="s">
        <v>209</v>
      </c>
      <c r="AC97" s="30" t="s">
        <v>345</v>
      </c>
      <c r="AD97" s="30" t="s">
        <v>368</v>
      </c>
      <c r="AE97" s="36">
        <v>43202</v>
      </c>
    </row>
    <row r="98" spans="1:31" ht="15.75" x14ac:dyDescent="0.25">
      <c r="A98" s="23" t="s">
        <v>30</v>
      </c>
      <c r="B98" s="24" t="s">
        <v>496</v>
      </c>
      <c r="C98" s="24" t="s">
        <v>44</v>
      </c>
      <c r="D98" s="24" t="s">
        <v>273</v>
      </c>
      <c r="E98" s="29">
        <v>87021</v>
      </c>
      <c r="F98" s="24" t="s">
        <v>274</v>
      </c>
      <c r="G98" s="24" t="s">
        <v>236</v>
      </c>
      <c r="H98" s="24" t="s">
        <v>5</v>
      </c>
      <c r="I98" s="25">
        <v>40.6890459363958</v>
      </c>
      <c r="J98" s="26">
        <v>40.617737003058153</v>
      </c>
      <c r="K98" s="26">
        <v>12.923547400611618</v>
      </c>
      <c r="L98" s="26">
        <v>2.1957186544342506</v>
      </c>
      <c r="M98" s="26">
        <v>1.8685015290519875</v>
      </c>
      <c r="N98" s="26">
        <v>21.256880733944968</v>
      </c>
      <c r="O98" s="26">
        <v>35.990825688073443</v>
      </c>
      <c r="P98" s="26">
        <v>0.24159021406727829</v>
      </c>
      <c r="Q98" s="26">
        <v>0.11620795107033639</v>
      </c>
      <c r="R98" s="26">
        <v>2.5688073394495405</v>
      </c>
      <c r="S98" s="26">
        <v>2.1192660550458711</v>
      </c>
      <c r="T98" s="26">
        <v>17.593272171253826</v>
      </c>
      <c r="U98" s="26">
        <v>35.324159021406778</v>
      </c>
      <c r="V98" s="26">
        <v>47.048929663608575</v>
      </c>
      <c r="W98" s="27">
        <v>150</v>
      </c>
      <c r="X98" s="24" t="s">
        <v>209</v>
      </c>
      <c r="Y98" s="30" t="s">
        <v>210</v>
      </c>
      <c r="Z98" s="24" t="s">
        <v>211</v>
      </c>
      <c r="AA98" s="28" t="s">
        <v>219</v>
      </c>
      <c r="AB98" s="24" t="s">
        <v>209</v>
      </c>
      <c r="AC98" s="30" t="s">
        <v>210</v>
      </c>
      <c r="AD98" s="30" t="s">
        <v>211</v>
      </c>
      <c r="AE98" s="36">
        <v>43230</v>
      </c>
    </row>
    <row r="99" spans="1:31" ht="15.75" x14ac:dyDescent="0.25">
      <c r="A99" s="23" t="s">
        <v>564</v>
      </c>
      <c r="B99" s="24" t="s">
        <v>565</v>
      </c>
      <c r="C99" s="24" t="s">
        <v>14</v>
      </c>
      <c r="D99" s="24" t="s">
        <v>566</v>
      </c>
      <c r="E99" s="29">
        <v>47834</v>
      </c>
      <c r="F99" s="24" t="s">
        <v>43</v>
      </c>
      <c r="G99" s="24" t="s">
        <v>292</v>
      </c>
      <c r="H99" s="24" t="s">
        <v>5</v>
      </c>
      <c r="I99" s="25">
        <v>9.0898520084566599</v>
      </c>
      <c r="J99" s="26">
        <v>16.107033639143701</v>
      </c>
      <c r="K99" s="26">
        <v>7.8899082568807239</v>
      </c>
      <c r="L99" s="26">
        <v>17.113149847094835</v>
      </c>
      <c r="M99" s="26">
        <v>13.278287461773685</v>
      </c>
      <c r="N99" s="26">
        <v>34.49235474006143</v>
      </c>
      <c r="O99" s="26">
        <v>17.779816513761503</v>
      </c>
      <c r="P99" s="26">
        <v>1.3027522935779814</v>
      </c>
      <c r="Q99" s="26">
        <v>0.81345565749235504</v>
      </c>
      <c r="R99" s="26">
        <v>13.253822629969415</v>
      </c>
      <c r="S99" s="26">
        <v>10.740061162079495</v>
      </c>
      <c r="T99" s="26">
        <v>11.896024464831786</v>
      </c>
      <c r="U99" s="26">
        <v>18.498470948012255</v>
      </c>
      <c r="V99" s="26">
        <v>28.978593272171583</v>
      </c>
      <c r="W99" s="27"/>
      <c r="X99" s="24" t="s">
        <v>209</v>
      </c>
      <c r="Y99" s="30" t="s">
        <v>293</v>
      </c>
      <c r="Z99" s="24" t="s">
        <v>211</v>
      </c>
      <c r="AA99" s="28" t="s">
        <v>415</v>
      </c>
      <c r="AB99" s="24" t="s">
        <v>209</v>
      </c>
      <c r="AC99" s="30" t="s">
        <v>293</v>
      </c>
      <c r="AD99" s="30" t="s">
        <v>211</v>
      </c>
      <c r="AE99" s="36">
        <v>43252</v>
      </c>
    </row>
    <row r="100" spans="1:31" ht="15.75" x14ac:dyDescent="0.25">
      <c r="A100" s="23" t="s">
        <v>553</v>
      </c>
      <c r="B100" s="24" t="s">
        <v>554</v>
      </c>
      <c r="C100" s="24" t="s">
        <v>555</v>
      </c>
      <c r="D100" s="24" t="s">
        <v>397</v>
      </c>
      <c r="E100" s="29">
        <v>56201</v>
      </c>
      <c r="F100" s="24" t="s">
        <v>398</v>
      </c>
      <c r="G100" s="24" t="s">
        <v>236</v>
      </c>
      <c r="H100" s="24" t="s">
        <v>208</v>
      </c>
      <c r="I100" s="25">
        <v>57.7643097643098</v>
      </c>
      <c r="J100" s="26">
        <v>7.0917431192660558</v>
      </c>
      <c r="K100" s="26">
        <v>5.9113149847094801</v>
      </c>
      <c r="L100" s="26">
        <v>30.198776758409782</v>
      </c>
      <c r="M100" s="26">
        <v>10.440366972477067</v>
      </c>
      <c r="N100" s="26">
        <v>28.636085626911306</v>
      </c>
      <c r="O100" s="26">
        <v>10.82874617737003</v>
      </c>
      <c r="P100" s="26">
        <v>12.339449541284406</v>
      </c>
      <c r="Q100" s="26">
        <v>1.8379204892966363</v>
      </c>
      <c r="R100" s="26">
        <v>26.513761467889903</v>
      </c>
      <c r="S100" s="26">
        <v>6.1498470948012214</v>
      </c>
      <c r="T100" s="26">
        <v>8.2599388379204886</v>
      </c>
      <c r="U100" s="26">
        <v>12.718654434250762</v>
      </c>
      <c r="V100" s="26">
        <v>44.085626911314989</v>
      </c>
      <c r="W100" s="27"/>
      <c r="X100" s="24" t="s">
        <v>209</v>
      </c>
      <c r="Y100" s="30" t="s">
        <v>345</v>
      </c>
      <c r="Z100" s="24" t="s">
        <v>368</v>
      </c>
      <c r="AA100" s="28" t="s">
        <v>523</v>
      </c>
      <c r="AB100" s="24" t="s">
        <v>209</v>
      </c>
      <c r="AC100" s="30" t="s">
        <v>345</v>
      </c>
      <c r="AD100" s="30" t="s">
        <v>368</v>
      </c>
      <c r="AE100" s="36">
        <v>43440</v>
      </c>
    </row>
    <row r="101" spans="1:31" ht="15.75" x14ac:dyDescent="0.25">
      <c r="A101" s="23" t="s">
        <v>26</v>
      </c>
      <c r="B101" s="24" t="s">
        <v>524</v>
      </c>
      <c r="C101" s="24" t="s">
        <v>525</v>
      </c>
      <c r="D101" s="24" t="s">
        <v>469</v>
      </c>
      <c r="E101" s="29">
        <v>48161</v>
      </c>
      <c r="F101" s="24" t="s">
        <v>461</v>
      </c>
      <c r="G101" s="24" t="s">
        <v>236</v>
      </c>
      <c r="H101" s="24" t="s">
        <v>5</v>
      </c>
      <c r="I101" s="25">
        <v>20.821339950372199</v>
      </c>
      <c r="J101" s="26">
        <v>18.886850152905193</v>
      </c>
      <c r="K101" s="26">
        <v>24.027522935779828</v>
      </c>
      <c r="L101" s="26">
        <v>6.6819571865443326</v>
      </c>
      <c r="M101" s="26">
        <v>1.6758409785932729</v>
      </c>
      <c r="N101" s="26">
        <v>23.819571865443411</v>
      </c>
      <c r="O101" s="26">
        <v>27.449541284403708</v>
      </c>
      <c r="P101" s="26">
        <v>0</v>
      </c>
      <c r="Q101" s="26">
        <v>3.0581039755351682E-3</v>
      </c>
      <c r="R101" s="26">
        <v>7.2507645259938842</v>
      </c>
      <c r="S101" s="26">
        <v>7.4342507645259861</v>
      </c>
      <c r="T101" s="26">
        <v>9.1192660550458662</v>
      </c>
      <c r="U101" s="26">
        <v>27.467889908256922</v>
      </c>
      <c r="V101" s="26">
        <v>30.825688073394542</v>
      </c>
      <c r="W101" s="27"/>
      <c r="X101" s="24" t="s">
        <v>209</v>
      </c>
      <c r="Y101" s="30" t="s">
        <v>345</v>
      </c>
      <c r="Z101" s="24" t="s">
        <v>368</v>
      </c>
      <c r="AA101" s="28" t="s">
        <v>474</v>
      </c>
      <c r="AB101" s="24" t="s">
        <v>209</v>
      </c>
      <c r="AC101" s="30" t="s">
        <v>345</v>
      </c>
      <c r="AD101" s="30" t="s">
        <v>368</v>
      </c>
      <c r="AE101" s="36">
        <v>43328</v>
      </c>
    </row>
    <row r="102" spans="1:31" ht="15.75" x14ac:dyDescent="0.25">
      <c r="A102" s="23" t="s">
        <v>537</v>
      </c>
      <c r="B102" s="24" t="s">
        <v>538</v>
      </c>
      <c r="C102" s="24" t="s">
        <v>539</v>
      </c>
      <c r="D102" s="24" t="s">
        <v>540</v>
      </c>
      <c r="E102" s="29">
        <v>50627</v>
      </c>
      <c r="F102" s="24" t="s">
        <v>398</v>
      </c>
      <c r="G102" s="24" t="s">
        <v>236</v>
      </c>
      <c r="H102" s="24" t="s">
        <v>208</v>
      </c>
      <c r="I102" s="25">
        <v>35.981818181818198</v>
      </c>
      <c r="J102" s="26">
        <v>8.1834862385321117</v>
      </c>
      <c r="K102" s="26">
        <v>15.299694189602448</v>
      </c>
      <c r="L102" s="26">
        <v>10.266055045871559</v>
      </c>
      <c r="M102" s="26">
        <v>17.269113149847094</v>
      </c>
      <c r="N102" s="26">
        <v>44.207951070336406</v>
      </c>
      <c r="O102" s="26">
        <v>5.761467889908257</v>
      </c>
      <c r="P102" s="26">
        <v>0.74617737003058116</v>
      </c>
      <c r="Q102" s="26">
        <v>0.30275229357798167</v>
      </c>
      <c r="R102" s="26">
        <v>20.097859327217126</v>
      </c>
      <c r="S102" s="26">
        <v>14.486238532110095</v>
      </c>
      <c r="T102" s="26">
        <v>10.547400611620793</v>
      </c>
      <c r="U102" s="26">
        <v>5.8868501529051995</v>
      </c>
      <c r="V102" s="26">
        <v>34.911314984709513</v>
      </c>
      <c r="W102" s="27"/>
      <c r="X102" s="24" t="s">
        <v>209</v>
      </c>
      <c r="Y102" s="30" t="s">
        <v>345</v>
      </c>
      <c r="Z102" s="24" t="s">
        <v>368</v>
      </c>
      <c r="AA102" s="28" t="s">
        <v>541</v>
      </c>
      <c r="AB102" s="24" t="s">
        <v>209</v>
      </c>
      <c r="AC102" s="30" t="s">
        <v>345</v>
      </c>
      <c r="AD102" s="30" t="s">
        <v>368</v>
      </c>
      <c r="AE102" s="36">
        <v>43356</v>
      </c>
    </row>
    <row r="103" spans="1:31" ht="15.75" x14ac:dyDescent="0.25">
      <c r="A103" s="23" t="s">
        <v>52</v>
      </c>
      <c r="B103" s="24" t="s">
        <v>567</v>
      </c>
      <c r="C103" s="24" t="s">
        <v>568</v>
      </c>
      <c r="D103" s="24" t="s">
        <v>460</v>
      </c>
      <c r="E103" s="29">
        <v>44024</v>
      </c>
      <c r="F103" s="24" t="s">
        <v>461</v>
      </c>
      <c r="G103" s="24" t="s">
        <v>292</v>
      </c>
      <c r="H103" s="24" t="s">
        <v>208</v>
      </c>
      <c r="I103" s="25">
        <v>46.874564459930298</v>
      </c>
      <c r="J103" s="26">
        <v>16.951070336391435</v>
      </c>
      <c r="K103" s="26">
        <v>12.999999999999998</v>
      </c>
      <c r="L103" s="26">
        <v>10.354740061162078</v>
      </c>
      <c r="M103" s="26">
        <v>8.5045871559633017</v>
      </c>
      <c r="N103" s="26">
        <v>27.091743119266063</v>
      </c>
      <c r="O103" s="26">
        <v>17.685015290519875</v>
      </c>
      <c r="P103" s="26">
        <v>1.6972477064220184</v>
      </c>
      <c r="Q103" s="26">
        <v>2.3363914373088686</v>
      </c>
      <c r="R103" s="26">
        <v>8.6238532110091732</v>
      </c>
      <c r="S103" s="26">
        <v>8.3302752293577988</v>
      </c>
      <c r="T103" s="26">
        <v>12.036697247706417</v>
      </c>
      <c r="U103" s="26">
        <v>19.819571865443411</v>
      </c>
      <c r="V103" s="26">
        <v>24.923547400611625</v>
      </c>
      <c r="W103" s="27"/>
      <c r="X103" s="24" t="s">
        <v>209</v>
      </c>
      <c r="Y103" s="30" t="s">
        <v>345</v>
      </c>
      <c r="Z103" s="24" t="s">
        <v>346</v>
      </c>
      <c r="AA103" s="28" t="s">
        <v>237</v>
      </c>
      <c r="AB103" s="24" t="s">
        <v>209</v>
      </c>
      <c r="AC103" s="30" t="s">
        <v>345</v>
      </c>
      <c r="AD103" s="30" t="s">
        <v>374</v>
      </c>
      <c r="AE103" s="36">
        <v>43433</v>
      </c>
    </row>
    <row r="104" spans="1:31" ht="15.75" x14ac:dyDescent="0.25">
      <c r="A104" s="23" t="s">
        <v>550</v>
      </c>
      <c r="B104" s="24" t="s">
        <v>551</v>
      </c>
      <c r="C104" s="24" t="s">
        <v>552</v>
      </c>
      <c r="D104" s="24" t="s">
        <v>240</v>
      </c>
      <c r="E104" s="29">
        <v>85349</v>
      </c>
      <c r="F104" s="24" t="s">
        <v>256</v>
      </c>
      <c r="G104" s="24" t="s">
        <v>236</v>
      </c>
      <c r="H104" s="24" t="s">
        <v>208</v>
      </c>
      <c r="I104" s="25">
        <v>5.5068049254698597</v>
      </c>
      <c r="J104" s="26">
        <v>37.155963302752596</v>
      </c>
      <c r="K104" s="26">
        <v>7.6422018348622665</v>
      </c>
      <c r="L104" s="26">
        <v>1.0581039755351687</v>
      </c>
      <c r="M104" s="26">
        <v>1.4250764525993882</v>
      </c>
      <c r="N104" s="26">
        <v>9.0122324159020177</v>
      </c>
      <c r="O104" s="26">
        <v>26.189602446483125</v>
      </c>
      <c r="P104" s="26">
        <v>0.81651376146789101</v>
      </c>
      <c r="Q104" s="26">
        <v>11.262996941895985</v>
      </c>
      <c r="R104" s="26">
        <v>2.8899082568807279</v>
      </c>
      <c r="S104" s="26">
        <v>1.8165137614678832</v>
      </c>
      <c r="T104" s="26">
        <v>4.9969418960244001</v>
      </c>
      <c r="U104" s="26">
        <v>37.577981651376533</v>
      </c>
      <c r="V104" s="26">
        <v>42.339449541285276</v>
      </c>
      <c r="W104" s="27">
        <v>100</v>
      </c>
      <c r="X104" s="24" t="s">
        <v>209</v>
      </c>
      <c r="Y104" s="30" t="s">
        <v>345</v>
      </c>
      <c r="Z104" s="24" t="s">
        <v>368</v>
      </c>
      <c r="AA104" s="28" t="s">
        <v>411</v>
      </c>
      <c r="AB104" s="24" t="s">
        <v>209</v>
      </c>
      <c r="AC104" s="30" t="s">
        <v>345</v>
      </c>
      <c r="AD104" s="30" t="s">
        <v>368</v>
      </c>
      <c r="AE104" s="36">
        <v>43223</v>
      </c>
    </row>
    <row r="105" spans="1:31" ht="15.75" x14ac:dyDescent="0.25">
      <c r="A105" s="23" t="s">
        <v>533</v>
      </c>
      <c r="B105" s="24" t="s">
        <v>534</v>
      </c>
      <c r="C105" s="24" t="s">
        <v>535</v>
      </c>
      <c r="D105" s="24" t="s">
        <v>46</v>
      </c>
      <c r="E105" s="29">
        <v>20794</v>
      </c>
      <c r="F105" s="24" t="s">
        <v>473</v>
      </c>
      <c r="G105" s="24" t="s">
        <v>236</v>
      </c>
      <c r="H105" s="24" t="s">
        <v>5</v>
      </c>
      <c r="I105" s="25">
        <v>55.120943952802399</v>
      </c>
      <c r="J105" s="26">
        <v>3.0856269113149835</v>
      </c>
      <c r="K105" s="26">
        <v>4.5657492354740041</v>
      </c>
      <c r="L105" s="26">
        <v>15.596330275229363</v>
      </c>
      <c r="M105" s="26">
        <v>23.902140672782878</v>
      </c>
      <c r="N105" s="26">
        <v>40.281345565749241</v>
      </c>
      <c r="O105" s="26">
        <v>6.8654434250764513</v>
      </c>
      <c r="P105" s="26">
        <v>3.0581039755351682E-3</v>
      </c>
      <c r="Q105" s="26">
        <v>0</v>
      </c>
      <c r="R105" s="26">
        <v>21.975535168195712</v>
      </c>
      <c r="S105" s="26">
        <v>8.6269113149847083</v>
      </c>
      <c r="T105" s="26">
        <v>7.6483180428134547</v>
      </c>
      <c r="U105" s="26">
        <v>8.8990825688073407</v>
      </c>
      <c r="V105" s="26">
        <v>30.290519877675855</v>
      </c>
      <c r="W105" s="27"/>
      <c r="X105" s="24" t="s">
        <v>209</v>
      </c>
      <c r="Y105" s="30" t="s">
        <v>210</v>
      </c>
      <c r="Z105" s="24" t="s">
        <v>211</v>
      </c>
      <c r="AA105" s="28" t="s">
        <v>354</v>
      </c>
      <c r="AB105" s="24" t="s">
        <v>209</v>
      </c>
      <c r="AC105" s="30" t="s">
        <v>210</v>
      </c>
      <c r="AD105" s="30" t="s">
        <v>536</v>
      </c>
      <c r="AE105" s="36">
        <v>43433</v>
      </c>
    </row>
    <row r="106" spans="1:31" ht="15.75" x14ac:dyDescent="0.25">
      <c r="A106" s="23" t="s">
        <v>16</v>
      </c>
      <c r="B106" s="24" t="s">
        <v>547</v>
      </c>
      <c r="C106" s="24" t="s">
        <v>548</v>
      </c>
      <c r="D106" s="24" t="s">
        <v>460</v>
      </c>
      <c r="E106" s="29">
        <v>44883</v>
      </c>
      <c r="F106" s="24" t="s">
        <v>461</v>
      </c>
      <c r="G106" s="24" t="s">
        <v>236</v>
      </c>
      <c r="H106" s="24" t="s">
        <v>208</v>
      </c>
      <c r="I106" s="25">
        <v>39.193548387096797</v>
      </c>
      <c r="J106" s="26">
        <v>32.302752293577996</v>
      </c>
      <c r="K106" s="26">
        <v>4.5076452599388368</v>
      </c>
      <c r="L106" s="26">
        <v>5.0244648318042833</v>
      </c>
      <c r="M106" s="26">
        <v>5.0856269113149839</v>
      </c>
      <c r="N106" s="26">
        <v>15.37003058103975</v>
      </c>
      <c r="O106" s="26">
        <v>28.21712538226301</v>
      </c>
      <c r="P106" s="26">
        <v>1.0642201834862386</v>
      </c>
      <c r="Q106" s="26">
        <v>2.2691131498470947</v>
      </c>
      <c r="R106" s="26">
        <v>5.0733944954128436</v>
      </c>
      <c r="S106" s="26">
        <v>4.6819571865443423</v>
      </c>
      <c r="T106" s="26">
        <v>7.1498470948012223</v>
      </c>
      <c r="U106" s="26">
        <v>30.015290519877691</v>
      </c>
      <c r="V106" s="26">
        <v>25.813455657492351</v>
      </c>
      <c r="W106" s="27"/>
      <c r="X106" s="24" t="s">
        <v>209</v>
      </c>
      <c r="Y106" s="30" t="s">
        <v>345</v>
      </c>
      <c r="Z106" s="24" t="s">
        <v>374</v>
      </c>
      <c r="AA106" s="28" t="s">
        <v>283</v>
      </c>
      <c r="AB106" s="24" t="s">
        <v>209</v>
      </c>
      <c r="AC106" s="30" t="s">
        <v>345</v>
      </c>
      <c r="AD106" s="30" t="s">
        <v>368</v>
      </c>
      <c r="AE106" s="36">
        <v>43377</v>
      </c>
    </row>
    <row r="107" spans="1:31" ht="15.75" x14ac:dyDescent="0.25">
      <c r="A107" s="23" t="s">
        <v>542</v>
      </c>
      <c r="B107" s="24" t="s">
        <v>543</v>
      </c>
      <c r="C107" s="24" t="s">
        <v>544</v>
      </c>
      <c r="D107" s="24" t="s">
        <v>469</v>
      </c>
      <c r="E107" s="29">
        <v>48060</v>
      </c>
      <c r="F107" s="24" t="s">
        <v>461</v>
      </c>
      <c r="G107" s="24" t="s">
        <v>236</v>
      </c>
      <c r="H107" s="24" t="s">
        <v>5</v>
      </c>
      <c r="I107" s="25">
        <v>37.836461126005403</v>
      </c>
      <c r="J107" s="26">
        <v>18.932721712538232</v>
      </c>
      <c r="K107" s="26">
        <v>15.804281345565743</v>
      </c>
      <c r="L107" s="26">
        <v>8.0886850152905208</v>
      </c>
      <c r="M107" s="26">
        <v>2.0550458715596331</v>
      </c>
      <c r="N107" s="26">
        <v>23.000000000000004</v>
      </c>
      <c r="O107" s="26">
        <v>21.810397553516829</v>
      </c>
      <c r="P107" s="26">
        <v>0</v>
      </c>
      <c r="Q107" s="26">
        <v>7.0336391437308868E-2</v>
      </c>
      <c r="R107" s="26">
        <v>10.730886850152906</v>
      </c>
      <c r="S107" s="26">
        <v>5.9877675840978597</v>
      </c>
      <c r="T107" s="26">
        <v>6.5076452599388395</v>
      </c>
      <c r="U107" s="26">
        <v>21.654434250764538</v>
      </c>
      <c r="V107" s="26">
        <v>23.039755351681972</v>
      </c>
      <c r="W107" s="27"/>
      <c r="X107" s="24" t="s">
        <v>209</v>
      </c>
      <c r="Y107" s="30" t="s">
        <v>293</v>
      </c>
      <c r="Z107" s="24" t="s">
        <v>211</v>
      </c>
      <c r="AA107" s="28" t="s">
        <v>341</v>
      </c>
      <c r="AB107" s="24" t="s">
        <v>209</v>
      </c>
      <c r="AC107" s="30" t="s">
        <v>293</v>
      </c>
      <c r="AD107" s="30" t="s">
        <v>211</v>
      </c>
      <c r="AE107" s="36">
        <v>43636</v>
      </c>
    </row>
    <row r="108" spans="1:31" ht="15.75" x14ac:dyDescent="0.25">
      <c r="A108" s="23" t="s">
        <v>556</v>
      </c>
      <c r="B108" s="24" t="s">
        <v>557</v>
      </c>
      <c r="C108" s="24" t="s">
        <v>558</v>
      </c>
      <c r="D108" s="24" t="s">
        <v>559</v>
      </c>
      <c r="E108" s="29">
        <v>65084</v>
      </c>
      <c r="F108" s="24" t="s">
        <v>43</v>
      </c>
      <c r="G108" s="24" t="s">
        <v>236</v>
      </c>
      <c r="H108" s="24" t="s">
        <v>5</v>
      </c>
      <c r="I108" s="25">
        <v>34.2931818181818</v>
      </c>
      <c r="J108" s="26">
        <v>6.7737003058103928</v>
      </c>
      <c r="K108" s="26">
        <v>10.571865443425066</v>
      </c>
      <c r="L108" s="26">
        <v>12.553516819571863</v>
      </c>
      <c r="M108" s="26">
        <v>9.409785932721709</v>
      </c>
      <c r="N108" s="26">
        <v>26.458715596330251</v>
      </c>
      <c r="O108" s="26">
        <v>12.339449541284401</v>
      </c>
      <c r="P108" s="26">
        <v>0.28134556574923547</v>
      </c>
      <c r="Q108" s="26">
        <v>0.22935779816513763</v>
      </c>
      <c r="R108" s="26">
        <v>13.363914373088686</v>
      </c>
      <c r="S108" s="26">
        <v>4.9204892966360854</v>
      </c>
      <c r="T108" s="26">
        <v>8.681957186544345</v>
      </c>
      <c r="U108" s="26">
        <v>12.342507645259936</v>
      </c>
      <c r="V108" s="26">
        <v>21.908256880733923</v>
      </c>
      <c r="W108" s="27"/>
      <c r="X108" s="24" t="s">
        <v>209</v>
      </c>
      <c r="Y108" s="30" t="s">
        <v>345</v>
      </c>
      <c r="Z108" s="24" t="s">
        <v>368</v>
      </c>
      <c r="AA108" s="28" t="s">
        <v>560</v>
      </c>
      <c r="AB108" s="24" t="s">
        <v>209</v>
      </c>
      <c r="AC108" s="30" t="s">
        <v>345</v>
      </c>
      <c r="AD108" s="30" t="s">
        <v>368</v>
      </c>
      <c r="AE108" s="36">
        <v>43440</v>
      </c>
    </row>
    <row r="109" spans="1:31" ht="15.75" x14ac:dyDescent="0.25">
      <c r="A109" s="23" t="s">
        <v>41</v>
      </c>
      <c r="B109" s="24" t="s">
        <v>545</v>
      </c>
      <c r="C109" s="24" t="s">
        <v>546</v>
      </c>
      <c r="D109" s="24" t="s">
        <v>350</v>
      </c>
      <c r="E109" s="29">
        <v>19533</v>
      </c>
      <c r="F109" s="24" t="s">
        <v>351</v>
      </c>
      <c r="G109" s="24" t="s">
        <v>228</v>
      </c>
      <c r="H109" s="24" t="s">
        <v>208</v>
      </c>
      <c r="I109" s="25">
        <v>26.435897435897399</v>
      </c>
      <c r="J109" s="26">
        <v>33.204892966360859</v>
      </c>
      <c r="K109" s="26">
        <v>4.9143730886850161</v>
      </c>
      <c r="L109" s="26">
        <v>0</v>
      </c>
      <c r="M109" s="26">
        <v>3.669724770642202E-2</v>
      </c>
      <c r="N109" s="26">
        <v>0.13149847094801223</v>
      </c>
      <c r="O109" s="26">
        <v>19.204892966360852</v>
      </c>
      <c r="P109" s="26">
        <v>3.669724770642202E-2</v>
      </c>
      <c r="Q109" s="26">
        <v>18.782874617737018</v>
      </c>
      <c r="R109" s="26">
        <v>0</v>
      </c>
      <c r="S109" s="26">
        <v>0</v>
      </c>
      <c r="T109" s="26">
        <v>0.14067278287461774</v>
      </c>
      <c r="U109" s="26">
        <v>38.015290519877666</v>
      </c>
      <c r="V109" s="26">
        <v>33.174311926605505</v>
      </c>
      <c r="W109" s="27">
        <v>96</v>
      </c>
      <c r="X109" s="24" t="s">
        <v>209</v>
      </c>
      <c r="Y109" s="30" t="s">
        <v>229</v>
      </c>
      <c r="Z109" s="24" t="s">
        <v>213</v>
      </c>
      <c r="AA109" s="28" t="s">
        <v>279</v>
      </c>
      <c r="AB109" s="24" t="s">
        <v>209</v>
      </c>
      <c r="AC109" s="30" t="s">
        <v>229</v>
      </c>
      <c r="AD109" s="30" t="s">
        <v>213</v>
      </c>
      <c r="AE109" s="36">
        <v>43783</v>
      </c>
    </row>
    <row r="110" spans="1:31" ht="15.75" x14ac:dyDescent="0.25">
      <c r="A110" s="23" t="s">
        <v>573</v>
      </c>
      <c r="B110" s="24" t="s">
        <v>574</v>
      </c>
      <c r="C110" s="24" t="s">
        <v>575</v>
      </c>
      <c r="D110" s="24" t="s">
        <v>350</v>
      </c>
      <c r="E110" s="29">
        <v>15931</v>
      </c>
      <c r="F110" s="24" t="s">
        <v>351</v>
      </c>
      <c r="G110" s="24" t="s">
        <v>292</v>
      </c>
      <c r="H110" s="24" t="s">
        <v>5</v>
      </c>
      <c r="I110" s="25">
        <v>31.703821656051002</v>
      </c>
      <c r="J110" s="26">
        <v>4.7798165137614674</v>
      </c>
      <c r="K110" s="26">
        <v>11.629969418960249</v>
      </c>
      <c r="L110" s="26">
        <v>13.755351681957181</v>
      </c>
      <c r="M110" s="26">
        <v>1.5932721712538225</v>
      </c>
      <c r="N110" s="26">
        <v>17.938837920489281</v>
      </c>
      <c r="O110" s="26">
        <v>13.712538226299698</v>
      </c>
      <c r="P110" s="26">
        <v>9.480122324159021E-2</v>
      </c>
      <c r="Q110" s="26">
        <v>1.2232415902140673E-2</v>
      </c>
      <c r="R110" s="26">
        <v>10.180428134556569</v>
      </c>
      <c r="S110" s="26">
        <v>4.0764525993883787</v>
      </c>
      <c r="T110" s="26">
        <v>3.5932721712538229</v>
      </c>
      <c r="U110" s="26">
        <v>13.90825688073395</v>
      </c>
      <c r="V110" s="26">
        <v>13.727828746177343</v>
      </c>
      <c r="W110" s="27"/>
      <c r="X110" s="24" t="s">
        <v>209</v>
      </c>
      <c r="Y110" s="30" t="s">
        <v>345</v>
      </c>
      <c r="Z110" s="24" t="s">
        <v>368</v>
      </c>
      <c r="AA110" s="28" t="s">
        <v>286</v>
      </c>
      <c r="AB110" s="24" t="s">
        <v>209</v>
      </c>
      <c r="AC110" s="30" t="s">
        <v>345</v>
      </c>
      <c r="AD110" s="30" t="s">
        <v>368</v>
      </c>
      <c r="AE110" s="36">
        <v>43412</v>
      </c>
    </row>
    <row r="111" spans="1:31" ht="15.75" x14ac:dyDescent="0.25">
      <c r="A111" s="23" t="s">
        <v>584</v>
      </c>
      <c r="B111" s="24" t="s">
        <v>585</v>
      </c>
      <c r="C111" s="24" t="s">
        <v>586</v>
      </c>
      <c r="D111" s="24" t="s">
        <v>460</v>
      </c>
      <c r="E111" s="29">
        <v>43338</v>
      </c>
      <c r="F111" s="24" t="s">
        <v>461</v>
      </c>
      <c r="G111" s="24" t="s">
        <v>236</v>
      </c>
      <c r="H111" s="24" t="s">
        <v>208</v>
      </c>
      <c r="I111" s="25">
        <v>15.2970779220779</v>
      </c>
      <c r="J111" s="26">
        <v>9.1131498470947836</v>
      </c>
      <c r="K111" s="26">
        <v>6.2079510703363878</v>
      </c>
      <c r="L111" s="26">
        <v>10.018348623853193</v>
      </c>
      <c r="M111" s="26">
        <v>5.7217125382262983</v>
      </c>
      <c r="N111" s="26">
        <v>21.703363914373085</v>
      </c>
      <c r="O111" s="26">
        <v>8.761467889908241</v>
      </c>
      <c r="P111" s="26">
        <v>0.15290519877675843</v>
      </c>
      <c r="Q111" s="26">
        <v>0.44342507645259943</v>
      </c>
      <c r="R111" s="26">
        <v>7.6911314984709485</v>
      </c>
      <c r="S111" s="26">
        <v>7.6880733944954045</v>
      </c>
      <c r="T111" s="26">
        <v>6.5840978593272084</v>
      </c>
      <c r="U111" s="26">
        <v>9.0978593272171064</v>
      </c>
      <c r="V111" s="26">
        <v>27.899082568807351</v>
      </c>
      <c r="W111" s="27"/>
      <c r="X111" s="24" t="s">
        <v>209</v>
      </c>
      <c r="Y111" s="30" t="s">
        <v>345</v>
      </c>
      <c r="Z111" s="24" t="s">
        <v>368</v>
      </c>
      <c r="AA111" s="28" t="s">
        <v>587</v>
      </c>
      <c r="AB111" s="24" t="s">
        <v>209</v>
      </c>
      <c r="AC111" s="30" t="s">
        <v>345</v>
      </c>
      <c r="AD111" s="30" t="s">
        <v>368</v>
      </c>
      <c r="AE111" s="36">
        <v>42411</v>
      </c>
    </row>
    <row r="112" spans="1:31" ht="15.75" x14ac:dyDescent="0.25">
      <c r="A112" s="23" t="s">
        <v>569</v>
      </c>
      <c r="B112" s="24" t="s">
        <v>570</v>
      </c>
      <c r="C112" s="24" t="s">
        <v>571</v>
      </c>
      <c r="D112" s="24" t="s">
        <v>572</v>
      </c>
      <c r="E112" s="29">
        <v>27253</v>
      </c>
      <c r="F112" s="24" t="s">
        <v>218</v>
      </c>
      <c r="G112" s="24" t="s">
        <v>236</v>
      </c>
      <c r="H112" s="24" t="s">
        <v>208</v>
      </c>
      <c r="I112" s="25">
        <v>8.1786858974358996</v>
      </c>
      <c r="J112" s="26">
        <v>14.12232415902136</v>
      </c>
      <c r="K112" s="26">
        <v>5.7155963302752228</v>
      </c>
      <c r="L112" s="26">
        <v>4.9266055045871457</v>
      </c>
      <c r="M112" s="26">
        <v>5.4587155963302747</v>
      </c>
      <c r="N112" s="26">
        <v>17.501529051987681</v>
      </c>
      <c r="O112" s="26">
        <v>12.510703363914347</v>
      </c>
      <c r="P112" s="26">
        <v>0.14678899082568803</v>
      </c>
      <c r="Q112" s="26">
        <v>6.4220183486238522E-2</v>
      </c>
      <c r="R112" s="26">
        <v>8.0611620795106997</v>
      </c>
      <c r="S112" s="26">
        <v>4.7889908256880629</v>
      </c>
      <c r="T112" s="26">
        <v>4.7064220183486221</v>
      </c>
      <c r="U112" s="26">
        <v>12.666666666666638</v>
      </c>
      <c r="V112" s="26">
        <v>22.532110091743089</v>
      </c>
      <c r="W112" s="27"/>
      <c r="X112" s="24" t="s">
        <v>209</v>
      </c>
      <c r="Y112" s="30" t="s">
        <v>345</v>
      </c>
      <c r="Z112" s="24" t="s">
        <v>368</v>
      </c>
      <c r="AA112" s="28" t="s">
        <v>286</v>
      </c>
      <c r="AB112" s="24" t="s">
        <v>209</v>
      </c>
      <c r="AC112" s="30" t="s">
        <v>345</v>
      </c>
      <c r="AD112" s="30" t="s">
        <v>390</v>
      </c>
      <c r="AE112" s="36">
        <v>43454</v>
      </c>
    </row>
    <row r="113" spans="1:31" ht="15.75" x14ac:dyDescent="0.25">
      <c r="A113" s="23" t="s">
        <v>576</v>
      </c>
      <c r="B113" s="24" t="s">
        <v>577</v>
      </c>
      <c r="C113" s="24" t="s">
        <v>578</v>
      </c>
      <c r="D113" s="24" t="s">
        <v>579</v>
      </c>
      <c r="E113" s="29">
        <v>96819</v>
      </c>
      <c r="F113" s="24" t="s">
        <v>386</v>
      </c>
      <c r="G113" s="24" t="s">
        <v>580</v>
      </c>
      <c r="H113" s="24" t="s">
        <v>208</v>
      </c>
      <c r="I113" s="25">
        <v>104.40404040404</v>
      </c>
      <c r="J113" s="26">
        <v>2.3486238532110089</v>
      </c>
      <c r="K113" s="26">
        <v>14.883792048929664</v>
      </c>
      <c r="L113" s="26">
        <v>6.8562691131498461</v>
      </c>
      <c r="M113" s="26">
        <v>5.3119266055045866</v>
      </c>
      <c r="N113" s="26">
        <v>17.801223241590222</v>
      </c>
      <c r="O113" s="26">
        <v>7.8562691131498488</v>
      </c>
      <c r="P113" s="26">
        <v>1.5535168195718656</v>
      </c>
      <c r="Q113" s="26">
        <v>2.1896024464831809</v>
      </c>
      <c r="R113" s="26">
        <v>10.250764525993887</v>
      </c>
      <c r="S113" s="26">
        <v>6.4189602446483187</v>
      </c>
      <c r="T113" s="26">
        <v>2.691131498470948</v>
      </c>
      <c r="U113" s="26">
        <v>10.039755351681956</v>
      </c>
      <c r="V113" s="26">
        <v>25.189602446483178</v>
      </c>
      <c r="W113" s="27"/>
      <c r="X113" s="24" t="s">
        <v>238</v>
      </c>
      <c r="Y113" s="30"/>
      <c r="Z113" s="24"/>
      <c r="AA113" s="28"/>
      <c r="AB113" s="24" t="s">
        <v>238</v>
      </c>
      <c r="AC113" s="30"/>
      <c r="AD113" s="30"/>
      <c r="AE113" s="36"/>
    </row>
    <row r="114" spans="1:31" ht="15.75" x14ac:dyDescent="0.25">
      <c r="A114" s="23" t="s">
        <v>581</v>
      </c>
      <c r="B114" s="24" t="s">
        <v>582</v>
      </c>
      <c r="C114" s="24" t="s">
        <v>583</v>
      </c>
      <c r="D114" s="24" t="s">
        <v>540</v>
      </c>
      <c r="E114" s="29">
        <v>50313</v>
      </c>
      <c r="F114" s="24" t="s">
        <v>398</v>
      </c>
      <c r="G114" s="24" t="s">
        <v>292</v>
      </c>
      <c r="H114" s="24" t="s">
        <v>208</v>
      </c>
      <c r="I114" s="25">
        <v>23.874269005847999</v>
      </c>
      <c r="J114" s="26">
        <v>7.0489296636085621</v>
      </c>
      <c r="K114" s="26">
        <v>7.7553516819571824</v>
      </c>
      <c r="L114" s="26">
        <v>6.8899082568807346</v>
      </c>
      <c r="M114" s="26">
        <v>7.0825688073394488</v>
      </c>
      <c r="N114" s="26">
        <v>23.2385321100918</v>
      </c>
      <c r="O114" s="26">
        <v>3.730886850152904</v>
      </c>
      <c r="P114" s="26">
        <v>1.0825688073394495</v>
      </c>
      <c r="Q114" s="26">
        <v>0.72477064220183485</v>
      </c>
      <c r="R114" s="26">
        <v>8.9296636085626897</v>
      </c>
      <c r="S114" s="26">
        <v>6.1314984709480127</v>
      </c>
      <c r="T114" s="26">
        <v>9.2752293577981639</v>
      </c>
      <c r="U114" s="26">
        <v>4.4403669724770616</v>
      </c>
      <c r="V114" s="26">
        <v>16.501529051987756</v>
      </c>
      <c r="W114" s="27"/>
      <c r="X114" s="24" t="s">
        <v>209</v>
      </c>
      <c r="Y114" s="30" t="s">
        <v>345</v>
      </c>
      <c r="Z114" s="24" t="s">
        <v>368</v>
      </c>
      <c r="AA114" s="28" t="s">
        <v>516</v>
      </c>
      <c r="AB114" s="24" t="s">
        <v>209</v>
      </c>
      <c r="AC114" s="30" t="s">
        <v>345</v>
      </c>
      <c r="AD114" s="30" t="s">
        <v>368</v>
      </c>
      <c r="AE114" s="36">
        <v>43314</v>
      </c>
    </row>
    <row r="115" spans="1:31" ht="15.75" x14ac:dyDescent="0.25">
      <c r="A115" s="23" t="s">
        <v>588</v>
      </c>
      <c r="B115" s="24" t="s">
        <v>589</v>
      </c>
      <c r="C115" s="24" t="s">
        <v>590</v>
      </c>
      <c r="D115" s="24" t="s">
        <v>469</v>
      </c>
      <c r="E115" s="29">
        <v>49783</v>
      </c>
      <c r="F115" s="24" t="s">
        <v>461</v>
      </c>
      <c r="G115" s="24" t="s">
        <v>236</v>
      </c>
      <c r="H115" s="24" t="s">
        <v>208</v>
      </c>
      <c r="I115" s="25">
        <v>65.462962962963005</v>
      </c>
      <c r="J115" s="26">
        <v>9.2905198776758411</v>
      </c>
      <c r="K115" s="26">
        <v>3.7645259938837925</v>
      </c>
      <c r="L115" s="26">
        <v>8.1804281345565766</v>
      </c>
      <c r="M115" s="26">
        <v>4.4250764525993889</v>
      </c>
      <c r="N115" s="26">
        <v>14.113149847094801</v>
      </c>
      <c r="O115" s="26">
        <v>8.2079510703363869</v>
      </c>
      <c r="P115" s="26">
        <v>1.5474006116207952</v>
      </c>
      <c r="Q115" s="26">
        <v>1.7920489296636088</v>
      </c>
      <c r="R115" s="26">
        <v>10.220183486238531</v>
      </c>
      <c r="S115" s="26">
        <v>2.4189602446483183</v>
      </c>
      <c r="T115" s="26">
        <v>3.0642201834862379</v>
      </c>
      <c r="U115" s="26">
        <v>9.9571865443425107</v>
      </c>
      <c r="V115" s="26">
        <v>16.467889908256872</v>
      </c>
      <c r="W115" s="27"/>
      <c r="X115" s="24" t="s">
        <v>209</v>
      </c>
      <c r="Y115" s="30" t="s">
        <v>345</v>
      </c>
      <c r="Z115" s="24" t="s">
        <v>368</v>
      </c>
      <c r="AA115" s="28" t="s">
        <v>591</v>
      </c>
      <c r="AB115" s="24" t="s">
        <v>209</v>
      </c>
      <c r="AC115" s="30" t="s">
        <v>345</v>
      </c>
      <c r="AD115" s="30" t="s">
        <v>368</v>
      </c>
      <c r="AE115" s="36">
        <v>42803</v>
      </c>
    </row>
    <row r="116" spans="1:31" ht="15.75" x14ac:dyDescent="0.25">
      <c r="A116" s="23" t="s">
        <v>25</v>
      </c>
      <c r="B116" s="24" t="s">
        <v>595</v>
      </c>
      <c r="C116" s="24" t="s">
        <v>596</v>
      </c>
      <c r="D116" s="24" t="s">
        <v>559</v>
      </c>
      <c r="E116" s="29">
        <v>63361</v>
      </c>
      <c r="F116" s="24" t="s">
        <v>43</v>
      </c>
      <c r="G116" s="24" t="s">
        <v>236</v>
      </c>
      <c r="H116" s="24" t="s">
        <v>208</v>
      </c>
      <c r="I116" s="25">
        <v>33.837320574162703</v>
      </c>
      <c r="J116" s="26">
        <v>6.4067278287461775</v>
      </c>
      <c r="K116" s="26">
        <v>3.8379204892966357</v>
      </c>
      <c r="L116" s="26">
        <v>7.1437308868501539</v>
      </c>
      <c r="M116" s="26">
        <v>7.951070336391437</v>
      </c>
      <c r="N116" s="26">
        <v>15.489296636085623</v>
      </c>
      <c r="O116" s="26">
        <v>9.2324159021406729</v>
      </c>
      <c r="P116" s="26">
        <v>3.669724770642202E-2</v>
      </c>
      <c r="Q116" s="26">
        <v>0.58103975535168195</v>
      </c>
      <c r="R116" s="26">
        <v>9.3394495412844023</v>
      </c>
      <c r="S116" s="26">
        <v>3.3302752293577975</v>
      </c>
      <c r="T116" s="26">
        <v>3.0978593272171255</v>
      </c>
      <c r="U116" s="26">
        <v>9.5718654434250805</v>
      </c>
      <c r="V116" s="26">
        <v>17.100917431192652</v>
      </c>
      <c r="W116" s="27"/>
      <c r="X116" s="24" t="s">
        <v>209</v>
      </c>
      <c r="Y116" s="30" t="s">
        <v>345</v>
      </c>
      <c r="Z116" s="24" t="s">
        <v>368</v>
      </c>
      <c r="AA116" s="28" t="s">
        <v>286</v>
      </c>
      <c r="AB116" s="24" t="s">
        <v>209</v>
      </c>
      <c r="AC116" s="30" t="s">
        <v>345</v>
      </c>
      <c r="AD116" s="30" t="s">
        <v>368</v>
      </c>
      <c r="AE116" s="36">
        <v>42957</v>
      </c>
    </row>
    <row r="117" spans="1:31" ht="15.75" x14ac:dyDescent="0.25">
      <c r="A117" s="23" t="s">
        <v>600</v>
      </c>
      <c r="B117" s="24" t="s">
        <v>601</v>
      </c>
      <c r="C117" s="24" t="s">
        <v>602</v>
      </c>
      <c r="D117" s="24" t="s">
        <v>35</v>
      </c>
      <c r="E117" s="29">
        <v>1301</v>
      </c>
      <c r="F117" s="24" t="s">
        <v>394</v>
      </c>
      <c r="G117" s="24" t="s">
        <v>292</v>
      </c>
      <c r="H117" s="24" t="s">
        <v>5</v>
      </c>
      <c r="I117" s="25">
        <v>40.244318181818201</v>
      </c>
      <c r="J117" s="26">
        <v>0.68501529051987764</v>
      </c>
      <c r="K117" s="26">
        <v>0.34862385321100919</v>
      </c>
      <c r="L117" s="26">
        <v>5.1192660550458715</v>
      </c>
      <c r="M117" s="26">
        <v>15.003058103975526</v>
      </c>
      <c r="N117" s="26">
        <v>16.544342507645261</v>
      </c>
      <c r="O117" s="26">
        <v>4.6116207951070338</v>
      </c>
      <c r="P117" s="26">
        <v>0</v>
      </c>
      <c r="Q117" s="26">
        <v>0</v>
      </c>
      <c r="R117" s="26">
        <v>12.186544342507643</v>
      </c>
      <c r="S117" s="26">
        <v>2.5259938837920486</v>
      </c>
      <c r="T117" s="26">
        <v>1.8318042813455659</v>
      </c>
      <c r="U117" s="26">
        <v>4.6116207951070338</v>
      </c>
      <c r="V117" s="26">
        <v>18.672782874617742</v>
      </c>
      <c r="W117" s="27"/>
      <c r="X117" s="24" t="s">
        <v>209</v>
      </c>
      <c r="Y117" s="30" t="s">
        <v>345</v>
      </c>
      <c r="Z117" s="24" t="s">
        <v>368</v>
      </c>
      <c r="AA117" s="28" t="s">
        <v>411</v>
      </c>
      <c r="AB117" s="24" t="s">
        <v>209</v>
      </c>
      <c r="AC117" s="30" t="s">
        <v>345</v>
      </c>
      <c r="AD117" s="30" t="s">
        <v>368</v>
      </c>
      <c r="AE117" s="36">
        <v>43209</v>
      </c>
    </row>
    <row r="118" spans="1:31" ht="15.75" x14ac:dyDescent="0.25">
      <c r="A118" s="23" t="s">
        <v>592</v>
      </c>
      <c r="B118" s="24" t="s">
        <v>593</v>
      </c>
      <c r="C118" s="24" t="s">
        <v>594</v>
      </c>
      <c r="D118" s="24" t="s">
        <v>222</v>
      </c>
      <c r="E118" s="29">
        <v>78380</v>
      </c>
      <c r="F118" s="24" t="s">
        <v>278</v>
      </c>
      <c r="G118" s="24" t="s">
        <v>292</v>
      </c>
      <c r="H118" s="24" t="s">
        <v>5</v>
      </c>
      <c r="I118" s="25">
        <v>2.35372029606545</v>
      </c>
      <c r="J118" s="26">
        <v>0.92660550458715696</v>
      </c>
      <c r="K118" s="26">
        <v>15.81345565749206</v>
      </c>
      <c r="L118" s="26">
        <v>1.4097859327217104</v>
      </c>
      <c r="M118" s="26">
        <v>0.24464831804281348</v>
      </c>
      <c r="N118" s="26">
        <v>13.235474006115986</v>
      </c>
      <c r="O118" s="26">
        <v>5.1559633027522462</v>
      </c>
      <c r="P118" s="26">
        <v>0</v>
      </c>
      <c r="Q118" s="26">
        <v>3.0581039755351682E-3</v>
      </c>
      <c r="R118" s="26">
        <v>1.7645259938837914</v>
      </c>
      <c r="S118" s="26">
        <v>5.3975535168195412</v>
      </c>
      <c r="T118" s="26">
        <v>6.7859327217124674</v>
      </c>
      <c r="U118" s="26">
        <v>4.4464831804281042</v>
      </c>
      <c r="V118" s="26">
        <v>16.755351681957013</v>
      </c>
      <c r="W118" s="27"/>
      <c r="X118" s="24" t="s">
        <v>209</v>
      </c>
      <c r="Y118" s="30" t="s">
        <v>293</v>
      </c>
      <c r="Z118" s="24" t="s">
        <v>211</v>
      </c>
      <c r="AA118" s="28" t="s">
        <v>230</v>
      </c>
      <c r="AB118" s="24" t="s">
        <v>209</v>
      </c>
      <c r="AC118" s="30" t="s">
        <v>293</v>
      </c>
      <c r="AD118" s="30" t="s">
        <v>211</v>
      </c>
      <c r="AE118" s="36">
        <v>43475</v>
      </c>
    </row>
    <row r="119" spans="1:31" ht="15.75" x14ac:dyDescent="0.25">
      <c r="A119" s="23" t="s">
        <v>597</v>
      </c>
      <c r="B119" s="24" t="s">
        <v>598</v>
      </c>
      <c r="C119" s="24" t="s">
        <v>599</v>
      </c>
      <c r="D119" s="24" t="s">
        <v>217</v>
      </c>
      <c r="E119" s="29">
        <v>30250</v>
      </c>
      <c r="F119" s="24" t="s">
        <v>218</v>
      </c>
      <c r="G119" s="24" t="s">
        <v>257</v>
      </c>
      <c r="H119" s="24" t="s">
        <v>208</v>
      </c>
      <c r="I119" s="25">
        <v>6.42906178489703</v>
      </c>
      <c r="J119" s="26">
        <v>4.8623853211009136</v>
      </c>
      <c r="K119" s="26">
        <v>4.7308868501528982</v>
      </c>
      <c r="L119" s="26">
        <v>4.2966360856269068</v>
      </c>
      <c r="M119" s="26">
        <v>2.605504587155961</v>
      </c>
      <c r="N119" s="26">
        <v>9.9174311926605121</v>
      </c>
      <c r="O119" s="26">
        <v>6.5779816513761382</v>
      </c>
      <c r="P119" s="26">
        <v>0</v>
      </c>
      <c r="Q119" s="26">
        <v>0</v>
      </c>
      <c r="R119" s="26">
        <v>5.6238532110091732</v>
      </c>
      <c r="S119" s="26">
        <v>2.3425076452599374</v>
      </c>
      <c r="T119" s="26">
        <v>1.9235474006116189</v>
      </c>
      <c r="U119" s="26">
        <v>6.6055045871559557</v>
      </c>
      <c r="V119" s="26">
        <v>13.39755351681948</v>
      </c>
      <c r="W119" s="27"/>
      <c r="X119" s="24" t="s">
        <v>209</v>
      </c>
      <c r="Y119" s="30" t="s">
        <v>345</v>
      </c>
      <c r="Z119" s="24" t="s">
        <v>368</v>
      </c>
      <c r="AA119" s="28" t="s">
        <v>495</v>
      </c>
      <c r="AB119" s="24" t="s">
        <v>238</v>
      </c>
      <c r="AC119" s="30"/>
      <c r="AD119" s="30"/>
      <c r="AE119" s="36"/>
    </row>
    <row r="120" spans="1:31" ht="15.75" x14ac:dyDescent="0.25">
      <c r="A120" s="23" t="s">
        <v>627</v>
      </c>
      <c r="B120" s="24" t="s">
        <v>628</v>
      </c>
      <c r="C120" s="24" t="s">
        <v>629</v>
      </c>
      <c r="D120" s="24" t="s">
        <v>522</v>
      </c>
      <c r="E120" s="29">
        <v>68102</v>
      </c>
      <c r="F120" s="24" t="s">
        <v>398</v>
      </c>
      <c r="G120" s="24" t="s">
        <v>236</v>
      </c>
      <c r="H120" s="24" t="s">
        <v>208</v>
      </c>
      <c r="I120" s="25">
        <v>9.9849137931034502</v>
      </c>
      <c r="J120" s="26">
        <v>1.1192660550458717</v>
      </c>
      <c r="K120" s="26">
        <v>3.8287461773700278</v>
      </c>
      <c r="L120" s="26">
        <v>7.1620795107033572</v>
      </c>
      <c r="M120" s="26">
        <v>4.3363914373088672</v>
      </c>
      <c r="N120" s="26">
        <v>12.131498470947985</v>
      </c>
      <c r="O120" s="26">
        <v>1.5963302752293573</v>
      </c>
      <c r="P120" s="26">
        <v>2.1039755351681961</v>
      </c>
      <c r="Q120" s="26">
        <v>0.61467889908256879</v>
      </c>
      <c r="R120" s="26">
        <v>6.2935779816513753</v>
      </c>
      <c r="S120" s="26">
        <v>4.1467889908256845</v>
      </c>
      <c r="T120" s="26">
        <v>4.1284403669724741</v>
      </c>
      <c r="U120" s="26">
        <v>1.8776758409785934</v>
      </c>
      <c r="V120" s="26">
        <v>10.694189602446471</v>
      </c>
      <c r="W120" s="27"/>
      <c r="X120" s="24" t="s">
        <v>209</v>
      </c>
      <c r="Y120" s="30" t="s">
        <v>293</v>
      </c>
      <c r="Z120" s="24" t="s">
        <v>211</v>
      </c>
      <c r="AA120" s="28" t="s">
        <v>289</v>
      </c>
      <c r="AB120" s="24" t="s">
        <v>209</v>
      </c>
      <c r="AC120" s="30" t="s">
        <v>293</v>
      </c>
      <c r="AD120" s="30" t="s">
        <v>211</v>
      </c>
      <c r="AE120" s="36">
        <v>43398</v>
      </c>
    </row>
    <row r="121" spans="1:31" ht="15.75" x14ac:dyDescent="0.25">
      <c r="A121" s="23" t="s">
        <v>607</v>
      </c>
      <c r="B121" s="24" t="s">
        <v>608</v>
      </c>
      <c r="C121" s="24" t="s">
        <v>609</v>
      </c>
      <c r="D121" s="24" t="s">
        <v>610</v>
      </c>
      <c r="E121" s="29">
        <v>84321</v>
      </c>
      <c r="F121" s="24" t="s">
        <v>441</v>
      </c>
      <c r="G121" s="24" t="s">
        <v>292</v>
      </c>
      <c r="H121" s="24" t="s">
        <v>208</v>
      </c>
      <c r="I121" s="25">
        <v>6.4391191709844602</v>
      </c>
      <c r="J121" s="26">
        <v>2.0764525993883796</v>
      </c>
      <c r="K121" s="26">
        <v>3.0764525993883756</v>
      </c>
      <c r="L121" s="26">
        <v>4.9388379204892923</v>
      </c>
      <c r="M121" s="26">
        <v>4.6299694189602416</v>
      </c>
      <c r="N121" s="26">
        <v>11.501529051987715</v>
      </c>
      <c r="O121" s="26">
        <v>2.0519877675840981</v>
      </c>
      <c r="P121" s="26">
        <v>0.98470948012232407</v>
      </c>
      <c r="Q121" s="26">
        <v>0.1834862385321101</v>
      </c>
      <c r="R121" s="26">
        <v>7.2201834862385281</v>
      </c>
      <c r="S121" s="26">
        <v>4.2171253822629948</v>
      </c>
      <c r="T121" s="26">
        <v>1.4159021406727825</v>
      </c>
      <c r="U121" s="26">
        <v>1.8685015290519877</v>
      </c>
      <c r="V121" s="26">
        <v>11.516819571865389</v>
      </c>
      <c r="W121" s="27"/>
      <c r="X121" s="24" t="s">
        <v>209</v>
      </c>
      <c r="Y121" s="30" t="s">
        <v>345</v>
      </c>
      <c r="Z121" s="24" t="s">
        <v>368</v>
      </c>
      <c r="AA121" s="28" t="s">
        <v>611</v>
      </c>
      <c r="AB121" s="24" t="s">
        <v>209</v>
      </c>
      <c r="AC121" s="30" t="s">
        <v>345</v>
      </c>
      <c r="AD121" s="30" t="s">
        <v>549</v>
      </c>
      <c r="AE121" s="36">
        <v>42810</v>
      </c>
    </row>
    <row r="122" spans="1:31" ht="15.75" x14ac:dyDescent="0.25">
      <c r="A122" s="23" t="s">
        <v>615</v>
      </c>
      <c r="B122" s="24" t="s">
        <v>616</v>
      </c>
      <c r="C122" s="24" t="s">
        <v>617</v>
      </c>
      <c r="D122" s="24" t="s">
        <v>440</v>
      </c>
      <c r="E122" s="29">
        <v>89512</v>
      </c>
      <c r="F122" s="24" t="s">
        <v>441</v>
      </c>
      <c r="G122" s="24" t="s">
        <v>292</v>
      </c>
      <c r="H122" s="24" t="s">
        <v>208</v>
      </c>
      <c r="I122" s="25">
        <v>16.3260073260073</v>
      </c>
      <c r="J122" s="26">
        <v>1.5963302752293578</v>
      </c>
      <c r="K122" s="26">
        <v>3.3944954128440368</v>
      </c>
      <c r="L122" s="26">
        <v>5.0489296636085612</v>
      </c>
      <c r="M122" s="26">
        <v>4.0458715596330261</v>
      </c>
      <c r="N122" s="26">
        <v>10.688073394495419</v>
      </c>
      <c r="O122" s="26">
        <v>2.4434250764525993</v>
      </c>
      <c r="P122" s="26">
        <v>0.64525993883792043</v>
      </c>
      <c r="Q122" s="26">
        <v>0.30886850152905199</v>
      </c>
      <c r="R122" s="26">
        <v>6.3577981651376172</v>
      </c>
      <c r="S122" s="26">
        <v>2.6819571865443415</v>
      </c>
      <c r="T122" s="26">
        <v>2.2752293577981648</v>
      </c>
      <c r="U122" s="26">
        <v>2.7706422018348627</v>
      </c>
      <c r="V122" s="26">
        <v>10.415902140672783</v>
      </c>
      <c r="W122" s="27"/>
      <c r="X122" s="24" t="s">
        <v>209</v>
      </c>
      <c r="Y122" s="30" t="s">
        <v>345</v>
      </c>
      <c r="Z122" s="24" t="s">
        <v>368</v>
      </c>
      <c r="AA122" s="28" t="s">
        <v>618</v>
      </c>
      <c r="AB122" s="24" t="s">
        <v>209</v>
      </c>
      <c r="AC122" s="30" t="s">
        <v>345</v>
      </c>
      <c r="AD122" s="30" t="s">
        <v>368</v>
      </c>
      <c r="AE122" s="36">
        <v>42600</v>
      </c>
    </row>
    <row r="123" spans="1:31" ht="15.75" x14ac:dyDescent="0.25">
      <c r="A123" s="23" t="s">
        <v>603</v>
      </c>
      <c r="B123" s="24" t="s">
        <v>604</v>
      </c>
      <c r="C123" s="24" t="s">
        <v>605</v>
      </c>
      <c r="D123" s="24" t="s">
        <v>332</v>
      </c>
      <c r="E123" s="29">
        <v>80814</v>
      </c>
      <c r="F123" s="24" t="s">
        <v>333</v>
      </c>
      <c r="G123" s="24" t="s">
        <v>236</v>
      </c>
      <c r="H123" s="24" t="s">
        <v>208</v>
      </c>
      <c r="I123" s="25">
        <v>35.5169811320755</v>
      </c>
      <c r="J123" s="26">
        <v>5.5412844036697226</v>
      </c>
      <c r="K123" s="26">
        <v>1.5198776758409789</v>
      </c>
      <c r="L123" s="26">
        <v>3.5107033639143714</v>
      </c>
      <c r="M123" s="26">
        <v>3.4525993883792032</v>
      </c>
      <c r="N123" s="26">
        <v>7.2538226299694193</v>
      </c>
      <c r="O123" s="26">
        <v>4.9174311926605503</v>
      </c>
      <c r="P123" s="26">
        <v>0.27522935779816515</v>
      </c>
      <c r="Q123" s="26">
        <v>1.5779816513761471</v>
      </c>
      <c r="R123" s="26">
        <v>4.3914373088684986</v>
      </c>
      <c r="S123" s="26">
        <v>2.3516819571865444</v>
      </c>
      <c r="T123" s="26">
        <v>0.74923547400611612</v>
      </c>
      <c r="U123" s="26">
        <v>6.5321100917431174</v>
      </c>
      <c r="V123" s="26">
        <v>12.36697247706423</v>
      </c>
      <c r="W123" s="27"/>
      <c r="X123" s="24" t="s">
        <v>209</v>
      </c>
      <c r="Y123" s="30" t="s">
        <v>345</v>
      </c>
      <c r="Z123" s="24" t="s">
        <v>549</v>
      </c>
      <c r="AA123" s="28" t="s">
        <v>344</v>
      </c>
      <c r="AB123" s="24" t="s">
        <v>606</v>
      </c>
      <c r="AC123" s="30" t="s">
        <v>345</v>
      </c>
      <c r="AD123" s="30" t="s">
        <v>368</v>
      </c>
      <c r="AE123" s="36">
        <v>43371</v>
      </c>
    </row>
    <row r="124" spans="1:31" ht="15.75" x14ac:dyDescent="0.25">
      <c r="A124" s="23" t="s">
        <v>669</v>
      </c>
      <c r="B124" s="24" t="s">
        <v>670</v>
      </c>
      <c r="C124" s="24" t="s">
        <v>671</v>
      </c>
      <c r="D124" s="24" t="s">
        <v>522</v>
      </c>
      <c r="E124" s="29">
        <v>68949</v>
      </c>
      <c r="F124" s="24" t="s">
        <v>398</v>
      </c>
      <c r="G124" s="24" t="s">
        <v>292</v>
      </c>
      <c r="H124" s="24" t="s">
        <v>208</v>
      </c>
      <c r="I124" s="25">
        <v>38.72</v>
      </c>
      <c r="J124" s="26">
        <v>2.1314984709480118</v>
      </c>
      <c r="K124" s="26">
        <v>2.8440366972477062</v>
      </c>
      <c r="L124" s="26">
        <v>5.3516819571865435</v>
      </c>
      <c r="M124" s="26">
        <v>2.5443425076452604</v>
      </c>
      <c r="N124" s="26">
        <v>10.021406727828747</v>
      </c>
      <c r="O124" s="26">
        <v>2.7308868501529053</v>
      </c>
      <c r="P124" s="26">
        <v>0.10091743119266056</v>
      </c>
      <c r="Q124" s="26">
        <v>1.834862385321101E-2</v>
      </c>
      <c r="R124" s="26">
        <v>2.813455657492355</v>
      </c>
      <c r="S124" s="26">
        <v>4.5749235474006111</v>
      </c>
      <c r="T124" s="26">
        <v>3.1009174311926615</v>
      </c>
      <c r="U124" s="26">
        <v>2.382262996941896</v>
      </c>
      <c r="V124" s="26">
        <v>7.9541284403669748</v>
      </c>
      <c r="W124" s="27"/>
      <c r="X124" s="24" t="s">
        <v>209</v>
      </c>
      <c r="Y124" s="30" t="s">
        <v>345</v>
      </c>
      <c r="Z124" s="24" t="s">
        <v>368</v>
      </c>
      <c r="AA124" s="28" t="s">
        <v>427</v>
      </c>
      <c r="AB124" s="24" t="s">
        <v>606</v>
      </c>
      <c r="AC124" s="30" t="s">
        <v>345</v>
      </c>
      <c r="AD124" s="30" t="s">
        <v>368</v>
      </c>
      <c r="AE124" s="36">
        <v>43371</v>
      </c>
    </row>
    <row r="125" spans="1:31" ht="15.75" x14ac:dyDescent="0.25">
      <c r="A125" s="23" t="s">
        <v>612</v>
      </c>
      <c r="B125" s="24" t="s">
        <v>613</v>
      </c>
      <c r="C125" s="24" t="s">
        <v>614</v>
      </c>
      <c r="D125" s="24" t="s">
        <v>397</v>
      </c>
      <c r="E125" s="29">
        <v>55318</v>
      </c>
      <c r="F125" s="24" t="s">
        <v>398</v>
      </c>
      <c r="G125" s="24" t="s">
        <v>236</v>
      </c>
      <c r="H125" s="24" t="s">
        <v>208</v>
      </c>
      <c r="I125" s="25">
        <v>28.7870967741935</v>
      </c>
      <c r="J125" s="26">
        <v>1.0305810397553514</v>
      </c>
      <c r="K125" s="26">
        <v>1.7859327217125376</v>
      </c>
      <c r="L125" s="26">
        <v>7.6299694189602398</v>
      </c>
      <c r="M125" s="26">
        <v>2.1223241590214061</v>
      </c>
      <c r="N125" s="26">
        <v>9.4036697247706371</v>
      </c>
      <c r="O125" s="26">
        <v>2.1987767584097839</v>
      </c>
      <c r="P125" s="26">
        <v>0.5718654434250765</v>
      </c>
      <c r="Q125" s="26">
        <v>0.39449541284403672</v>
      </c>
      <c r="R125" s="26">
        <v>6.9541284403669694</v>
      </c>
      <c r="S125" s="26">
        <v>1.8837920489296636</v>
      </c>
      <c r="T125" s="26">
        <v>1.155963302752294</v>
      </c>
      <c r="U125" s="26">
        <v>2.5749235474006094</v>
      </c>
      <c r="V125" s="26">
        <v>8.9357798165137563</v>
      </c>
      <c r="W125" s="27"/>
      <c r="X125" s="24" t="s">
        <v>209</v>
      </c>
      <c r="Y125" s="30" t="s">
        <v>345</v>
      </c>
      <c r="Z125" s="24" t="s">
        <v>368</v>
      </c>
      <c r="AA125" s="28" t="s">
        <v>495</v>
      </c>
      <c r="AB125" s="24" t="s">
        <v>209</v>
      </c>
      <c r="AC125" s="30" t="s">
        <v>345</v>
      </c>
      <c r="AD125" s="30" t="s">
        <v>368</v>
      </c>
      <c r="AE125" s="36">
        <v>43055</v>
      </c>
    </row>
    <row r="126" spans="1:31" ht="15.75" x14ac:dyDescent="0.25">
      <c r="A126" s="23" t="s">
        <v>623</v>
      </c>
      <c r="B126" s="24" t="s">
        <v>624</v>
      </c>
      <c r="C126" s="24" t="s">
        <v>625</v>
      </c>
      <c r="D126" s="24" t="s">
        <v>559</v>
      </c>
      <c r="E126" s="29">
        <v>65721</v>
      </c>
      <c r="F126" s="24" t="s">
        <v>43</v>
      </c>
      <c r="G126" s="24" t="s">
        <v>236</v>
      </c>
      <c r="H126" s="24" t="s">
        <v>5</v>
      </c>
      <c r="I126" s="25">
        <v>27.8345323741007</v>
      </c>
      <c r="J126" s="26">
        <v>3.4097859327217108</v>
      </c>
      <c r="K126" s="26">
        <v>2.6422018348623859</v>
      </c>
      <c r="L126" s="26">
        <v>2.9357798165137607</v>
      </c>
      <c r="M126" s="26">
        <v>1.2171253822629968</v>
      </c>
      <c r="N126" s="26">
        <v>5.5871559633027505</v>
      </c>
      <c r="O126" s="26">
        <v>4.5535168195718621</v>
      </c>
      <c r="P126" s="26">
        <v>6.1162079510703363E-2</v>
      </c>
      <c r="Q126" s="26">
        <v>3.0581039755351682E-3</v>
      </c>
      <c r="R126" s="26">
        <v>0.86238532110091759</v>
      </c>
      <c r="S126" s="26">
        <v>1.9755351681957185</v>
      </c>
      <c r="T126" s="26">
        <v>3.0642201834862379</v>
      </c>
      <c r="U126" s="26">
        <v>4.3027522935779787</v>
      </c>
      <c r="V126" s="26">
        <v>4.5810397553516831</v>
      </c>
      <c r="W126" s="27"/>
      <c r="X126" s="24" t="s">
        <v>209</v>
      </c>
      <c r="Y126" s="30" t="s">
        <v>345</v>
      </c>
      <c r="Z126" s="24" t="s">
        <v>368</v>
      </c>
      <c r="AA126" s="28" t="s">
        <v>626</v>
      </c>
      <c r="AB126" s="24" t="s">
        <v>209</v>
      </c>
      <c r="AC126" s="30" t="s">
        <v>345</v>
      </c>
      <c r="AD126" s="30" t="s">
        <v>368</v>
      </c>
      <c r="AE126" s="36">
        <v>43160</v>
      </c>
    </row>
    <row r="127" spans="1:31" ht="15.75" x14ac:dyDescent="0.25">
      <c r="A127" s="23" t="s">
        <v>619</v>
      </c>
      <c r="B127" s="24" t="s">
        <v>620</v>
      </c>
      <c r="C127" s="24" t="s">
        <v>621</v>
      </c>
      <c r="D127" s="24" t="s">
        <v>622</v>
      </c>
      <c r="E127" s="29">
        <v>29405</v>
      </c>
      <c r="F127" s="24" t="s">
        <v>218</v>
      </c>
      <c r="G127" s="24" t="s">
        <v>292</v>
      </c>
      <c r="H127" s="24" t="s">
        <v>5</v>
      </c>
      <c r="I127" s="25">
        <v>2.7020335985853201</v>
      </c>
      <c r="J127" s="26">
        <v>3.1253822629969328</v>
      </c>
      <c r="K127" s="26">
        <v>2.8868501529051915</v>
      </c>
      <c r="L127" s="26">
        <v>2.1070336391437237</v>
      </c>
      <c r="M127" s="26">
        <v>1.7155963302752282</v>
      </c>
      <c r="N127" s="26">
        <v>6.5290519877675255</v>
      </c>
      <c r="O127" s="26">
        <v>2.9113149847094708</v>
      </c>
      <c r="P127" s="26">
        <v>0.14373088685015292</v>
      </c>
      <c r="Q127" s="26">
        <v>0.25076452599388377</v>
      </c>
      <c r="R127" s="26">
        <v>1.9847094801223213</v>
      </c>
      <c r="S127" s="26">
        <v>3.0244648318042748</v>
      </c>
      <c r="T127" s="26">
        <v>1.8165137614678855</v>
      </c>
      <c r="U127" s="26">
        <v>3.0091743119265968</v>
      </c>
      <c r="V127" s="26">
        <v>6.0061162079510302</v>
      </c>
      <c r="W127" s="27"/>
      <c r="X127" s="24" t="s">
        <v>209</v>
      </c>
      <c r="Y127" s="30" t="s">
        <v>345</v>
      </c>
      <c r="Z127" s="24" t="s">
        <v>368</v>
      </c>
      <c r="AA127" s="28" t="s">
        <v>279</v>
      </c>
      <c r="AB127" s="24" t="s">
        <v>209</v>
      </c>
      <c r="AC127" s="30" t="s">
        <v>345</v>
      </c>
      <c r="AD127" s="30" t="s">
        <v>368</v>
      </c>
      <c r="AE127" s="36">
        <v>43433</v>
      </c>
    </row>
    <row r="128" spans="1:31" ht="15.75" x14ac:dyDescent="0.25">
      <c r="A128" s="23" t="s">
        <v>665</v>
      </c>
      <c r="B128" s="24" t="s">
        <v>666</v>
      </c>
      <c r="C128" s="24" t="s">
        <v>667</v>
      </c>
      <c r="D128" s="24" t="s">
        <v>668</v>
      </c>
      <c r="E128" s="29">
        <v>96910</v>
      </c>
      <c r="F128" s="24" t="s">
        <v>386</v>
      </c>
      <c r="G128" s="24" t="s">
        <v>292</v>
      </c>
      <c r="H128" s="24" t="s">
        <v>208</v>
      </c>
      <c r="I128" s="25">
        <v>39.925925925925903</v>
      </c>
      <c r="J128" s="26">
        <v>0</v>
      </c>
      <c r="K128" s="26">
        <v>5.2813455657492359</v>
      </c>
      <c r="L128" s="26">
        <v>1.7859327217125385</v>
      </c>
      <c r="M128" s="26">
        <v>2.1651376146788985</v>
      </c>
      <c r="N128" s="26">
        <v>7.4128440366972468</v>
      </c>
      <c r="O128" s="26">
        <v>1.819571865443425</v>
      </c>
      <c r="P128" s="26">
        <v>0</v>
      </c>
      <c r="Q128" s="26">
        <v>0</v>
      </c>
      <c r="R128" s="26">
        <v>6.0305810397553525</v>
      </c>
      <c r="S128" s="26">
        <v>0.33333333333333337</v>
      </c>
      <c r="T128" s="26">
        <v>1.0489296636085625</v>
      </c>
      <c r="U128" s="26">
        <v>1.819571865443425</v>
      </c>
      <c r="V128" s="26">
        <v>8.3792048929663601</v>
      </c>
      <c r="W128" s="27"/>
      <c r="X128" s="24" t="s">
        <v>238</v>
      </c>
      <c r="Y128" s="30"/>
      <c r="Z128" s="24"/>
      <c r="AA128" s="28"/>
      <c r="AB128" s="24" t="s">
        <v>238</v>
      </c>
      <c r="AC128" s="30"/>
      <c r="AD128" s="30"/>
      <c r="AE128" s="36"/>
    </row>
    <row r="129" spans="1:31" ht="15.75" x14ac:dyDescent="0.25">
      <c r="A129" s="23" t="s">
        <v>924</v>
      </c>
      <c r="B129" s="24" t="s">
        <v>923</v>
      </c>
      <c r="C129" s="24" t="s">
        <v>922</v>
      </c>
      <c r="D129" s="24" t="s">
        <v>222</v>
      </c>
      <c r="E129" s="29">
        <v>76021</v>
      </c>
      <c r="F129" s="24" t="s">
        <v>314</v>
      </c>
      <c r="G129" s="24" t="s">
        <v>236</v>
      </c>
      <c r="H129" s="24" t="s">
        <v>208</v>
      </c>
      <c r="I129" s="25">
        <v>1.2041837198726699</v>
      </c>
      <c r="J129" s="26">
        <v>7.311926605504417</v>
      </c>
      <c r="K129" s="26">
        <v>0.21100917431192642</v>
      </c>
      <c r="L129" s="26">
        <v>0.27828746177370034</v>
      </c>
      <c r="M129" s="26">
        <v>0.33639143730886872</v>
      </c>
      <c r="N129" s="26">
        <v>4.217125382262922</v>
      </c>
      <c r="O129" s="26">
        <v>3.223241590214017</v>
      </c>
      <c r="P129" s="26">
        <v>0.23241590214067276</v>
      </c>
      <c r="Q129" s="26">
        <v>0.46483180428134635</v>
      </c>
      <c r="R129" s="26">
        <v>1.4648318042813409</v>
      </c>
      <c r="S129" s="26">
        <v>1.0856269113149868</v>
      </c>
      <c r="T129" s="26">
        <v>1.8685015290519753</v>
      </c>
      <c r="U129" s="26">
        <v>3.7186544342507029</v>
      </c>
      <c r="V129" s="26">
        <v>3.3211009174311448</v>
      </c>
      <c r="W129" s="27"/>
      <c r="X129" s="24" t="s">
        <v>606</v>
      </c>
      <c r="Y129" s="30" t="s">
        <v>345</v>
      </c>
      <c r="Z129" s="24" t="s">
        <v>368</v>
      </c>
      <c r="AA129" s="28" t="s">
        <v>921</v>
      </c>
      <c r="AB129" s="24" t="s">
        <v>606</v>
      </c>
      <c r="AC129" s="30" t="s">
        <v>345</v>
      </c>
      <c r="AD129" s="30" t="s">
        <v>368</v>
      </c>
      <c r="AE129" s="36">
        <v>42580</v>
      </c>
    </row>
    <row r="130" spans="1:31" ht="15.75" x14ac:dyDescent="0.25">
      <c r="A130" s="23" t="s">
        <v>920</v>
      </c>
      <c r="B130" s="24" t="s">
        <v>919</v>
      </c>
      <c r="C130" s="24" t="s">
        <v>918</v>
      </c>
      <c r="D130" s="24" t="s">
        <v>363</v>
      </c>
      <c r="E130" s="29">
        <v>12901</v>
      </c>
      <c r="F130" s="24" t="s">
        <v>364</v>
      </c>
      <c r="G130" s="24" t="s">
        <v>292</v>
      </c>
      <c r="H130" s="24" t="s">
        <v>208</v>
      </c>
      <c r="I130" s="25">
        <v>11.534391534391499</v>
      </c>
      <c r="J130" s="26">
        <v>2.6758409785932731</v>
      </c>
      <c r="K130" s="26">
        <v>3.4434250764525989</v>
      </c>
      <c r="L130" s="26">
        <v>0.48623853211009177</v>
      </c>
      <c r="M130" s="26">
        <v>1.09480122324159</v>
      </c>
      <c r="N130" s="26">
        <v>2.4770642201834874</v>
      </c>
      <c r="O130" s="26">
        <v>3.0672782874617734</v>
      </c>
      <c r="P130" s="26">
        <v>1.7125382262996944</v>
      </c>
      <c r="Q130" s="26">
        <v>0.44342507645259943</v>
      </c>
      <c r="R130" s="26">
        <v>1.2782874617737003</v>
      </c>
      <c r="S130" s="26">
        <v>0.22324159021406725</v>
      </c>
      <c r="T130" s="26">
        <v>2.6880733944954134</v>
      </c>
      <c r="U130" s="26">
        <v>3.5107033639143732</v>
      </c>
      <c r="V130" s="26">
        <v>5.4801223241590149</v>
      </c>
      <c r="W130" s="27"/>
      <c r="X130" s="24" t="s">
        <v>209</v>
      </c>
      <c r="Y130" s="30" t="s">
        <v>345</v>
      </c>
      <c r="Z130" s="24" t="s">
        <v>368</v>
      </c>
      <c r="AA130" s="28" t="s">
        <v>917</v>
      </c>
      <c r="AB130" s="24" t="s">
        <v>209</v>
      </c>
      <c r="AC130" s="30" t="s">
        <v>345</v>
      </c>
      <c r="AD130" s="30" t="s">
        <v>368</v>
      </c>
      <c r="AE130" s="36">
        <v>43139</v>
      </c>
    </row>
    <row r="131" spans="1:31" ht="15.75" x14ac:dyDescent="0.25">
      <c r="A131" s="23" t="s">
        <v>633</v>
      </c>
      <c r="B131" s="24" t="s">
        <v>634</v>
      </c>
      <c r="C131" s="24" t="s">
        <v>255</v>
      </c>
      <c r="D131" s="24" t="s">
        <v>205</v>
      </c>
      <c r="E131" s="29">
        <v>92154</v>
      </c>
      <c r="F131" s="24" t="s">
        <v>256</v>
      </c>
      <c r="G131" s="24" t="s">
        <v>0</v>
      </c>
      <c r="H131" s="24" t="s">
        <v>208</v>
      </c>
      <c r="I131" s="25">
        <v>1.73114463176575</v>
      </c>
      <c r="J131" s="26">
        <v>6.8256880733944207</v>
      </c>
      <c r="K131" s="26">
        <v>0.29969418960244643</v>
      </c>
      <c r="L131" s="26">
        <v>0.15902140672782875</v>
      </c>
      <c r="M131" s="26">
        <v>2.140672782874618E-2</v>
      </c>
      <c r="N131" s="26">
        <v>1.409785932721711</v>
      </c>
      <c r="O131" s="26">
        <v>4.9266055045870987</v>
      </c>
      <c r="P131" s="26">
        <v>5.1987767584097865E-2</v>
      </c>
      <c r="Q131" s="26">
        <v>0.91743119266055184</v>
      </c>
      <c r="R131" s="26">
        <v>0.33027522935779829</v>
      </c>
      <c r="S131" s="26">
        <v>0.22018348623853204</v>
      </c>
      <c r="T131" s="26">
        <v>0.91437308868501588</v>
      </c>
      <c r="U131" s="26">
        <v>5.8409785932720979</v>
      </c>
      <c r="V131" s="26">
        <v>3.8685015290519456</v>
      </c>
      <c r="W131" s="27"/>
      <c r="X131" s="24" t="s">
        <v>238</v>
      </c>
      <c r="Y131" s="30"/>
      <c r="Z131" s="24"/>
      <c r="AA131" s="28"/>
      <c r="AB131" s="24" t="s">
        <v>238</v>
      </c>
      <c r="AC131" s="30"/>
      <c r="AD131" s="30"/>
      <c r="AE131" s="36"/>
    </row>
    <row r="132" spans="1:31" ht="15.75" x14ac:dyDescent="0.25">
      <c r="A132" s="23" t="s">
        <v>630</v>
      </c>
      <c r="B132" s="24" t="s">
        <v>631</v>
      </c>
      <c r="C132" s="24" t="s">
        <v>632</v>
      </c>
      <c r="D132" s="24" t="s">
        <v>53</v>
      </c>
      <c r="E132" s="29">
        <v>35968</v>
      </c>
      <c r="F132" s="24" t="s">
        <v>235</v>
      </c>
      <c r="G132" s="24" t="s">
        <v>292</v>
      </c>
      <c r="H132" s="24" t="s">
        <v>208</v>
      </c>
      <c r="I132" s="25">
        <v>4.7711864406779698</v>
      </c>
      <c r="J132" s="26">
        <v>3.0397553516819551</v>
      </c>
      <c r="K132" s="26">
        <v>1.4831804281345562</v>
      </c>
      <c r="L132" s="26">
        <v>2.2232415902140628</v>
      </c>
      <c r="M132" s="26">
        <v>0.15902140672782875</v>
      </c>
      <c r="N132" s="26">
        <v>4.2813455657492352E-2</v>
      </c>
      <c r="O132" s="26">
        <v>0</v>
      </c>
      <c r="P132" s="26">
        <v>3.8256880733944971</v>
      </c>
      <c r="Q132" s="26">
        <v>3.0366972477064214</v>
      </c>
      <c r="R132" s="26">
        <v>2.5107033639143728</v>
      </c>
      <c r="S132" s="26">
        <v>0.54128440366972486</v>
      </c>
      <c r="T132" s="26">
        <v>0.80122324159021407</v>
      </c>
      <c r="U132" s="26">
        <v>3.0519877675840967</v>
      </c>
      <c r="V132" s="26">
        <v>5.9663608562691106</v>
      </c>
      <c r="W132" s="27"/>
      <c r="X132" s="24" t="s">
        <v>209</v>
      </c>
      <c r="Y132" s="30" t="s">
        <v>345</v>
      </c>
      <c r="Z132" s="24" t="s">
        <v>213</v>
      </c>
      <c r="AA132" s="28" t="s">
        <v>269</v>
      </c>
      <c r="AB132" s="24" t="s">
        <v>209</v>
      </c>
      <c r="AC132" s="30" t="s">
        <v>345</v>
      </c>
      <c r="AD132" s="30" t="s">
        <v>368</v>
      </c>
      <c r="AE132" s="36">
        <v>42741</v>
      </c>
    </row>
    <row r="133" spans="1:31" ht="15.75" x14ac:dyDescent="0.25">
      <c r="A133" s="23" t="s">
        <v>642</v>
      </c>
      <c r="B133" s="24" t="s">
        <v>643</v>
      </c>
      <c r="C133" s="24" t="s">
        <v>644</v>
      </c>
      <c r="D133" s="24" t="s">
        <v>222</v>
      </c>
      <c r="E133" s="29">
        <v>75202</v>
      </c>
      <c r="F133" s="24" t="s">
        <v>314</v>
      </c>
      <c r="G133" s="24" t="s">
        <v>292</v>
      </c>
      <c r="H133" s="24" t="s">
        <v>208</v>
      </c>
      <c r="I133" s="25">
        <v>1.2059635560463799</v>
      </c>
      <c r="J133" s="26">
        <v>6.6850152905197238</v>
      </c>
      <c r="K133" s="26">
        <v>3.0581039755351688E-2</v>
      </c>
      <c r="L133" s="26">
        <v>2.4464831804281349E-2</v>
      </c>
      <c r="M133" s="26">
        <v>6.1162079510703364E-3</v>
      </c>
      <c r="N133" s="26">
        <v>3.6941896024464209</v>
      </c>
      <c r="O133" s="26">
        <v>2.57492354740058</v>
      </c>
      <c r="P133" s="26">
        <v>0.21100917431192651</v>
      </c>
      <c r="Q133" s="26">
        <v>0.26605504587155948</v>
      </c>
      <c r="R133" s="26">
        <v>1.0519877675841007</v>
      </c>
      <c r="S133" s="26">
        <v>1.1345565749235487</v>
      </c>
      <c r="T133" s="26">
        <v>1.7767584097859224</v>
      </c>
      <c r="U133" s="26">
        <v>2.7828746177369639</v>
      </c>
      <c r="V133" s="26">
        <v>2.3425076452599156</v>
      </c>
      <c r="W133" s="27"/>
      <c r="X133" s="24" t="s">
        <v>606</v>
      </c>
      <c r="Y133" s="30" t="s">
        <v>345</v>
      </c>
      <c r="Z133" s="24" t="s">
        <v>368</v>
      </c>
      <c r="AA133" s="28" t="s">
        <v>645</v>
      </c>
      <c r="AB133" s="24" t="s">
        <v>238</v>
      </c>
      <c r="AC133" s="30"/>
      <c r="AD133" s="30"/>
      <c r="AE133" s="36"/>
    </row>
    <row r="134" spans="1:31" ht="15.75" x14ac:dyDescent="0.25">
      <c r="A134" s="23" t="s">
        <v>635</v>
      </c>
      <c r="B134" s="24" t="s">
        <v>636</v>
      </c>
      <c r="C134" s="24" t="s">
        <v>637</v>
      </c>
      <c r="D134" s="24" t="s">
        <v>559</v>
      </c>
      <c r="E134" s="29">
        <v>64079</v>
      </c>
      <c r="F134" s="24" t="s">
        <v>43</v>
      </c>
      <c r="G134" s="24" t="s">
        <v>236</v>
      </c>
      <c r="H134" s="24" t="s">
        <v>208</v>
      </c>
      <c r="I134" s="25">
        <v>23.855421686747</v>
      </c>
      <c r="J134" s="26">
        <v>2.9418960244648313</v>
      </c>
      <c r="K134" s="26">
        <v>1.1498470948012232</v>
      </c>
      <c r="L134" s="26">
        <v>1.2599388379204894</v>
      </c>
      <c r="M134" s="26">
        <v>1.1192660550458715</v>
      </c>
      <c r="N134" s="26">
        <v>3.1834862385321099</v>
      </c>
      <c r="O134" s="26">
        <v>1.418960244648318</v>
      </c>
      <c r="P134" s="26">
        <v>1.214067278287462</v>
      </c>
      <c r="Q134" s="26">
        <v>0.65443425076452599</v>
      </c>
      <c r="R134" s="26">
        <v>1.8776758409785934</v>
      </c>
      <c r="S134" s="26">
        <v>0.51681957186544347</v>
      </c>
      <c r="T134" s="26">
        <v>2.0030581039755346</v>
      </c>
      <c r="U134" s="26">
        <v>2.0733944954128436</v>
      </c>
      <c r="V134" s="26">
        <v>3.4220183486238529</v>
      </c>
      <c r="W134" s="27"/>
      <c r="X134" s="24" t="s">
        <v>209</v>
      </c>
      <c r="Y134" s="30" t="s">
        <v>345</v>
      </c>
      <c r="Z134" s="24" t="s">
        <v>346</v>
      </c>
      <c r="AA134" s="28" t="s">
        <v>298</v>
      </c>
      <c r="AB134" s="24" t="s">
        <v>209</v>
      </c>
      <c r="AC134" s="30" t="s">
        <v>345</v>
      </c>
      <c r="AD134" s="30" t="s">
        <v>368</v>
      </c>
      <c r="AE134" s="36">
        <v>43055</v>
      </c>
    </row>
    <row r="135" spans="1:31" ht="15.75" x14ac:dyDescent="0.25">
      <c r="A135" s="23" t="s">
        <v>657</v>
      </c>
      <c r="B135" s="24" t="s">
        <v>658</v>
      </c>
      <c r="C135" s="24" t="s">
        <v>659</v>
      </c>
      <c r="D135" s="24" t="s">
        <v>660</v>
      </c>
      <c r="E135" s="29">
        <v>96950</v>
      </c>
      <c r="F135" s="24" t="s">
        <v>386</v>
      </c>
      <c r="G135" s="24" t="s">
        <v>292</v>
      </c>
      <c r="H135" s="24" t="s">
        <v>208</v>
      </c>
      <c r="I135" s="25">
        <v>23</v>
      </c>
      <c r="J135" s="26">
        <v>0</v>
      </c>
      <c r="K135" s="26">
        <v>4.9571865443425054</v>
      </c>
      <c r="L135" s="26">
        <v>1.4678899082568808</v>
      </c>
      <c r="M135" s="26">
        <v>0</v>
      </c>
      <c r="N135" s="26">
        <v>3.3241590214067283</v>
      </c>
      <c r="O135" s="26">
        <v>2.039755351681956</v>
      </c>
      <c r="P135" s="26">
        <v>0.85015290519877673</v>
      </c>
      <c r="Q135" s="26">
        <v>0.21100917431192662</v>
      </c>
      <c r="R135" s="26">
        <v>1.7308868501529051</v>
      </c>
      <c r="S135" s="26">
        <v>2.4464831804281344</v>
      </c>
      <c r="T135" s="26">
        <v>0</v>
      </c>
      <c r="U135" s="26">
        <v>2.2477064220183474</v>
      </c>
      <c r="V135" s="26">
        <v>4.5688073394495401</v>
      </c>
      <c r="W135" s="27"/>
      <c r="X135" s="24" t="s">
        <v>238</v>
      </c>
      <c r="Y135" s="30"/>
      <c r="Z135" s="24"/>
      <c r="AA135" s="28"/>
      <c r="AB135" s="24" t="s">
        <v>238</v>
      </c>
      <c r="AC135" s="30"/>
      <c r="AD135" s="30"/>
      <c r="AE135" s="36"/>
    </row>
    <row r="136" spans="1:31" ht="15.75" x14ac:dyDescent="0.25">
      <c r="A136" s="23" t="s">
        <v>638</v>
      </c>
      <c r="B136" s="24" t="s">
        <v>639</v>
      </c>
      <c r="C136" s="24" t="s">
        <v>640</v>
      </c>
      <c r="D136" s="24" t="s">
        <v>329</v>
      </c>
      <c r="E136" s="29">
        <v>34112</v>
      </c>
      <c r="F136" s="24" t="s">
        <v>36</v>
      </c>
      <c r="G136" s="24" t="s">
        <v>236</v>
      </c>
      <c r="H136" s="24" t="s">
        <v>208</v>
      </c>
      <c r="I136" s="25">
        <v>2.14790286975717</v>
      </c>
      <c r="J136" s="26">
        <v>2.4617737003058067</v>
      </c>
      <c r="K136" s="26">
        <v>0.9938837920489304</v>
      </c>
      <c r="L136" s="26">
        <v>1.6819571865443421</v>
      </c>
      <c r="M136" s="26">
        <v>0.7522935779816522</v>
      </c>
      <c r="N136" s="26">
        <v>3.8226299694189514</v>
      </c>
      <c r="O136" s="26">
        <v>1.8195718654434239</v>
      </c>
      <c r="P136" s="26">
        <v>6.4220183486238536E-2</v>
      </c>
      <c r="Q136" s="26">
        <v>0.18348623853211013</v>
      </c>
      <c r="R136" s="26">
        <v>0.67584097859327286</v>
      </c>
      <c r="S136" s="26">
        <v>1.4862385321100902</v>
      </c>
      <c r="T136" s="26">
        <v>1.8348623853210988</v>
      </c>
      <c r="U136" s="26">
        <v>1.8929663608562683</v>
      </c>
      <c r="V136" s="26">
        <v>2.5993883792048851</v>
      </c>
      <c r="W136" s="27"/>
      <c r="X136" s="24" t="s">
        <v>209</v>
      </c>
      <c r="Y136" s="30" t="s">
        <v>345</v>
      </c>
      <c r="Z136" s="24" t="s">
        <v>390</v>
      </c>
      <c r="AA136" s="28" t="s">
        <v>641</v>
      </c>
      <c r="AB136" s="24" t="s">
        <v>606</v>
      </c>
      <c r="AC136" s="30" t="s">
        <v>345</v>
      </c>
      <c r="AD136" s="30" t="s">
        <v>368</v>
      </c>
      <c r="AE136" s="36">
        <v>43364</v>
      </c>
    </row>
    <row r="137" spans="1:31" ht="15.75" x14ac:dyDescent="0.25">
      <c r="A137" s="23" t="s">
        <v>55</v>
      </c>
      <c r="B137" s="24" t="s">
        <v>653</v>
      </c>
      <c r="C137" s="24" t="s">
        <v>654</v>
      </c>
      <c r="D137" s="24" t="s">
        <v>655</v>
      </c>
      <c r="E137" s="29">
        <v>939</v>
      </c>
      <c r="F137" s="24" t="s">
        <v>36</v>
      </c>
      <c r="G137" s="24" t="s">
        <v>580</v>
      </c>
      <c r="H137" s="24" t="s">
        <v>208</v>
      </c>
      <c r="I137" s="25">
        <v>9.9289617486338795</v>
      </c>
      <c r="J137" s="26">
        <v>8.8685015290519878E-2</v>
      </c>
      <c r="K137" s="26">
        <v>2.4801223241590216</v>
      </c>
      <c r="L137" s="26">
        <v>1.4892966360856272</v>
      </c>
      <c r="M137" s="26">
        <v>1.5259938837920488</v>
      </c>
      <c r="N137" s="26">
        <v>4.6544342507645267</v>
      </c>
      <c r="O137" s="26">
        <v>0.72782874617737014</v>
      </c>
      <c r="P137" s="26">
        <v>0.1834862385321101</v>
      </c>
      <c r="Q137" s="26">
        <v>1.834862385321101E-2</v>
      </c>
      <c r="R137" s="26">
        <v>2.3761467889908254</v>
      </c>
      <c r="S137" s="26">
        <v>2.3333333333333348</v>
      </c>
      <c r="T137" s="26">
        <v>0.1620795107033639</v>
      </c>
      <c r="U137" s="26">
        <v>0.71253822629969432</v>
      </c>
      <c r="V137" s="26">
        <v>4.9357798165137634</v>
      </c>
      <c r="W137" s="27"/>
      <c r="X137" s="24" t="s">
        <v>209</v>
      </c>
      <c r="Y137" s="30" t="s">
        <v>345</v>
      </c>
      <c r="Z137" s="24" t="s">
        <v>346</v>
      </c>
      <c r="AA137" s="28" t="s">
        <v>656</v>
      </c>
      <c r="AB137" s="24" t="s">
        <v>209</v>
      </c>
      <c r="AC137" s="30" t="s">
        <v>345</v>
      </c>
      <c r="AD137" s="30" t="s">
        <v>346</v>
      </c>
      <c r="AE137" s="36">
        <v>39241</v>
      </c>
    </row>
    <row r="138" spans="1:31" ht="15.75" x14ac:dyDescent="0.25">
      <c r="A138" s="23" t="s">
        <v>649</v>
      </c>
      <c r="B138" s="24" t="s">
        <v>650</v>
      </c>
      <c r="C138" s="24" t="s">
        <v>651</v>
      </c>
      <c r="D138" s="24" t="s">
        <v>610</v>
      </c>
      <c r="E138" s="29">
        <v>84737</v>
      </c>
      <c r="F138" s="24" t="s">
        <v>441</v>
      </c>
      <c r="G138" s="24" t="s">
        <v>292</v>
      </c>
      <c r="H138" s="24" t="s">
        <v>208</v>
      </c>
      <c r="I138" s="25">
        <v>7.5286343612334798</v>
      </c>
      <c r="J138" s="26">
        <v>0.25688073394495414</v>
      </c>
      <c r="K138" s="26">
        <v>4.4159021406727792</v>
      </c>
      <c r="L138" s="26">
        <v>0.65443425076452599</v>
      </c>
      <c r="M138" s="26">
        <v>0.1529051987767584</v>
      </c>
      <c r="N138" s="26">
        <v>3.6452599388379152</v>
      </c>
      <c r="O138" s="26">
        <v>1.4862385321100917</v>
      </c>
      <c r="P138" s="26">
        <v>0.20795107033639143</v>
      </c>
      <c r="Q138" s="26">
        <v>0.14067278287461774</v>
      </c>
      <c r="R138" s="26">
        <v>1.3914373088685013</v>
      </c>
      <c r="S138" s="26">
        <v>1.7584097859327219</v>
      </c>
      <c r="T138" s="26">
        <v>0.81651376146789012</v>
      </c>
      <c r="U138" s="26">
        <v>1.5137614678899081</v>
      </c>
      <c r="V138" s="26">
        <v>3.8746177370030535</v>
      </c>
      <c r="W138" s="27"/>
      <c r="X138" s="24" t="s">
        <v>606</v>
      </c>
      <c r="Y138" s="30" t="s">
        <v>345</v>
      </c>
      <c r="Z138" s="24" t="s">
        <v>368</v>
      </c>
      <c r="AA138" s="28" t="s">
        <v>652</v>
      </c>
      <c r="AB138" s="24" t="s">
        <v>606</v>
      </c>
      <c r="AC138" s="30" t="s">
        <v>345</v>
      </c>
      <c r="AD138" s="30" t="s">
        <v>368</v>
      </c>
      <c r="AE138" s="36">
        <v>42978</v>
      </c>
    </row>
    <row r="139" spans="1:31" ht="15.75" x14ac:dyDescent="0.25">
      <c r="A139" s="23" t="s">
        <v>672</v>
      </c>
      <c r="B139" s="24" t="s">
        <v>673</v>
      </c>
      <c r="C139" s="24" t="s">
        <v>674</v>
      </c>
      <c r="D139" s="24" t="s">
        <v>540</v>
      </c>
      <c r="E139" s="29">
        <v>52401</v>
      </c>
      <c r="F139" s="24" t="s">
        <v>398</v>
      </c>
      <c r="G139" s="24" t="s">
        <v>292</v>
      </c>
      <c r="H139" s="24" t="s">
        <v>208</v>
      </c>
      <c r="I139" s="25">
        <v>8.8677248677248706</v>
      </c>
      <c r="J139" s="26">
        <v>1.1376146788990826</v>
      </c>
      <c r="K139" s="26">
        <v>2.4373088685015296</v>
      </c>
      <c r="L139" s="26">
        <v>0.51376146788990829</v>
      </c>
      <c r="M139" s="26">
        <v>1.0428134556574924</v>
      </c>
      <c r="N139" s="26">
        <v>3.8073394495412849</v>
      </c>
      <c r="O139" s="26">
        <v>0.93272171253822656</v>
      </c>
      <c r="P139" s="26">
        <v>0.29357798165137611</v>
      </c>
      <c r="Q139" s="26">
        <v>9.7859327217125383E-2</v>
      </c>
      <c r="R139" s="26">
        <v>1.9541284403669714</v>
      </c>
      <c r="S139" s="26">
        <v>1.4342507645259945</v>
      </c>
      <c r="T139" s="26">
        <v>0.89602446483180409</v>
      </c>
      <c r="U139" s="26">
        <v>0.84709480122324177</v>
      </c>
      <c r="V139" s="26">
        <v>3.663608562691131</v>
      </c>
      <c r="W139" s="27"/>
      <c r="X139" s="24" t="s">
        <v>209</v>
      </c>
      <c r="Y139" s="30" t="s">
        <v>345</v>
      </c>
      <c r="Z139" s="24" t="s">
        <v>368</v>
      </c>
      <c r="AA139" s="28" t="s">
        <v>675</v>
      </c>
      <c r="AB139" s="24" t="s">
        <v>209</v>
      </c>
      <c r="AC139" s="30" t="s">
        <v>345</v>
      </c>
      <c r="AD139" s="30" t="s">
        <v>368</v>
      </c>
      <c r="AE139" s="36">
        <v>43041</v>
      </c>
    </row>
    <row r="140" spans="1:31" ht="15.75" x14ac:dyDescent="0.25">
      <c r="A140" s="23" t="s">
        <v>661</v>
      </c>
      <c r="B140" s="24" t="s">
        <v>662</v>
      </c>
      <c r="C140" s="24" t="s">
        <v>663</v>
      </c>
      <c r="D140" s="24" t="s">
        <v>559</v>
      </c>
      <c r="E140" s="29">
        <v>63379</v>
      </c>
      <c r="F140" s="24" t="s">
        <v>43</v>
      </c>
      <c r="G140" s="24" t="s">
        <v>236</v>
      </c>
      <c r="H140" s="24" t="s">
        <v>208</v>
      </c>
      <c r="I140" s="25">
        <v>35.310344827586199</v>
      </c>
      <c r="J140" s="26">
        <v>0.66360856269113166</v>
      </c>
      <c r="K140" s="26">
        <v>0.32415902140672787</v>
      </c>
      <c r="L140" s="26">
        <v>1.6422018348623855</v>
      </c>
      <c r="M140" s="26">
        <v>2.0856269113149848</v>
      </c>
      <c r="N140" s="26">
        <v>3.4464831804281344</v>
      </c>
      <c r="O140" s="26">
        <v>0.51681957186544347</v>
      </c>
      <c r="P140" s="26">
        <v>0.75229357798165142</v>
      </c>
      <c r="Q140" s="26">
        <v>0</v>
      </c>
      <c r="R140" s="26">
        <v>1.8837920489296636</v>
      </c>
      <c r="S140" s="26">
        <v>2.0366972477064218</v>
      </c>
      <c r="T140" s="26">
        <v>0.32415902140672787</v>
      </c>
      <c r="U140" s="26">
        <v>0.47094801223241589</v>
      </c>
      <c r="V140" s="26">
        <v>3.8593272171253825</v>
      </c>
      <c r="W140" s="27"/>
      <c r="X140" s="24" t="s">
        <v>606</v>
      </c>
      <c r="Y140" s="30" t="s">
        <v>345</v>
      </c>
      <c r="Z140" s="24" t="s">
        <v>368</v>
      </c>
      <c r="AA140" s="28" t="s">
        <v>664</v>
      </c>
      <c r="AB140" s="24" t="s">
        <v>606</v>
      </c>
      <c r="AC140" s="30" t="s">
        <v>345</v>
      </c>
      <c r="AD140" s="30" t="s">
        <v>368</v>
      </c>
      <c r="AE140" s="36">
        <v>42983</v>
      </c>
    </row>
    <row r="141" spans="1:31" ht="15.75" x14ac:dyDescent="0.25">
      <c r="A141" s="23" t="s">
        <v>51</v>
      </c>
      <c r="B141" s="24" t="s">
        <v>646</v>
      </c>
      <c r="C141" s="24" t="s">
        <v>647</v>
      </c>
      <c r="D141" s="24" t="s">
        <v>329</v>
      </c>
      <c r="E141" s="29">
        <v>33762</v>
      </c>
      <c r="F141" s="24" t="s">
        <v>36</v>
      </c>
      <c r="G141" s="24" t="s">
        <v>292</v>
      </c>
      <c r="H141" s="24" t="s">
        <v>208</v>
      </c>
      <c r="I141" s="25">
        <v>1.8385012919896599</v>
      </c>
      <c r="J141" s="26">
        <v>0.51681957186544358</v>
      </c>
      <c r="K141" s="26">
        <v>1.6238532110091703</v>
      </c>
      <c r="L141" s="26">
        <v>1.8042813455657436</v>
      </c>
      <c r="M141" s="26">
        <v>0.40366972477064222</v>
      </c>
      <c r="N141" s="26">
        <v>2.5963302752293482</v>
      </c>
      <c r="O141" s="26">
        <v>1.5107033639143697</v>
      </c>
      <c r="P141" s="26">
        <v>0.13455657492354742</v>
      </c>
      <c r="Q141" s="26">
        <v>0.1070336391437309</v>
      </c>
      <c r="R141" s="26">
        <v>0.85626911314984822</v>
      </c>
      <c r="S141" s="26">
        <v>1.1467889908256881</v>
      </c>
      <c r="T141" s="26">
        <v>0.82262996941896172</v>
      </c>
      <c r="U141" s="26">
        <v>1.5229357798165102</v>
      </c>
      <c r="V141" s="26">
        <v>2.0214067278287398</v>
      </c>
      <c r="W141" s="27"/>
      <c r="X141" s="24" t="s">
        <v>606</v>
      </c>
      <c r="Y141" s="30" t="s">
        <v>345</v>
      </c>
      <c r="Z141" s="24" t="s">
        <v>368</v>
      </c>
      <c r="AA141" s="28" t="s">
        <v>648</v>
      </c>
      <c r="AB141" s="24" t="s">
        <v>606</v>
      </c>
      <c r="AC141" s="30" t="s">
        <v>345</v>
      </c>
      <c r="AD141" s="30" t="s">
        <v>368</v>
      </c>
      <c r="AE141" s="36">
        <v>43019</v>
      </c>
    </row>
    <row r="142" spans="1:31" ht="15.75" x14ac:dyDescent="0.25">
      <c r="A142" s="23" t="s">
        <v>916</v>
      </c>
      <c r="B142" s="24" t="s">
        <v>915</v>
      </c>
      <c r="C142" s="24" t="s">
        <v>914</v>
      </c>
      <c r="D142" s="24" t="s">
        <v>655</v>
      </c>
      <c r="E142" s="29">
        <v>965</v>
      </c>
      <c r="F142" s="24" t="s">
        <v>36</v>
      </c>
      <c r="G142" s="24" t="s">
        <v>407</v>
      </c>
      <c r="H142" s="24" t="s">
        <v>208</v>
      </c>
      <c r="I142" s="25">
        <v>2.57175925925926</v>
      </c>
      <c r="J142" s="26">
        <v>2.9908256880733877</v>
      </c>
      <c r="K142" s="26">
        <v>0.3761467889908256</v>
      </c>
      <c r="L142" s="26">
        <v>0.15596330275229359</v>
      </c>
      <c r="M142" s="26">
        <v>2.7522935779816515E-2</v>
      </c>
      <c r="N142" s="26">
        <v>0.54434250764526004</v>
      </c>
      <c r="O142" s="26">
        <v>2.4862385321100882</v>
      </c>
      <c r="P142" s="26">
        <v>1.2232415902140673E-2</v>
      </c>
      <c r="Q142" s="26">
        <v>0.5076452599388378</v>
      </c>
      <c r="R142" s="26">
        <v>0.20489296636085627</v>
      </c>
      <c r="S142" s="26">
        <v>0.3577981651376147</v>
      </c>
      <c r="T142" s="26">
        <v>7.0336391437308868E-2</v>
      </c>
      <c r="U142" s="26">
        <v>2.9174311926605445</v>
      </c>
      <c r="V142" s="26">
        <v>3.2018348623853141</v>
      </c>
      <c r="W142" s="27"/>
      <c r="X142" s="24" t="s">
        <v>238</v>
      </c>
      <c r="Y142" s="30"/>
      <c r="Z142" s="24"/>
      <c r="AA142" s="28"/>
      <c r="AB142" s="24" t="s">
        <v>238</v>
      </c>
      <c r="AC142" s="30"/>
      <c r="AD142" s="30"/>
      <c r="AE142" s="36"/>
    </row>
    <row r="143" spans="1:31" ht="15.75" x14ac:dyDescent="0.25">
      <c r="A143" s="23" t="s">
        <v>676</v>
      </c>
      <c r="B143" s="24" t="s">
        <v>677</v>
      </c>
      <c r="C143" s="24" t="s">
        <v>678</v>
      </c>
      <c r="D143" s="24" t="s">
        <v>679</v>
      </c>
      <c r="E143" s="29">
        <v>25309</v>
      </c>
      <c r="F143" s="24" t="s">
        <v>351</v>
      </c>
      <c r="G143" s="24" t="s">
        <v>292</v>
      </c>
      <c r="H143" s="24" t="s">
        <v>208</v>
      </c>
      <c r="I143" s="25">
        <v>8.2649006622516605</v>
      </c>
      <c r="J143" s="26">
        <v>0.529051987767584</v>
      </c>
      <c r="K143" s="26">
        <v>0.95412844036697242</v>
      </c>
      <c r="L143" s="26">
        <v>1.81039755351682</v>
      </c>
      <c r="M143" s="26">
        <v>0.21406727828746178</v>
      </c>
      <c r="N143" s="26">
        <v>2.3914373088685017</v>
      </c>
      <c r="O143" s="26">
        <v>1.1162079510703362</v>
      </c>
      <c r="P143" s="26">
        <v>0</v>
      </c>
      <c r="Q143" s="26">
        <v>0</v>
      </c>
      <c r="R143" s="26">
        <v>1.4648318042813455</v>
      </c>
      <c r="S143" s="26">
        <v>0.73088685015290522</v>
      </c>
      <c r="T143" s="26">
        <v>0.31804281345565749</v>
      </c>
      <c r="U143" s="26">
        <v>0.99388379204892963</v>
      </c>
      <c r="V143" s="26">
        <v>2.8501529051987768</v>
      </c>
      <c r="W143" s="27"/>
      <c r="X143" s="24" t="s">
        <v>606</v>
      </c>
      <c r="Y143" s="30" t="s">
        <v>345</v>
      </c>
      <c r="Z143" s="24" t="s">
        <v>368</v>
      </c>
      <c r="AA143" s="28" t="s">
        <v>680</v>
      </c>
      <c r="AB143" s="24" t="s">
        <v>606</v>
      </c>
      <c r="AC143" s="30" t="s">
        <v>345</v>
      </c>
      <c r="AD143" s="30" t="s">
        <v>368</v>
      </c>
      <c r="AE143" s="36">
        <v>42996</v>
      </c>
    </row>
    <row r="144" spans="1:31" ht="15.75" x14ac:dyDescent="0.25">
      <c r="A144" s="23" t="s">
        <v>691</v>
      </c>
      <c r="B144" s="24" t="s">
        <v>692</v>
      </c>
      <c r="C144" s="24" t="s">
        <v>693</v>
      </c>
      <c r="D144" s="24" t="s">
        <v>262</v>
      </c>
      <c r="E144" s="29">
        <v>98632</v>
      </c>
      <c r="F144" s="24" t="s">
        <v>263</v>
      </c>
      <c r="G144" s="24" t="s">
        <v>694</v>
      </c>
      <c r="H144" s="24" t="s">
        <v>208</v>
      </c>
      <c r="I144" s="25">
        <v>152.833333333333</v>
      </c>
      <c r="J144" s="26">
        <v>0.85626911314984711</v>
      </c>
      <c r="K144" s="26">
        <v>0.57798165137614688</v>
      </c>
      <c r="L144" s="26">
        <v>0.46177370030581039</v>
      </c>
      <c r="M144" s="26">
        <v>1.1681957186544343</v>
      </c>
      <c r="N144" s="26">
        <v>0.4587155963302752</v>
      </c>
      <c r="O144" s="26">
        <v>2.0336391437308867</v>
      </c>
      <c r="P144" s="26">
        <v>0.5718654434250765</v>
      </c>
      <c r="Q144" s="26">
        <v>0</v>
      </c>
      <c r="R144" s="26">
        <v>1.0305810397553519</v>
      </c>
      <c r="S144" s="26">
        <v>0</v>
      </c>
      <c r="T144" s="26">
        <v>0</v>
      </c>
      <c r="U144" s="26">
        <v>2.0336391437308867</v>
      </c>
      <c r="V144" s="26">
        <v>1.0917431192660549</v>
      </c>
      <c r="W144" s="27"/>
      <c r="X144" s="24" t="s">
        <v>209</v>
      </c>
      <c r="Y144" s="30" t="s">
        <v>695</v>
      </c>
      <c r="Z144" s="24" t="s">
        <v>213</v>
      </c>
      <c r="AA144" s="28" t="s">
        <v>516</v>
      </c>
      <c r="AB144" s="24" t="s">
        <v>238</v>
      </c>
      <c r="AC144" s="30"/>
      <c r="AD144" s="30"/>
      <c r="AE144" s="36"/>
    </row>
    <row r="145" spans="1:31" ht="15.75" x14ac:dyDescent="0.25">
      <c r="A145" s="23" t="s">
        <v>681</v>
      </c>
      <c r="B145" s="24" t="s">
        <v>682</v>
      </c>
      <c r="C145" s="24" t="s">
        <v>683</v>
      </c>
      <c r="D145" s="24" t="s">
        <v>684</v>
      </c>
      <c r="E145" s="29">
        <v>83318</v>
      </c>
      <c r="F145" s="24" t="s">
        <v>441</v>
      </c>
      <c r="G145" s="24" t="s">
        <v>236</v>
      </c>
      <c r="H145" s="24" t="s">
        <v>208</v>
      </c>
      <c r="I145" s="25">
        <v>4.4976958525345596</v>
      </c>
      <c r="J145" s="26">
        <v>0.74617737003058127</v>
      </c>
      <c r="K145" s="26">
        <v>0.65443425076452655</v>
      </c>
      <c r="L145" s="26">
        <v>1.012232415902141</v>
      </c>
      <c r="M145" s="26">
        <v>0.58103975535168195</v>
      </c>
      <c r="N145" s="26">
        <v>2.6269113149847048</v>
      </c>
      <c r="O145" s="26">
        <v>0.30581039755351691</v>
      </c>
      <c r="P145" s="26">
        <v>6.116207951070337E-2</v>
      </c>
      <c r="Q145" s="26">
        <v>0</v>
      </c>
      <c r="R145" s="26">
        <v>0.73088685015290555</v>
      </c>
      <c r="S145" s="26">
        <v>0.73700305810397582</v>
      </c>
      <c r="T145" s="26">
        <v>1.2201834862385312</v>
      </c>
      <c r="U145" s="26">
        <v>0.30581039755351691</v>
      </c>
      <c r="V145" s="26">
        <v>1.8746177370030577</v>
      </c>
      <c r="W145" s="27"/>
      <c r="X145" s="24" t="s">
        <v>606</v>
      </c>
      <c r="Y145" s="30" t="s">
        <v>345</v>
      </c>
      <c r="Z145" s="24" t="s">
        <v>368</v>
      </c>
      <c r="AA145" s="28" t="s">
        <v>685</v>
      </c>
      <c r="AB145" s="24" t="s">
        <v>606</v>
      </c>
      <c r="AC145" s="30" t="s">
        <v>345</v>
      </c>
      <c r="AD145" s="30" t="s">
        <v>368</v>
      </c>
      <c r="AE145" s="36">
        <v>42983</v>
      </c>
    </row>
    <row r="146" spans="1:31" ht="15.75" x14ac:dyDescent="0.25">
      <c r="A146" s="23" t="s">
        <v>700</v>
      </c>
      <c r="B146" s="24" t="s">
        <v>701</v>
      </c>
      <c r="C146" s="24" t="s">
        <v>663</v>
      </c>
      <c r="D146" s="24" t="s">
        <v>363</v>
      </c>
      <c r="E146" s="29">
        <v>12180</v>
      </c>
      <c r="F146" s="24" t="s">
        <v>364</v>
      </c>
      <c r="G146" s="24" t="s">
        <v>292</v>
      </c>
      <c r="H146" s="24" t="s">
        <v>208</v>
      </c>
      <c r="I146" s="25">
        <v>5.3486842105263204</v>
      </c>
      <c r="J146" s="26">
        <v>1.0275229357798168</v>
      </c>
      <c r="K146" s="26">
        <v>1.082568807339449</v>
      </c>
      <c r="L146" s="26">
        <v>0.28440366972477071</v>
      </c>
      <c r="M146" s="26">
        <v>0.25688073394495414</v>
      </c>
      <c r="N146" s="26">
        <v>1.3792048929663601</v>
      </c>
      <c r="O146" s="26">
        <v>0.81345565749235471</v>
      </c>
      <c r="P146" s="26">
        <v>0.34862385321100919</v>
      </c>
      <c r="Q146" s="26">
        <v>0.11009174311926605</v>
      </c>
      <c r="R146" s="26">
        <v>0.53822629969418967</v>
      </c>
      <c r="S146" s="26">
        <v>0.46483180428134552</v>
      </c>
      <c r="T146" s="26">
        <v>0.92354740061162122</v>
      </c>
      <c r="U146" s="26">
        <v>0.72477064220183507</v>
      </c>
      <c r="V146" s="26">
        <v>1.75229357798165</v>
      </c>
      <c r="W146" s="27"/>
      <c r="X146" s="24" t="s">
        <v>238</v>
      </c>
      <c r="Y146" s="30"/>
      <c r="Z146" s="24"/>
      <c r="AA146" s="28"/>
      <c r="AB146" s="24" t="s">
        <v>238</v>
      </c>
      <c r="AC146" s="30"/>
      <c r="AD146" s="30"/>
      <c r="AE146" s="36"/>
    </row>
    <row r="147" spans="1:31" ht="15.75" x14ac:dyDescent="0.25">
      <c r="A147" s="23" t="s">
        <v>686</v>
      </c>
      <c r="B147" s="24" t="s">
        <v>687</v>
      </c>
      <c r="C147" s="24" t="s">
        <v>688</v>
      </c>
      <c r="D147" s="24" t="s">
        <v>252</v>
      </c>
      <c r="E147" s="29">
        <v>39046</v>
      </c>
      <c r="F147" s="24" t="s">
        <v>235</v>
      </c>
      <c r="G147" s="24" t="s">
        <v>292</v>
      </c>
      <c r="H147" s="24" t="s">
        <v>208</v>
      </c>
      <c r="I147" s="25">
        <v>2.5068965517241399</v>
      </c>
      <c r="J147" s="26">
        <v>0.10703363914373089</v>
      </c>
      <c r="K147" s="26">
        <v>0.61162079510703382</v>
      </c>
      <c r="L147" s="26">
        <v>1.1345565749235471</v>
      </c>
      <c r="M147" s="26">
        <v>0.3883792048929664</v>
      </c>
      <c r="N147" s="26">
        <v>1.0611620795107037</v>
      </c>
      <c r="O147" s="26">
        <v>0.99999999999999978</v>
      </c>
      <c r="P147" s="26">
        <v>7.0336391437308868E-2</v>
      </c>
      <c r="Q147" s="26">
        <v>0.11009174311926605</v>
      </c>
      <c r="R147" s="26">
        <v>0.15596330275229359</v>
      </c>
      <c r="S147" s="26">
        <v>0.4954128440366975</v>
      </c>
      <c r="T147" s="26">
        <v>0.50152905198776776</v>
      </c>
      <c r="U147" s="26">
        <v>1.0886850152905196</v>
      </c>
      <c r="V147" s="26">
        <v>0.88073394495412871</v>
      </c>
      <c r="W147" s="27"/>
      <c r="X147" s="24" t="s">
        <v>606</v>
      </c>
      <c r="Y147" s="30" t="s">
        <v>345</v>
      </c>
      <c r="Z147" s="24" t="s">
        <v>368</v>
      </c>
      <c r="AA147" s="28" t="s">
        <v>689</v>
      </c>
      <c r="AB147" s="24" t="s">
        <v>209</v>
      </c>
      <c r="AC147" s="30" t="s">
        <v>345</v>
      </c>
      <c r="AD147" s="30" t="s">
        <v>690</v>
      </c>
      <c r="AE147" s="36">
        <v>39591</v>
      </c>
    </row>
    <row r="148" spans="1:31" ht="15.75" x14ac:dyDescent="0.25">
      <c r="A148" s="23" t="s">
        <v>913</v>
      </c>
      <c r="B148" s="24" t="s">
        <v>912</v>
      </c>
      <c r="C148" s="24" t="s">
        <v>911</v>
      </c>
      <c r="D148" s="24" t="s">
        <v>684</v>
      </c>
      <c r="E148" s="29">
        <v>83647</v>
      </c>
      <c r="F148" s="24" t="s">
        <v>441</v>
      </c>
      <c r="G148" s="24" t="s">
        <v>292</v>
      </c>
      <c r="H148" s="24" t="s">
        <v>208</v>
      </c>
      <c r="I148" s="25">
        <v>2.3867069486404802</v>
      </c>
      <c r="J148" s="26">
        <v>0.31192660550458712</v>
      </c>
      <c r="K148" s="26">
        <v>0.39755351681957235</v>
      </c>
      <c r="L148" s="26">
        <v>0.78287461773700462</v>
      </c>
      <c r="M148" s="26">
        <v>0.71253822629969521</v>
      </c>
      <c r="N148" s="26">
        <v>1.8501529051987642</v>
      </c>
      <c r="O148" s="26">
        <v>0.17125382262996941</v>
      </c>
      <c r="P148" s="26">
        <v>0.17431192660550454</v>
      </c>
      <c r="Q148" s="26">
        <v>9.1743119266055051E-3</v>
      </c>
      <c r="R148" s="26">
        <v>1.0489296636085628</v>
      </c>
      <c r="S148" s="26">
        <v>0.44036697247706486</v>
      </c>
      <c r="T148" s="26">
        <v>0.53211009174312041</v>
      </c>
      <c r="U148" s="26">
        <v>0.18348623853211007</v>
      </c>
      <c r="V148" s="26">
        <v>1.5565749235473956</v>
      </c>
      <c r="W148" s="27"/>
      <c r="X148" s="24" t="s">
        <v>606</v>
      </c>
      <c r="Y148" s="30" t="s">
        <v>345</v>
      </c>
      <c r="Z148" s="24" t="s">
        <v>368</v>
      </c>
      <c r="AA148" s="28" t="s">
        <v>685</v>
      </c>
      <c r="AB148" s="24" t="s">
        <v>606</v>
      </c>
      <c r="AC148" s="30" t="s">
        <v>345</v>
      </c>
      <c r="AD148" s="30" t="s">
        <v>368</v>
      </c>
      <c r="AE148" s="36">
        <v>42983</v>
      </c>
    </row>
    <row r="149" spans="1:31" ht="15.75" x14ac:dyDescent="0.25">
      <c r="A149" s="23" t="s">
        <v>910</v>
      </c>
      <c r="B149" s="24" t="s">
        <v>909</v>
      </c>
      <c r="C149" s="24" t="s">
        <v>908</v>
      </c>
      <c r="D149" s="24" t="s">
        <v>222</v>
      </c>
      <c r="E149" s="29">
        <v>78019</v>
      </c>
      <c r="F149" s="24" t="s">
        <v>223</v>
      </c>
      <c r="G149" s="24" t="s">
        <v>292</v>
      </c>
      <c r="H149" s="24" t="s">
        <v>5</v>
      </c>
      <c r="I149" s="25">
        <v>7.2946428571428603</v>
      </c>
      <c r="J149" s="26">
        <v>1.1865443425076454</v>
      </c>
      <c r="K149" s="26">
        <v>0.41590214067278286</v>
      </c>
      <c r="L149" s="26">
        <v>0.32415902140672787</v>
      </c>
      <c r="M149" s="26">
        <v>0.17431192660550457</v>
      </c>
      <c r="N149" s="26">
        <v>1.0519877675840985</v>
      </c>
      <c r="O149" s="26">
        <v>1.0489296636085625</v>
      </c>
      <c r="P149" s="26">
        <v>0</v>
      </c>
      <c r="Q149" s="26">
        <v>0</v>
      </c>
      <c r="R149" s="26">
        <v>0.16513761467889904</v>
      </c>
      <c r="S149" s="26">
        <v>0.16207951070336388</v>
      </c>
      <c r="T149" s="26">
        <v>0.72477064220183496</v>
      </c>
      <c r="U149" s="26">
        <v>1.0489296636085625</v>
      </c>
      <c r="V149" s="26">
        <v>1.6116207951070336</v>
      </c>
      <c r="W149" s="27"/>
      <c r="X149" s="24" t="s">
        <v>209</v>
      </c>
      <c r="Y149" s="30" t="s">
        <v>345</v>
      </c>
      <c r="Z149" s="24" t="s">
        <v>368</v>
      </c>
      <c r="AA149" s="28" t="s">
        <v>433</v>
      </c>
      <c r="AB149" s="24" t="s">
        <v>209</v>
      </c>
      <c r="AC149" s="30" t="s">
        <v>345</v>
      </c>
      <c r="AD149" s="30" t="s">
        <v>368</v>
      </c>
      <c r="AE149" s="36">
        <v>42999</v>
      </c>
    </row>
    <row r="150" spans="1:31" ht="15.75" x14ac:dyDescent="0.25">
      <c r="A150" s="23" t="s">
        <v>696</v>
      </c>
      <c r="B150" s="24" t="s">
        <v>697</v>
      </c>
      <c r="C150" s="24" t="s">
        <v>698</v>
      </c>
      <c r="D150" s="24" t="s">
        <v>484</v>
      </c>
      <c r="E150" s="29">
        <v>40031</v>
      </c>
      <c r="F150" s="24" t="s">
        <v>43</v>
      </c>
      <c r="G150" s="24" t="s">
        <v>292</v>
      </c>
      <c r="H150" s="24" t="s">
        <v>208</v>
      </c>
      <c r="I150" s="25">
        <v>1.52551020408163</v>
      </c>
      <c r="J150" s="26">
        <v>0.37614678899082571</v>
      </c>
      <c r="K150" s="26">
        <v>0.9143730886850171</v>
      </c>
      <c r="L150" s="26">
        <v>0.44342507645259921</v>
      </c>
      <c r="M150" s="26">
        <v>0.15902140672782875</v>
      </c>
      <c r="N150" s="26">
        <v>0.95107033639143934</v>
      </c>
      <c r="O150" s="26">
        <v>0.86238532110091892</v>
      </c>
      <c r="P150" s="26">
        <v>1.2232415902140673E-2</v>
      </c>
      <c r="Q150" s="26">
        <v>6.7278287461773695E-2</v>
      </c>
      <c r="R150" s="26">
        <v>0.2844036697247706</v>
      </c>
      <c r="S150" s="26">
        <v>0.2538226299694189</v>
      </c>
      <c r="T150" s="26">
        <v>0.4311926605504588</v>
      </c>
      <c r="U150" s="26">
        <v>0.92354740061162222</v>
      </c>
      <c r="V150" s="26">
        <v>0.97859327217125569</v>
      </c>
      <c r="W150" s="27"/>
      <c r="X150" s="24" t="s">
        <v>606</v>
      </c>
      <c r="Y150" s="30" t="s">
        <v>345</v>
      </c>
      <c r="Z150" s="24" t="s">
        <v>368</v>
      </c>
      <c r="AA150" s="28" t="s">
        <v>699</v>
      </c>
      <c r="AB150" s="24" t="s">
        <v>606</v>
      </c>
      <c r="AC150" s="30" t="s">
        <v>345</v>
      </c>
      <c r="AD150" s="30" t="s">
        <v>368</v>
      </c>
      <c r="AE150" s="36">
        <v>42983</v>
      </c>
    </row>
    <row r="151" spans="1:31" ht="15.75" x14ac:dyDescent="0.25">
      <c r="A151" s="23" t="s">
        <v>716</v>
      </c>
      <c r="B151" s="24" t="s">
        <v>717</v>
      </c>
      <c r="C151" s="24" t="s">
        <v>718</v>
      </c>
      <c r="D151" s="24" t="s">
        <v>363</v>
      </c>
      <c r="E151" s="29">
        <v>14757</v>
      </c>
      <c r="F151" s="24" t="s">
        <v>364</v>
      </c>
      <c r="G151" s="24" t="s">
        <v>236</v>
      </c>
      <c r="H151" s="24" t="s">
        <v>208</v>
      </c>
      <c r="I151" s="25">
        <v>32.375</v>
      </c>
      <c r="J151" s="26">
        <v>0.2752293577981651</v>
      </c>
      <c r="K151" s="26">
        <v>0</v>
      </c>
      <c r="L151" s="26">
        <v>0.52293577981651373</v>
      </c>
      <c r="M151" s="26">
        <v>1.0825688073394495</v>
      </c>
      <c r="N151" s="26">
        <v>2.7522935779816515E-2</v>
      </c>
      <c r="O151" s="26">
        <v>0</v>
      </c>
      <c r="P151" s="26">
        <v>1.5779816513761467</v>
      </c>
      <c r="Q151" s="26">
        <v>0.2752293577981651</v>
      </c>
      <c r="R151" s="26">
        <v>1.5596330275229358</v>
      </c>
      <c r="S151" s="26">
        <v>0</v>
      </c>
      <c r="T151" s="26">
        <v>4.5871559633027525E-2</v>
      </c>
      <c r="U151" s="26">
        <v>0.2752293577981651</v>
      </c>
      <c r="V151" s="26">
        <v>1.6880733944954127</v>
      </c>
      <c r="W151" s="27"/>
      <c r="X151" s="24" t="s">
        <v>606</v>
      </c>
      <c r="Y151" s="30" t="s">
        <v>345</v>
      </c>
      <c r="Z151" s="24" t="s">
        <v>368</v>
      </c>
      <c r="AA151" s="28" t="s">
        <v>719</v>
      </c>
      <c r="AB151" s="24" t="s">
        <v>606</v>
      </c>
      <c r="AC151" s="30" t="s">
        <v>345</v>
      </c>
      <c r="AD151" s="30" t="s">
        <v>368</v>
      </c>
      <c r="AE151" s="36">
        <v>42957</v>
      </c>
    </row>
    <row r="152" spans="1:31" ht="15.75" x14ac:dyDescent="0.25">
      <c r="A152" s="23" t="s">
        <v>907</v>
      </c>
      <c r="B152" s="24" t="s">
        <v>906</v>
      </c>
      <c r="C152" s="24" t="s">
        <v>905</v>
      </c>
      <c r="D152" s="24" t="s">
        <v>217</v>
      </c>
      <c r="E152" s="29">
        <v>30060</v>
      </c>
      <c r="F152" s="24" t="s">
        <v>218</v>
      </c>
      <c r="G152" s="24" t="s">
        <v>236</v>
      </c>
      <c r="H152" s="24" t="s">
        <v>208</v>
      </c>
      <c r="I152" s="25">
        <v>2.2664092664092701</v>
      </c>
      <c r="J152" s="26">
        <v>0.27522935779816515</v>
      </c>
      <c r="K152" s="26">
        <v>0.55351681957186549</v>
      </c>
      <c r="L152" s="26">
        <v>0.56574923547400591</v>
      </c>
      <c r="M152" s="26">
        <v>0.38532110091743127</v>
      </c>
      <c r="N152" s="26">
        <v>1.1773700305810395</v>
      </c>
      <c r="O152" s="26">
        <v>0.37003058103975534</v>
      </c>
      <c r="P152" s="26">
        <v>0.12232415902140673</v>
      </c>
      <c r="Q152" s="26">
        <v>0.11009174311926606</v>
      </c>
      <c r="R152" s="26">
        <v>0.59327217125382292</v>
      </c>
      <c r="S152" s="26">
        <v>0.2385321100917431</v>
      </c>
      <c r="T152" s="26">
        <v>0.46177370030581039</v>
      </c>
      <c r="U152" s="26">
        <v>0.48623853211009183</v>
      </c>
      <c r="V152" s="26">
        <v>0.52905198776758411</v>
      </c>
      <c r="W152" s="27"/>
      <c r="X152" s="24" t="s">
        <v>606</v>
      </c>
      <c r="Y152" s="30" t="s">
        <v>345</v>
      </c>
      <c r="Z152" s="24" t="s">
        <v>368</v>
      </c>
      <c r="AA152" s="28" t="s">
        <v>715</v>
      </c>
      <c r="AB152" s="24" t="s">
        <v>606</v>
      </c>
      <c r="AC152" s="30" t="s">
        <v>345</v>
      </c>
      <c r="AD152" s="30" t="s">
        <v>368</v>
      </c>
      <c r="AE152" s="36">
        <v>42993</v>
      </c>
    </row>
    <row r="153" spans="1:31" ht="15.75" x14ac:dyDescent="0.25">
      <c r="A153" s="23" t="s">
        <v>707</v>
      </c>
      <c r="B153" s="24" t="s">
        <v>708</v>
      </c>
      <c r="C153" s="24" t="s">
        <v>709</v>
      </c>
      <c r="D153" s="24" t="s">
        <v>222</v>
      </c>
      <c r="E153" s="29">
        <v>78562</v>
      </c>
      <c r="F153" s="24" t="s">
        <v>223</v>
      </c>
      <c r="G153" s="24" t="s">
        <v>292</v>
      </c>
      <c r="H153" s="24" t="s">
        <v>208</v>
      </c>
      <c r="I153" s="25">
        <v>2.4148148148148199</v>
      </c>
      <c r="J153" s="26">
        <v>1.3119266055045842</v>
      </c>
      <c r="K153" s="26">
        <v>0.25382262996941884</v>
      </c>
      <c r="L153" s="26">
        <v>0.10703363914373092</v>
      </c>
      <c r="M153" s="26">
        <v>4.5871559633027519E-2</v>
      </c>
      <c r="N153" s="26">
        <v>1.6941896024464767</v>
      </c>
      <c r="O153" s="26">
        <v>1.834862385321101E-2</v>
      </c>
      <c r="P153" s="26">
        <v>3.0581039755351682E-3</v>
      </c>
      <c r="Q153" s="26">
        <v>3.0581039755351682E-3</v>
      </c>
      <c r="R153" s="26">
        <v>0.50764525993883836</v>
      </c>
      <c r="S153" s="26">
        <v>1.1834862385321074</v>
      </c>
      <c r="T153" s="26">
        <v>9.1743119266055051E-3</v>
      </c>
      <c r="U153" s="26">
        <v>1.834862385321101E-2</v>
      </c>
      <c r="V153" s="26">
        <v>1.6636085626911252</v>
      </c>
      <c r="W153" s="27"/>
      <c r="X153" s="24" t="s">
        <v>209</v>
      </c>
      <c r="Y153" s="30" t="s">
        <v>345</v>
      </c>
      <c r="Z153" s="24" t="s">
        <v>346</v>
      </c>
      <c r="AA153" s="28" t="s">
        <v>710</v>
      </c>
      <c r="AB153" s="24" t="s">
        <v>209</v>
      </c>
      <c r="AC153" s="30" t="s">
        <v>345</v>
      </c>
      <c r="AD153" s="30" t="s">
        <v>368</v>
      </c>
      <c r="AE153" s="36">
        <v>43307</v>
      </c>
    </row>
    <row r="154" spans="1:31" ht="15.75" x14ac:dyDescent="0.25">
      <c r="A154" s="23" t="s">
        <v>702</v>
      </c>
      <c r="B154" s="24" t="s">
        <v>703</v>
      </c>
      <c r="C154" s="24" t="s">
        <v>704</v>
      </c>
      <c r="D154" s="24" t="s">
        <v>705</v>
      </c>
      <c r="E154" s="29">
        <v>72701</v>
      </c>
      <c r="F154" s="24" t="s">
        <v>235</v>
      </c>
      <c r="G154" s="24" t="s">
        <v>292</v>
      </c>
      <c r="H154" s="24" t="s">
        <v>208</v>
      </c>
      <c r="I154" s="25">
        <v>2.4</v>
      </c>
      <c r="J154" s="26">
        <v>0.2446483180428134</v>
      </c>
      <c r="K154" s="26">
        <v>0.47706422018348638</v>
      </c>
      <c r="L154" s="26">
        <v>0.77064220183486276</v>
      </c>
      <c r="M154" s="26">
        <v>0.1834862385321101</v>
      </c>
      <c r="N154" s="26">
        <v>1.0091743119266057</v>
      </c>
      <c r="O154" s="26">
        <v>0.57186544342507695</v>
      </c>
      <c r="P154" s="26">
        <v>6.116207951070337E-2</v>
      </c>
      <c r="Q154" s="26">
        <v>3.3639143730886847E-2</v>
      </c>
      <c r="R154" s="26">
        <v>0.43730886850152906</v>
      </c>
      <c r="S154" s="26">
        <v>0.29969418960244648</v>
      </c>
      <c r="T154" s="26">
        <v>0.33333333333333331</v>
      </c>
      <c r="U154" s="26">
        <v>0.60550458715596367</v>
      </c>
      <c r="V154" s="26">
        <v>0.98470948012232462</v>
      </c>
      <c r="W154" s="27"/>
      <c r="X154" s="24" t="s">
        <v>606</v>
      </c>
      <c r="Y154" s="30" t="s">
        <v>345</v>
      </c>
      <c r="Z154" s="24" t="s">
        <v>368</v>
      </c>
      <c r="AA154" s="28" t="s">
        <v>706</v>
      </c>
      <c r="AB154" s="24" t="s">
        <v>209</v>
      </c>
      <c r="AC154" s="30" t="s">
        <v>345</v>
      </c>
      <c r="AD154" s="30" t="s">
        <v>346</v>
      </c>
      <c r="AE154" s="36">
        <v>40043</v>
      </c>
    </row>
    <row r="155" spans="1:31" ht="15.75" x14ac:dyDescent="0.25">
      <c r="A155" s="23" t="s">
        <v>711</v>
      </c>
      <c r="B155" s="24" t="s">
        <v>712</v>
      </c>
      <c r="C155" s="24" t="s">
        <v>713</v>
      </c>
      <c r="D155" s="24" t="s">
        <v>522</v>
      </c>
      <c r="E155" s="29">
        <v>68731</v>
      </c>
      <c r="F155" s="24" t="s">
        <v>398</v>
      </c>
      <c r="G155" s="24" t="s">
        <v>292</v>
      </c>
      <c r="H155" s="24" t="s">
        <v>208</v>
      </c>
      <c r="I155" s="25">
        <v>3.4881889763779501</v>
      </c>
      <c r="J155" s="26">
        <v>0.10091743119266054</v>
      </c>
      <c r="K155" s="26">
        <v>0.45259938837920499</v>
      </c>
      <c r="L155" s="26">
        <v>0.6788990825688076</v>
      </c>
      <c r="M155" s="26">
        <v>0.11009174311926608</v>
      </c>
      <c r="N155" s="26">
        <v>0.92966360856269137</v>
      </c>
      <c r="O155" s="26">
        <v>0.25688073394495414</v>
      </c>
      <c r="P155" s="26">
        <v>0.13149847094801223</v>
      </c>
      <c r="Q155" s="26">
        <v>2.4464831804281346E-2</v>
      </c>
      <c r="R155" s="26">
        <v>0.32415902140672781</v>
      </c>
      <c r="S155" s="26">
        <v>0.39755351681957196</v>
      </c>
      <c r="T155" s="26">
        <v>0.32110091743119268</v>
      </c>
      <c r="U155" s="26">
        <v>0.29969418960244654</v>
      </c>
      <c r="V155" s="26">
        <v>0.596330275229358</v>
      </c>
      <c r="W155" s="27"/>
      <c r="X155" s="24" t="s">
        <v>606</v>
      </c>
      <c r="Y155" s="30" t="s">
        <v>345</v>
      </c>
      <c r="Z155" s="24" t="s">
        <v>368</v>
      </c>
      <c r="AA155" s="28" t="s">
        <v>714</v>
      </c>
      <c r="AB155" s="24" t="s">
        <v>606</v>
      </c>
      <c r="AC155" s="30" t="s">
        <v>345</v>
      </c>
      <c r="AD155" s="30" t="s">
        <v>368</v>
      </c>
      <c r="AE155" s="36">
        <v>42999</v>
      </c>
    </row>
    <row r="156" spans="1:31" ht="15.75" x14ac:dyDescent="0.25">
      <c r="A156" s="23" t="s">
        <v>485</v>
      </c>
      <c r="B156" s="24" t="s">
        <v>904</v>
      </c>
      <c r="C156" s="24" t="s">
        <v>903</v>
      </c>
      <c r="D156" s="24" t="s">
        <v>529</v>
      </c>
      <c r="E156" s="29">
        <v>67042</v>
      </c>
      <c r="F156" s="24" t="s">
        <v>43</v>
      </c>
      <c r="G156" s="24" t="s">
        <v>292</v>
      </c>
      <c r="H156" s="24" t="s">
        <v>208</v>
      </c>
      <c r="I156" s="25">
        <v>10.1388888888889</v>
      </c>
      <c r="J156" s="26">
        <v>3.0581039755351682E-3</v>
      </c>
      <c r="K156" s="26">
        <v>0.35779816513761475</v>
      </c>
      <c r="L156" s="26">
        <v>0.77981651376146788</v>
      </c>
      <c r="M156" s="26">
        <v>0.13455657492354742</v>
      </c>
      <c r="N156" s="26">
        <v>1.2354740061162077</v>
      </c>
      <c r="O156" s="26">
        <v>1.834862385321101E-2</v>
      </c>
      <c r="P156" s="26">
        <v>0</v>
      </c>
      <c r="Q156" s="26">
        <v>2.1406727828746176E-2</v>
      </c>
      <c r="R156" s="26">
        <v>0.74923547400611623</v>
      </c>
      <c r="S156" s="26">
        <v>9.7859327217125397E-2</v>
      </c>
      <c r="T156" s="26">
        <v>0.3792048929663609</v>
      </c>
      <c r="U156" s="26">
        <v>4.8929663608562698E-2</v>
      </c>
      <c r="V156" s="26">
        <v>1.1957186544342504</v>
      </c>
      <c r="W156" s="27"/>
      <c r="X156" s="24" t="s">
        <v>606</v>
      </c>
      <c r="Y156" s="30" t="s">
        <v>345</v>
      </c>
      <c r="Z156" s="24" t="s">
        <v>368</v>
      </c>
      <c r="AA156" s="28" t="s">
        <v>902</v>
      </c>
      <c r="AB156" s="24" t="s">
        <v>606</v>
      </c>
      <c r="AC156" s="30" t="s">
        <v>345</v>
      </c>
      <c r="AD156" s="30" t="s">
        <v>368</v>
      </c>
      <c r="AE156" s="36">
        <v>42983</v>
      </c>
    </row>
    <row r="157" spans="1:31" ht="15.75" x14ac:dyDescent="0.25">
      <c r="A157" s="23" t="s">
        <v>901</v>
      </c>
      <c r="B157" s="24" t="s">
        <v>900</v>
      </c>
      <c r="C157" s="24" t="s">
        <v>899</v>
      </c>
      <c r="D157" s="24" t="s">
        <v>898</v>
      </c>
      <c r="E157" s="29">
        <v>4102</v>
      </c>
      <c r="F157" s="24" t="s">
        <v>394</v>
      </c>
      <c r="G157" s="24" t="s">
        <v>292</v>
      </c>
      <c r="H157" s="24" t="s">
        <v>208</v>
      </c>
      <c r="I157" s="25">
        <v>2.9765625</v>
      </c>
      <c r="J157" s="26">
        <v>0.50458715596330295</v>
      </c>
      <c r="K157" s="26">
        <v>0.13455657492354739</v>
      </c>
      <c r="L157" s="26">
        <v>0.35474006116207946</v>
      </c>
      <c r="M157" s="26">
        <v>0.22324159021406734</v>
      </c>
      <c r="N157" s="26">
        <v>0.42813455657492361</v>
      </c>
      <c r="O157" s="26">
        <v>0.740061162079511</v>
      </c>
      <c r="P157" s="26">
        <v>2.4464831804281349E-2</v>
      </c>
      <c r="Q157" s="26">
        <v>2.4464831804281346E-2</v>
      </c>
      <c r="R157" s="26">
        <v>0.24159021406727826</v>
      </c>
      <c r="S157" s="26">
        <v>0.13455657492354739</v>
      </c>
      <c r="T157" s="26">
        <v>8.8685015290519878E-2</v>
      </c>
      <c r="U157" s="26">
        <v>0.75229357798165175</v>
      </c>
      <c r="V157" s="26">
        <v>0.53211009174311952</v>
      </c>
      <c r="W157" s="27"/>
      <c r="X157" s="24" t="s">
        <v>606</v>
      </c>
      <c r="Y157" s="30" t="s">
        <v>345</v>
      </c>
      <c r="Z157" s="24" t="s">
        <v>368</v>
      </c>
      <c r="AA157" s="28" t="s">
        <v>897</v>
      </c>
      <c r="AB157" s="24" t="s">
        <v>606</v>
      </c>
      <c r="AC157" s="30" t="s">
        <v>345</v>
      </c>
      <c r="AD157" s="30" t="s">
        <v>368</v>
      </c>
      <c r="AE157" s="36">
        <v>42969</v>
      </c>
    </row>
    <row r="158" spans="1:31" ht="15.75" x14ac:dyDescent="0.25">
      <c r="A158" s="23" t="s">
        <v>720</v>
      </c>
      <c r="B158" s="24" t="s">
        <v>721</v>
      </c>
      <c r="C158" s="24" t="s">
        <v>722</v>
      </c>
      <c r="D158" s="24" t="s">
        <v>705</v>
      </c>
      <c r="E158" s="29">
        <v>72086</v>
      </c>
      <c r="F158" s="24" t="s">
        <v>235</v>
      </c>
      <c r="G158" s="24" t="s">
        <v>236</v>
      </c>
      <c r="H158" s="24" t="s">
        <v>208</v>
      </c>
      <c r="I158" s="25">
        <v>2</v>
      </c>
      <c r="J158" s="26">
        <v>2.140672782874618E-2</v>
      </c>
      <c r="K158" s="26">
        <v>0.50458715596330284</v>
      </c>
      <c r="L158" s="26">
        <v>0.47706422018348638</v>
      </c>
      <c r="M158" s="26">
        <v>9.7859327217125397E-2</v>
      </c>
      <c r="N158" s="26">
        <v>0.7492354740061169</v>
      </c>
      <c r="O158" s="26">
        <v>0.31192660550458728</v>
      </c>
      <c r="P158" s="26">
        <v>3.9755351681957186E-2</v>
      </c>
      <c r="Q158" s="26">
        <v>0</v>
      </c>
      <c r="R158" s="26">
        <v>0.38532110091743121</v>
      </c>
      <c r="S158" s="26">
        <v>0.2385321100917431</v>
      </c>
      <c r="T158" s="26">
        <v>0.18654434250764523</v>
      </c>
      <c r="U158" s="26">
        <v>0.29051987767584103</v>
      </c>
      <c r="V158" s="26">
        <v>0.75840978593272257</v>
      </c>
      <c r="W158" s="27"/>
      <c r="X158" s="24" t="s">
        <v>606</v>
      </c>
      <c r="Y158" s="30" t="s">
        <v>345</v>
      </c>
      <c r="Z158" s="24" t="s">
        <v>368</v>
      </c>
      <c r="AA158" s="28" t="s">
        <v>706</v>
      </c>
      <c r="AB158" s="24" t="s">
        <v>606</v>
      </c>
      <c r="AC158" s="30" t="s">
        <v>345</v>
      </c>
      <c r="AD158" s="30" t="s">
        <v>368</v>
      </c>
      <c r="AE158" s="36">
        <v>42976</v>
      </c>
    </row>
    <row r="159" spans="1:31" ht="15.75" x14ac:dyDescent="0.25">
      <c r="A159" s="23" t="s">
        <v>896</v>
      </c>
      <c r="B159" s="24" t="s">
        <v>895</v>
      </c>
      <c r="C159" s="24" t="s">
        <v>894</v>
      </c>
      <c r="D159" s="24" t="s">
        <v>397</v>
      </c>
      <c r="E159" s="29">
        <v>56187</v>
      </c>
      <c r="F159" s="24" t="s">
        <v>398</v>
      </c>
      <c r="G159" s="24" t="s">
        <v>236</v>
      </c>
      <c r="H159" s="24" t="s">
        <v>208</v>
      </c>
      <c r="I159" s="25">
        <v>3.7234042553191502</v>
      </c>
      <c r="J159" s="26">
        <v>0.11620795107033643</v>
      </c>
      <c r="K159" s="26">
        <v>0.23241590214067273</v>
      </c>
      <c r="L159" s="26">
        <v>0.4220183486238534</v>
      </c>
      <c r="M159" s="26">
        <v>0.21712538226299694</v>
      </c>
      <c r="N159" s="26">
        <v>0.49235474006116242</v>
      </c>
      <c r="O159" s="26">
        <v>0.45259938837920499</v>
      </c>
      <c r="P159" s="26">
        <v>2.4464831804281346E-2</v>
      </c>
      <c r="Q159" s="26">
        <v>1.834862385321101E-2</v>
      </c>
      <c r="R159" s="26">
        <v>0.14678899082568803</v>
      </c>
      <c r="S159" s="26">
        <v>0.24159021406727821</v>
      </c>
      <c r="T159" s="26">
        <v>0.21100917431192653</v>
      </c>
      <c r="U159" s="26">
        <v>0.38837920489296646</v>
      </c>
      <c r="V159" s="26">
        <v>0.77370030581039773</v>
      </c>
      <c r="W159" s="27"/>
      <c r="X159" s="24" t="s">
        <v>209</v>
      </c>
      <c r="Y159" s="30" t="s">
        <v>345</v>
      </c>
      <c r="Z159" s="24" t="s">
        <v>368</v>
      </c>
      <c r="AA159" s="28" t="s">
        <v>626</v>
      </c>
      <c r="AB159" s="24" t="s">
        <v>606</v>
      </c>
      <c r="AC159" s="30" t="s">
        <v>345</v>
      </c>
      <c r="AD159" s="30" t="s">
        <v>368</v>
      </c>
      <c r="AE159" s="36">
        <v>42999</v>
      </c>
    </row>
    <row r="160" spans="1:31" ht="15.75" x14ac:dyDescent="0.25">
      <c r="A160" s="23" t="s">
        <v>893</v>
      </c>
      <c r="B160" s="24" t="s">
        <v>892</v>
      </c>
      <c r="C160" s="24" t="s">
        <v>891</v>
      </c>
      <c r="D160" s="24" t="s">
        <v>540</v>
      </c>
      <c r="E160" s="29">
        <v>50677</v>
      </c>
      <c r="F160" s="24" t="s">
        <v>398</v>
      </c>
      <c r="G160" s="24" t="s">
        <v>292</v>
      </c>
      <c r="H160" s="24" t="s">
        <v>208</v>
      </c>
      <c r="I160" s="25">
        <v>6.0232558139534902</v>
      </c>
      <c r="J160" s="26">
        <v>0.10703363914373087</v>
      </c>
      <c r="K160" s="26">
        <v>0.39449541284403677</v>
      </c>
      <c r="L160" s="26">
        <v>0.11620795107033639</v>
      </c>
      <c r="M160" s="26">
        <v>0.18960244648318042</v>
      </c>
      <c r="N160" s="26">
        <v>0.74617737003058127</v>
      </c>
      <c r="O160" s="26">
        <v>3.9755351681957186E-2</v>
      </c>
      <c r="P160" s="26">
        <v>2.1406727828746176E-2</v>
      </c>
      <c r="Q160" s="26">
        <v>0</v>
      </c>
      <c r="R160" s="26">
        <v>0.33027522935779818</v>
      </c>
      <c r="S160" s="26">
        <v>0.22324159021406725</v>
      </c>
      <c r="T160" s="26">
        <v>0.21406727828746178</v>
      </c>
      <c r="U160" s="26">
        <v>3.9755351681957186E-2</v>
      </c>
      <c r="V160" s="26">
        <v>0.64220183486238547</v>
      </c>
      <c r="W160" s="27"/>
      <c r="X160" s="24" t="s">
        <v>606</v>
      </c>
      <c r="Y160" s="30" t="s">
        <v>345</v>
      </c>
      <c r="Z160" s="24" t="s">
        <v>368</v>
      </c>
      <c r="AA160" s="28" t="s">
        <v>890</v>
      </c>
      <c r="AB160" s="24" t="s">
        <v>209</v>
      </c>
      <c r="AC160" s="30" t="s">
        <v>345</v>
      </c>
      <c r="AD160" s="30" t="s">
        <v>390</v>
      </c>
      <c r="AE160" s="36">
        <v>42718</v>
      </c>
    </row>
    <row r="161" spans="1:31" ht="15.75" x14ac:dyDescent="0.25">
      <c r="A161" s="23" t="s">
        <v>889</v>
      </c>
      <c r="B161" s="24" t="s">
        <v>888</v>
      </c>
      <c r="C161" s="24" t="s">
        <v>887</v>
      </c>
      <c r="D161" s="24" t="s">
        <v>252</v>
      </c>
      <c r="E161" s="29">
        <v>39520</v>
      </c>
      <c r="F161" s="24" t="s">
        <v>235</v>
      </c>
      <c r="G161" s="24" t="s">
        <v>236</v>
      </c>
      <c r="H161" s="24" t="s">
        <v>208</v>
      </c>
      <c r="I161" s="25">
        <v>2.3181818181818201</v>
      </c>
      <c r="J161" s="26">
        <v>4.8929663608562698E-2</v>
      </c>
      <c r="K161" s="26">
        <v>0.29357798165137622</v>
      </c>
      <c r="L161" s="26">
        <v>0.29051987767584103</v>
      </c>
      <c r="M161" s="26">
        <v>0.15902140672782875</v>
      </c>
      <c r="N161" s="26">
        <v>0.44648318042813456</v>
      </c>
      <c r="O161" s="26">
        <v>0.31192660550458712</v>
      </c>
      <c r="P161" s="26">
        <v>2.7522935779816515E-2</v>
      </c>
      <c r="Q161" s="26">
        <v>6.1162079510703364E-3</v>
      </c>
      <c r="R161" s="26">
        <v>9.1743119266055051E-2</v>
      </c>
      <c r="S161" s="26">
        <v>0.23241590214067273</v>
      </c>
      <c r="T161" s="26">
        <v>0.13761467889908258</v>
      </c>
      <c r="U161" s="26">
        <v>0.33027522935779813</v>
      </c>
      <c r="V161" s="26">
        <v>0.49235474006116214</v>
      </c>
      <c r="W161" s="27"/>
      <c r="X161" s="24" t="s">
        <v>238</v>
      </c>
      <c r="Y161" s="30"/>
      <c r="Z161" s="24"/>
      <c r="AA161" s="28"/>
      <c r="AB161" s="24" t="s">
        <v>238</v>
      </c>
      <c r="AC161" s="30"/>
      <c r="AD161" s="30"/>
      <c r="AE161" s="36"/>
    </row>
    <row r="162" spans="1:31" ht="15.75" x14ac:dyDescent="0.25">
      <c r="A162" s="23" t="s">
        <v>886</v>
      </c>
      <c r="B162" s="24" t="s">
        <v>885</v>
      </c>
      <c r="C162" s="24" t="s">
        <v>884</v>
      </c>
      <c r="D162" s="24" t="s">
        <v>222</v>
      </c>
      <c r="E162" s="29">
        <v>79401</v>
      </c>
      <c r="F162" s="24" t="s">
        <v>314</v>
      </c>
      <c r="G162" s="24" t="s">
        <v>292</v>
      </c>
      <c r="H162" s="24" t="s">
        <v>208</v>
      </c>
      <c r="I162" s="25">
        <v>1.5761589403973499</v>
      </c>
      <c r="J162" s="26">
        <v>0.22935779816513757</v>
      </c>
      <c r="K162" s="26">
        <v>0.31192660550458728</v>
      </c>
      <c r="L162" s="26">
        <v>0.1620795107033639</v>
      </c>
      <c r="M162" s="26">
        <v>3.669724770642202E-2</v>
      </c>
      <c r="N162" s="26">
        <v>0.46177370030581044</v>
      </c>
      <c r="O162" s="26">
        <v>0.25993883792048916</v>
      </c>
      <c r="P162" s="26">
        <v>9.1743119266055051E-3</v>
      </c>
      <c r="Q162" s="26">
        <v>9.1743119266055051E-3</v>
      </c>
      <c r="R162" s="26">
        <v>0.15902140672782872</v>
      </c>
      <c r="S162" s="26">
        <v>0.10091743119266056</v>
      </c>
      <c r="T162" s="26">
        <v>0.20183486238532108</v>
      </c>
      <c r="U162" s="26">
        <v>0.27828746177370017</v>
      </c>
      <c r="V162" s="26">
        <v>0.33333333333333337</v>
      </c>
      <c r="W162" s="27"/>
      <c r="X162" s="24" t="s">
        <v>606</v>
      </c>
      <c r="Y162" s="30" t="s">
        <v>345</v>
      </c>
      <c r="Z162" s="24" t="s">
        <v>368</v>
      </c>
      <c r="AA162" s="28" t="s">
        <v>645</v>
      </c>
      <c r="AB162" s="24" t="s">
        <v>606</v>
      </c>
      <c r="AC162" s="30" t="s">
        <v>345</v>
      </c>
      <c r="AD162" s="30" t="s">
        <v>368</v>
      </c>
      <c r="AE162" s="36">
        <v>42580</v>
      </c>
    </row>
    <row r="163" spans="1:31" ht="15.75" x14ac:dyDescent="0.25">
      <c r="A163" s="23" t="s">
        <v>723</v>
      </c>
      <c r="B163" s="24" t="s">
        <v>724</v>
      </c>
      <c r="C163" s="24" t="s">
        <v>725</v>
      </c>
      <c r="D163" s="24" t="s">
        <v>726</v>
      </c>
      <c r="E163" s="29">
        <v>82201</v>
      </c>
      <c r="F163" s="24" t="s">
        <v>333</v>
      </c>
      <c r="G163" s="24" t="s">
        <v>292</v>
      </c>
      <c r="H163" s="24" t="s">
        <v>208</v>
      </c>
      <c r="I163" s="25">
        <v>1.38709677419355</v>
      </c>
      <c r="J163" s="26">
        <v>0.11926605504587159</v>
      </c>
      <c r="K163" s="26">
        <v>0.16819571865443425</v>
      </c>
      <c r="L163" s="26">
        <v>0.26299694189602446</v>
      </c>
      <c r="M163" s="26">
        <v>0.11926605504587157</v>
      </c>
      <c r="N163" s="26">
        <v>0.36085626911314983</v>
      </c>
      <c r="O163" s="26">
        <v>0.26911314984709483</v>
      </c>
      <c r="P163" s="26">
        <v>2.4464831804281346E-2</v>
      </c>
      <c r="Q163" s="26">
        <v>1.5290519877675841E-2</v>
      </c>
      <c r="R163" s="26">
        <v>0.12538226299694194</v>
      </c>
      <c r="S163" s="26">
        <v>0.14373088685015292</v>
      </c>
      <c r="T163" s="26">
        <v>0.12844036697247707</v>
      </c>
      <c r="U163" s="26">
        <v>0.27217125382263002</v>
      </c>
      <c r="V163" s="26">
        <v>0.32110091743119257</v>
      </c>
      <c r="W163" s="27"/>
      <c r="X163" s="24" t="s">
        <v>606</v>
      </c>
      <c r="Y163" s="30" t="s">
        <v>345</v>
      </c>
      <c r="Z163" s="24" t="s">
        <v>368</v>
      </c>
      <c r="AA163" s="28" t="s">
        <v>706</v>
      </c>
      <c r="AB163" s="24" t="s">
        <v>606</v>
      </c>
      <c r="AC163" s="30" t="s">
        <v>345</v>
      </c>
      <c r="AD163" s="30" t="s">
        <v>368</v>
      </c>
      <c r="AE163" s="36">
        <v>42986</v>
      </c>
    </row>
    <row r="164" spans="1:31" ht="15.75" x14ac:dyDescent="0.25">
      <c r="A164" s="23" t="s">
        <v>883</v>
      </c>
      <c r="B164" s="24" t="s">
        <v>882</v>
      </c>
      <c r="C164" s="24" t="s">
        <v>881</v>
      </c>
      <c r="D164" s="24" t="s">
        <v>684</v>
      </c>
      <c r="E164" s="29">
        <v>83605</v>
      </c>
      <c r="F164" s="24" t="s">
        <v>441</v>
      </c>
      <c r="G164" s="24" t="s">
        <v>236</v>
      </c>
      <c r="H164" s="24" t="s">
        <v>208</v>
      </c>
      <c r="I164" s="25">
        <v>3.375</v>
      </c>
      <c r="J164" s="26">
        <v>7.64525993883792E-2</v>
      </c>
      <c r="K164" s="26">
        <v>0.22324159021406728</v>
      </c>
      <c r="L164" s="26">
        <v>0.22324159021406728</v>
      </c>
      <c r="M164" s="26">
        <v>6.7278287461773695E-2</v>
      </c>
      <c r="N164" s="26">
        <v>0.44036697247706436</v>
      </c>
      <c r="O164" s="26">
        <v>0.13761467889908255</v>
      </c>
      <c r="P164" s="26">
        <v>6.1162079510703364E-3</v>
      </c>
      <c r="Q164" s="26">
        <v>6.1162079510703364E-3</v>
      </c>
      <c r="R164" s="26">
        <v>0.15596330275229359</v>
      </c>
      <c r="S164" s="26">
        <v>7.3394495412844041E-2</v>
      </c>
      <c r="T164" s="26">
        <v>0.21712538226299691</v>
      </c>
      <c r="U164" s="26">
        <v>0.14373088685015289</v>
      </c>
      <c r="V164" s="26">
        <v>0.20795107033639143</v>
      </c>
      <c r="W164" s="27"/>
      <c r="X164" s="24" t="s">
        <v>606</v>
      </c>
      <c r="Y164" s="30" t="s">
        <v>345</v>
      </c>
      <c r="Z164" s="24" t="s">
        <v>368</v>
      </c>
      <c r="AA164" s="28" t="s">
        <v>880</v>
      </c>
      <c r="AB164" s="24" t="s">
        <v>606</v>
      </c>
      <c r="AC164" s="30" t="s">
        <v>345</v>
      </c>
      <c r="AD164" s="30" t="s">
        <v>368</v>
      </c>
      <c r="AE164" s="36">
        <v>42586</v>
      </c>
    </row>
    <row r="165" spans="1:31" ht="15.75" x14ac:dyDescent="0.25">
      <c r="A165" s="23" t="s">
        <v>879</v>
      </c>
      <c r="B165" s="24" t="s">
        <v>878</v>
      </c>
      <c r="C165" s="24" t="s">
        <v>877</v>
      </c>
      <c r="D165" s="24" t="s">
        <v>566</v>
      </c>
      <c r="E165" s="29">
        <v>46802</v>
      </c>
      <c r="F165" s="24" t="s">
        <v>43</v>
      </c>
      <c r="G165" s="24" t="s">
        <v>0</v>
      </c>
      <c r="H165" s="24" t="s">
        <v>208</v>
      </c>
      <c r="I165" s="25">
        <v>1.80898876404494</v>
      </c>
      <c r="J165" s="26">
        <v>0.11314984709480123</v>
      </c>
      <c r="K165" s="26">
        <v>0.15596330275229361</v>
      </c>
      <c r="L165" s="26">
        <v>0.22018348623853207</v>
      </c>
      <c r="M165" s="26">
        <v>3.9755351681957193E-2</v>
      </c>
      <c r="N165" s="26">
        <v>0.39449541284403677</v>
      </c>
      <c r="O165" s="26">
        <v>0.11009174311926605</v>
      </c>
      <c r="P165" s="26">
        <v>6.1162079510703364E-3</v>
      </c>
      <c r="Q165" s="26">
        <v>1.834862385321101E-2</v>
      </c>
      <c r="R165" s="26">
        <v>0.1070336391437309</v>
      </c>
      <c r="S165" s="26">
        <v>0.12538226299694191</v>
      </c>
      <c r="T165" s="26">
        <v>0.16819571865443425</v>
      </c>
      <c r="U165" s="26">
        <v>0.12844036697247707</v>
      </c>
      <c r="V165" s="26">
        <v>0.24464831804281342</v>
      </c>
      <c r="W165" s="27"/>
      <c r="X165" s="24" t="s">
        <v>238</v>
      </c>
      <c r="Y165" s="30"/>
      <c r="Z165" s="24"/>
      <c r="AA165" s="28"/>
      <c r="AB165" s="24" t="s">
        <v>238</v>
      </c>
      <c r="AC165" s="30"/>
      <c r="AD165" s="30"/>
      <c r="AE165" s="36"/>
    </row>
    <row r="166" spans="1:31" ht="15.75" x14ac:dyDescent="0.25">
      <c r="A166" s="23" t="s">
        <v>727</v>
      </c>
      <c r="B166" s="24" t="s">
        <v>728</v>
      </c>
      <c r="C166" s="24" t="s">
        <v>729</v>
      </c>
      <c r="D166" s="24" t="s">
        <v>222</v>
      </c>
      <c r="E166" s="29">
        <v>78840</v>
      </c>
      <c r="F166" s="24" t="s">
        <v>223</v>
      </c>
      <c r="G166" s="24" t="s">
        <v>292</v>
      </c>
      <c r="H166" s="24" t="s">
        <v>208</v>
      </c>
      <c r="I166" s="25">
        <v>1.68131868131868</v>
      </c>
      <c r="J166" s="26">
        <v>0.34556574923547423</v>
      </c>
      <c r="K166" s="26">
        <v>9.7859327217125425E-2</v>
      </c>
      <c r="L166" s="26">
        <v>4.8929663608562685E-2</v>
      </c>
      <c r="M166" s="26">
        <v>2.4464831804281346E-2</v>
      </c>
      <c r="N166" s="26">
        <v>0.21712538226299694</v>
      </c>
      <c r="O166" s="26">
        <v>0.16513761467889912</v>
      </c>
      <c r="P166" s="26">
        <v>0.1070336391437309</v>
      </c>
      <c r="Q166" s="26">
        <v>2.7522935779816519E-2</v>
      </c>
      <c r="R166" s="26">
        <v>0.1743119266055046</v>
      </c>
      <c r="S166" s="26">
        <v>9.1743119266055065E-2</v>
      </c>
      <c r="T166" s="26">
        <v>5.8103975535168197E-2</v>
      </c>
      <c r="U166" s="26">
        <v>0.19266055045871561</v>
      </c>
      <c r="V166" s="26">
        <v>0.42507645259938887</v>
      </c>
      <c r="W166" s="27"/>
      <c r="X166" s="24" t="s">
        <v>209</v>
      </c>
      <c r="Y166" s="30" t="s">
        <v>345</v>
      </c>
      <c r="Z166" s="24" t="s">
        <v>368</v>
      </c>
      <c r="AA166" s="28" t="s">
        <v>433</v>
      </c>
      <c r="AB166" s="24" t="s">
        <v>606</v>
      </c>
      <c r="AC166" s="30" t="s">
        <v>345</v>
      </c>
      <c r="AD166" s="30" t="s">
        <v>368</v>
      </c>
      <c r="AE166" s="36">
        <v>43374</v>
      </c>
    </row>
    <row r="167" spans="1:31" ht="15.75" x14ac:dyDescent="0.25">
      <c r="A167" s="23" t="s">
        <v>876</v>
      </c>
      <c r="B167" s="24" t="s">
        <v>875</v>
      </c>
      <c r="C167" s="24" t="s">
        <v>343</v>
      </c>
      <c r="D167" s="24" t="s">
        <v>324</v>
      </c>
      <c r="E167" s="29">
        <v>22801</v>
      </c>
      <c r="F167" s="24" t="s">
        <v>325</v>
      </c>
      <c r="G167" s="24" t="s">
        <v>292</v>
      </c>
      <c r="H167" s="24" t="s">
        <v>208</v>
      </c>
      <c r="I167" s="25">
        <v>1.72941176470588</v>
      </c>
      <c r="J167" s="26">
        <v>3.3639143730886854E-2</v>
      </c>
      <c r="K167" s="26">
        <v>0.20795107033639146</v>
      </c>
      <c r="L167" s="26">
        <v>0.15902140672782875</v>
      </c>
      <c r="M167" s="26">
        <v>5.5045871559633038E-2</v>
      </c>
      <c r="N167" s="26">
        <v>0.31192660550458728</v>
      </c>
      <c r="O167" s="26">
        <v>0.14373088685015289</v>
      </c>
      <c r="P167" s="26">
        <v>0</v>
      </c>
      <c r="Q167" s="26">
        <v>0</v>
      </c>
      <c r="R167" s="26">
        <v>0.1070336391437309</v>
      </c>
      <c r="S167" s="26">
        <v>7.64525993883792E-2</v>
      </c>
      <c r="T167" s="26">
        <v>0.13455657492354745</v>
      </c>
      <c r="U167" s="26">
        <v>0.13761467889908258</v>
      </c>
      <c r="V167" s="26">
        <v>0.2293577981651376</v>
      </c>
      <c r="W167" s="27"/>
      <c r="X167" s="24" t="s">
        <v>606</v>
      </c>
      <c r="Y167" s="30" t="s">
        <v>345</v>
      </c>
      <c r="Z167" s="24" t="s">
        <v>368</v>
      </c>
      <c r="AA167" s="28" t="s">
        <v>874</v>
      </c>
      <c r="AB167" s="24" t="s">
        <v>606</v>
      </c>
      <c r="AC167" s="30" t="s">
        <v>345</v>
      </c>
      <c r="AD167" s="30" t="s">
        <v>368</v>
      </c>
      <c r="AE167" s="36">
        <v>42615</v>
      </c>
    </row>
    <row r="168" spans="1:31" ht="15.75" x14ac:dyDescent="0.25">
      <c r="A168" s="23" t="s">
        <v>873</v>
      </c>
      <c r="B168" s="24" t="s">
        <v>872</v>
      </c>
      <c r="C168" s="24" t="s">
        <v>871</v>
      </c>
      <c r="D168" s="24" t="s">
        <v>419</v>
      </c>
      <c r="E168" s="29">
        <v>61061</v>
      </c>
      <c r="F168" s="24" t="s">
        <v>43</v>
      </c>
      <c r="G168" s="24" t="s">
        <v>292</v>
      </c>
      <c r="H168" s="24" t="s">
        <v>208</v>
      </c>
      <c r="I168" s="25">
        <v>2.0757575757575801</v>
      </c>
      <c r="J168" s="26">
        <v>8.5626911314984719E-2</v>
      </c>
      <c r="K168" s="26">
        <v>3.669724770642202E-2</v>
      </c>
      <c r="L168" s="26">
        <v>0.12844036697247707</v>
      </c>
      <c r="M168" s="26">
        <v>0.18654434250764526</v>
      </c>
      <c r="N168" s="26">
        <v>0.33944954128440369</v>
      </c>
      <c r="O168" s="26">
        <v>7.9510703363914373E-2</v>
      </c>
      <c r="P168" s="26">
        <v>1.834862385321101E-2</v>
      </c>
      <c r="Q168" s="26">
        <v>0</v>
      </c>
      <c r="R168" s="26">
        <v>0.20795107033639146</v>
      </c>
      <c r="S168" s="26">
        <v>7.6452599388379214E-2</v>
      </c>
      <c r="T168" s="26">
        <v>7.3394495412844027E-2</v>
      </c>
      <c r="U168" s="26">
        <v>7.9510703363914373E-2</v>
      </c>
      <c r="V168" s="26">
        <v>0.27828746177370034</v>
      </c>
      <c r="W168" s="27"/>
      <c r="X168" s="24" t="s">
        <v>238</v>
      </c>
      <c r="Y168" s="30"/>
      <c r="Z168" s="24"/>
      <c r="AA168" s="28" t="s">
        <v>356</v>
      </c>
      <c r="AB168" s="24" t="s">
        <v>238</v>
      </c>
      <c r="AC168" s="30"/>
      <c r="AD168" s="30"/>
      <c r="AE168" s="36"/>
    </row>
    <row r="169" spans="1:31" ht="15.75" x14ac:dyDescent="0.25">
      <c r="A169" s="23" t="s">
        <v>870</v>
      </c>
      <c r="B169" s="24" t="s">
        <v>869</v>
      </c>
      <c r="C169" s="24" t="s">
        <v>868</v>
      </c>
      <c r="D169" s="24" t="s">
        <v>726</v>
      </c>
      <c r="E169" s="29">
        <v>82601</v>
      </c>
      <c r="F169" s="24" t="s">
        <v>333</v>
      </c>
      <c r="G169" s="24" t="s">
        <v>292</v>
      </c>
      <c r="H169" s="24" t="s">
        <v>208</v>
      </c>
      <c r="I169" s="25">
        <v>1.54117647058824</v>
      </c>
      <c r="J169" s="26">
        <v>3.9755351681957186E-2</v>
      </c>
      <c r="K169" s="26">
        <v>9.7859327217125397E-2</v>
      </c>
      <c r="L169" s="26">
        <v>0.18348623853211007</v>
      </c>
      <c r="M169" s="26">
        <v>8.868501529051985E-2</v>
      </c>
      <c r="N169" s="26">
        <v>0.2385321100917431</v>
      </c>
      <c r="O169" s="26">
        <v>0.14067278287461774</v>
      </c>
      <c r="P169" s="26">
        <v>1.5290519877675841E-2</v>
      </c>
      <c r="Q169" s="26">
        <v>1.5290519877675841E-2</v>
      </c>
      <c r="R169" s="26">
        <v>7.0336391437308854E-2</v>
      </c>
      <c r="S169" s="26">
        <v>0.11009174311926606</v>
      </c>
      <c r="T169" s="26">
        <v>7.0336391437308868E-2</v>
      </c>
      <c r="U169" s="26">
        <v>0.15902140672782875</v>
      </c>
      <c r="V169" s="26">
        <v>0.20795107033639135</v>
      </c>
      <c r="W169" s="27"/>
      <c r="X169" s="24" t="s">
        <v>606</v>
      </c>
      <c r="Y169" s="30" t="s">
        <v>345</v>
      </c>
      <c r="Z169" s="24" t="s">
        <v>368</v>
      </c>
      <c r="AA169" s="28" t="s">
        <v>706</v>
      </c>
      <c r="AB169" s="24" t="s">
        <v>606</v>
      </c>
      <c r="AC169" s="30" t="s">
        <v>345</v>
      </c>
      <c r="AD169" s="30" t="s">
        <v>368</v>
      </c>
      <c r="AE169" s="36">
        <v>42986</v>
      </c>
    </row>
    <row r="170" spans="1:31" ht="15.75" x14ac:dyDescent="0.25">
      <c r="A170" s="23" t="s">
        <v>730</v>
      </c>
      <c r="B170" s="24" t="s">
        <v>731</v>
      </c>
      <c r="C170" s="24" t="s">
        <v>732</v>
      </c>
      <c r="D170" s="24" t="s">
        <v>222</v>
      </c>
      <c r="E170" s="29">
        <v>75751</v>
      </c>
      <c r="F170" s="24" t="s">
        <v>314</v>
      </c>
      <c r="G170" s="24" t="s">
        <v>236</v>
      </c>
      <c r="H170" s="24" t="s">
        <v>208</v>
      </c>
      <c r="I170" s="25">
        <v>1.40625</v>
      </c>
      <c r="J170" s="26">
        <v>0.11314984709480123</v>
      </c>
      <c r="K170" s="26">
        <v>6.116207951070337E-2</v>
      </c>
      <c r="L170" s="26">
        <v>0.10703363914373087</v>
      </c>
      <c r="M170" s="26">
        <v>3.0581039755351685E-2</v>
      </c>
      <c r="N170" s="26">
        <v>0.2568807339449542</v>
      </c>
      <c r="O170" s="26">
        <v>4.2813455657492359E-2</v>
      </c>
      <c r="P170" s="26">
        <v>9.1743119266055051E-3</v>
      </c>
      <c r="Q170" s="26">
        <v>3.0581039755351682E-3</v>
      </c>
      <c r="R170" s="26">
        <v>6.4220183486238536E-2</v>
      </c>
      <c r="S170" s="26">
        <v>4.2813455657492352E-2</v>
      </c>
      <c r="T170" s="26">
        <v>0.12232415902140673</v>
      </c>
      <c r="U170" s="26">
        <v>8.2568807339449532E-2</v>
      </c>
      <c r="V170" s="26">
        <v>8.5626911314984705E-2</v>
      </c>
      <c r="W170" s="27"/>
      <c r="X170" s="24" t="s">
        <v>238</v>
      </c>
      <c r="Y170" s="30"/>
      <c r="Z170" s="24"/>
      <c r="AA170" s="28"/>
      <c r="AB170" s="24" t="s">
        <v>238</v>
      </c>
      <c r="AC170" s="30"/>
      <c r="AD170" s="30"/>
      <c r="AE170" s="36"/>
    </row>
    <row r="171" spans="1:31" ht="15.75" x14ac:dyDescent="0.25">
      <c r="A171" s="23" t="s">
        <v>867</v>
      </c>
      <c r="B171" s="24" t="s">
        <v>866</v>
      </c>
      <c r="C171" s="24" t="s">
        <v>297</v>
      </c>
      <c r="D171" s="24" t="s">
        <v>222</v>
      </c>
      <c r="E171" s="29">
        <v>79925</v>
      </c>
      <c r="F171" s="24" t="s">
        <v>274</v>
      </c>
      <c r="G171" s="24" t="s">
        <v>0</v>
      </c>
      <c r="H171" s="24" t="s">
        <v>208</v>
      </c>
      <c r="I171" s="25">
        <v>2.7777777777777799</v>
      </c>
      <c r="J171" s="26">
        <v>0.21100917431192662</v>
      </c>
      <c r="K171" s="26">
        <v>0</v>
      </c>
      <c r="L171" s="26">
        <v>0</v>
      </c>
      <c r="M171" s="26">
        <v>0</v>
      </c>
      <c r="N171" s="26">
        <v>0</v>
      </c>
      <c r="O171" s="26">
        <v>0.14067278287461771</v>
      </c>
      <c r="P171" s="26">
        <v>0</v>
      </c>
      <c r="Q171" s="26">
        <v>7.0336391437308882E-2</v>
      </c>
      <c r="R171" s="26">
        <v>0</v>
      </c>
      <c r="S171" s="26">
        <v>0</v>
      </c>
      <c r="T171" s="26">
        <v>0</v>
      </c>
      <c r="U171" s="26">
        <v>0.21100917431192662</v>
      </c>
      <c r="V171" s="26">
        <v>3.0581039755351682E-3</v>
      </c>
      <c r="W171" s="27"/>
      <c r="X171" s="24" t="s">
        <v>238</v>
      </c>
      <c r="Y171" s="30"/>
      <c r="Z171" s="24"/>
      <c r="AA171" s="28"/>
      <c r="AB171" s="24" t="s">
        <v>238</v>
      </c>
      <c r="AC171" s="30"/>
      <c r="AD171" s="30"/>
      <c r="AE171" s="36"/>
    </row>
    <row r="172" spans="1:31" ht="15.75" x14ac:dyDescent="0.25">
      <c r="A172" s="23" t="s">
        <v>865</v>
      </c>
      <c r="B172" s="24" t="s">
        <v>864</v>
      </c>
      <c r="C172" s="24" t="s">
        <v>863</v>
      </c>
      <c r="D172" s="24" t="s">
        <v>222</v>
      </c>
      <c r="E172" s="29">
        <v>78503</v>
      </c>
      <c r="F172" s="24" t="s">
        <v>223</v>
      </c>
      <c r="G172" s="24" t="s">
        <v>0</v>
      </c>
      <c r="H172" s="24" t="s">
        <v>208</v>
      </c>
      <c r="I172" s="25">
        <v>5.9</v>
      </c>
      <c r="J172" s="26">
        <v>0.19266055045871558</v>
      </c>
      <c r="K172" s="26">
        <v>0</v>
      </c>
      <c r="L172" s="26">
        <v>0</v>
      </c>
      <c r="M172" s="26">
        <v>0</v>
      </c>
      <c r="N172" s="26">
        <v>0</v>
      </c>
      <c r="O172" s="26">
        <v>7.9510703363914373E-2</v>
      </c>
      <c r="P172" s="26">
        <v>0</v>
      </c>
      <c r="Q172" s="26">
        <v>0.11314984709480121</v>
      </c>
      <c r="R172" s="26">
        <v>0</v>
      </c>
      <c r="S172" s="26">
        <v>0</v>
      </c>
      <c r="T172" s="26">
        <v>0</v>
      </c>
      <c r="U172" s="26">
        <v>0.19266055045871558</v>
      </c>
      <c r="V172" s="26">
        <v>0</v>
      </c>
      <c r="W172" s="27"/>
      <c r="X172" s="24" t="s">
        <v>238</v>
      </c>
      <c r="Y172" s="30"/>
      <c r="Z172" s="24"/>
      <c r="AA172" s="28"/>
      <c r="AB172" s="24" t="s">
        <v>238</v>
      </c>
      <c r="AC172" s="30"/>
      <c r="AD172" s="30"/>
      <c r="AE172" s="36"/>
    </row>
    <row r="173" spans="1:31" ht="15.75" x14ac:dyDescent="0.25">
      <c r="A173" s="23" t="s">
        <v>862</v>
      </c>
      <c r="B173" s="24" t="s">
        <v>861</v>
      </c>
      <c r="C173" s="24" t="s">
        <v>860</v>
      </c>
      <c r="D173" s="24" t="s">
        <v>222</v>
      </c>
      <c r="E173" s="29">
        <v>78572</v>
      </c>
      <c r="F173" s="24" t="s">
        <v>223</v>
      </c>
      <c r="G173" s="24" t="s">
        <v>0</v>
      </c>
      <c r="H173" s="24" t="s">
        <v>208</v>
      </c>
      <c r="I173" s="25">
        <v>4</v>
      </c>
      <c r="J173" s="26">
        <v>0.17431192660550465</v>
      </c>
      <c r="K173" s="26">
        <v>0</v>
      </c>
      <c r="L173" s="26">
        <v>0</v>
      </c>
      <c r="M173" s="26">
        <v>0</v>
      </c>
      <c r="N173" s="26">
        <v>0</v>
      </c>
      <c r="O173" s="26">
        <v>0.11009174311926602</v>
      </c>
      <c r="P173" s="26">
        <v>0</v>
      </c>
      <c r="Q173" s="26">
        <v>6.4220183486238536E-2</v>
      </c>
      <c r="R173" s="26">
        <v>0</v>
      </c>
      <c r="S173" s="26">
        <v>0</v>
      </c>
      <c r="T173" s="26">
        <v>0</v>
      </c>
      <c r="U173" s="26">
        <v>0.17431192660550465</v>
      </c>
      <c r="V173" s="26">
        <v>0</v>
      </c>
      <c r="W173" s="27"/>
      <c r="X173" s="24" t="s">
        <v>238</v>
      </c>
      <c r="Y173" s="30"/>
      <c r="Z173" s="24"/>
      <c r="AA173" s="28"/>
      <c r="AB173" s="24" t="s">
        <v>238</v>
      </c>
      <c r="AC173" s="30"/>
      <c r="AD173" s="30"/>
      <c r="AE173" s="36"/>
    </row>
    <row r="174" spans="1:31" ht="15.75" x14ac:dyDescent="0.25">
      <c r="A174" s="23" t="s">
        <v>859</v>
      </c>
      <c r="B174" s="24" t="s">
        <v>858</v>
      </c>
      <c r="C174" s="24" t="s">
        <v>857</v>
      </c>
      <c r="D174" s="24" t="s">
        <v>529</v>
      </c>
      <c r="E174" s="29">
        <v>67846</v>
      </c>
      <c r="F174" s="24" t="s">
        <v>43</v>
      </c>
      <c r="G174" s="24" t="s">
        <v>236</v>
      </c>
      <c r="H174" s="24" t="s">
        <v>208</v>
      </c>
      <c r="I174" s="25">
        <v>1.8076923076923099</v>
      </c>
      <c r="J174" s="26">
        <v>0</v>
      </c>
      <c r="K174" s="26">
        <v>6.4220183486238536E-2</v>
      </c>
      <c r="L174" s="26">
        <v>9.4801223241590196E-2</v>
      </c>
      <c r="M174" s="26">
        <v>0</v>
      </c>
      <c r="N174" s="26">
        <v>5.8103975535168197E-2</v>
      </c>
      <c r="O174" s="26">
        <v>9.480122324159021E-2</v>
      </c>
      <c r="P174" s="26">
        <v>6.1162079510703364E-3</v>
      </c>
      <c r="Q174" s="26">
        <v>0</v>
      </c>
      <c r="R174" s="26">
        <v>3.3639143730886847E-2</v>
      </c>
      <c r="S174" s="26">
        <v>1.834862385321101E-2</v>
      </c>
      <c r="T174" s="26">
        <v>1.2232415902140673E-2</v>
      </c>
      <c r="U174" s="26">
        <v>9.480122324159021E-2</v>
      </c>
      <c r="V174" s="26">
        <v>9.1743119266055037E-2</v>
      </c>
      <c r="W174" s="27"/>
      <c r="X174" s="24" t="s">
        <v>209</v>
      </c>
      <c r="Y174" s="30" t="s">
        <v>345</v>
      </c>
      <c r="Z174" s="24" t="s">
        <v>346</v>
      </c>
      <c r="AA174" s="28" t="s">
        <v>856</v>
      </c>
      <c r="AB174" s="24" t="s">
        <v>238</v>
      </c>
      <c r="AC174" s="30"/>
      <c r="AD174" s="30"/>
      <c r="AE174" s="36"/>
    </row>
    <row r="175" spans="1:31" ht="15.75" x14ac:dyDescent="0.25">
      <c r="A175" s="23" t="s">
        <v>855</v>
      </c>
      <c r="B175" s="24" t="s">
        <v>854</v>
      </c>
      <c r="C175" s="24" t="s">
        <v>853</v>
      </c>
      <c r="D175" s="24" t="s">
        <v>205</v>
      </c>
      <c r="E175" s="29">
        <v>91950</v>
      </c>
      <c r="F175" s="24" t="s">
        <v>256</v>
      </c>
      <c r="G175" s="24" t="s">
        <v>0</v>
      </c>
      <c r="H175" s="24" t="s">
        <v>208</v>
      </c>
      <c r="I175" s="25"/>
      <c r="J175" s="26">
        <v>0.14678899082568808</v>
      </c>
      <c r="K175" s="26">
        <v>0</v>
      </c>
      <c r="L175" s="26">
        <v>0</v>
      </c>
      <c r="M175" s="26">
        <v>0</v>
      </c>
      <c r="N175" s="26">
        <v>1.834862385321101E-2</v>
      </c>
      <c r="O175" s="26">
        <v>3.0581039755351681E-2</v>
      </c>
      <c r="P175" s="26">
        <v>0</v>
      </c>
      <c r="Q175" s="26">
        <v>9.7859327217125383E-2</v>
      </c>
      <c r="R175" s="26">
        <v>0</v>
      </c>
      <c r="S175" s="26">
        <v>0</v>
      </c>
      <c r="T175" s="26">
        <v>1.834862385321101E-2</v>
      </c>
      <c r="U175" s="26">
        <v>0.12844036697247707</v>
      </c>
      <c r="V175" s="26">
        <v>8.2568807339449546E-2</v>
      </c>
      <c r="W175" s="27"/>
      <c r="X175" s="24" t="s">
        <v>238</v>
      </c>
      <c r="Y175" s="30"/>
      <c r="Z175" s="24"/>
      <c r="AA175" s="28"/>
      <c r="AB175" s="24" t="s">
        <v>238</v>
      </c>
      <c r="AC175" s="30"/>
      <c r="AD175" s="30"/>
      <c r="AE175" s="36"/>
    </row>
    <row r="176" spans="1:31" ht="15.75" x14ac:dyDescent="0.25">
      <c r="A176" s="23" t="s">
        <v>852</v>
      </c>
      <c r="B176" s="24" t="s">
        <v>851</v>
      </c>
      <c r="C176" s="24" t="s">
        <v>267</v>
      </c>
      <c r="D176" s="24" t="s">
        <v>222</v>
      </c>
      <c r="E176" s="29">
        <v>78566</v>
      </c>
      <c r="F176" s="24" t="s">
        <v>223</v>
      </c>
      <c r="G176" s="24" t="s">
        <v>407</v>
      </c>
      <c r="H176" s="24" t="s">
        <v>208</v>
      </c>
      <c r="I176" s="25">
        <v>1.3333333333333299</v>
      </c>
      <c r="J176" s="26">
        <v>0.13455657492354739</v>
      </c>
      <c r="K176" s="26">
        <v>0</v>
      </c>
      <c r="L176" s="26">
        <v>0</v>
      </c>
      <c r="M176" s="26">
        <v>3.0581039755351682E-3</v>
      </c>
      <c r="N176" s="26">
        <v>2.4464831804281346E-2</v>
      </c>
      <c r="O176" s="26">
        <v>4.2813455657492352E-2</v>
      </c>
      <c r="P176" s="26">
        <v>0</v>
      </c>
      <c r="Q176" s="26">
        <v>7.0336391437308868E-2</v>
      </c>
      <c r="R176" s="26">
        <v>0</v>
      </c>
      <c r="S176" s="26">
        <v>0</v>
      </c>
      <c r="T176" s="26">
        <v>2.4464831804281346E-2</v>
      </c>
      <c r="U176" s="26">
        <v>0.11314984709480121</v>
      </c>
      <c r="V176" s="26">
        <v>2.4464831804281346E-2</v>
      </c>
      <c r="W176" s="27"/>
      <c r="X176" s="24" t="s">
        <v>238</v>
      </c>
      <c r="Y176" s="30"/>
      <c r="Z176" s="24"/>
      <c r="AA176" s="28"/>
      <c r="AB176" s="24" t="s">
        <v>238</v>
      </c>
      <c r="AC176" s="30"/>
      <c r="AD176" s="30"/>
      <c r="AE176" s="36"/>
    </row>
    <row r="177" spans="1:31" ht="15.75" x14ac:dyDescent="0.25">
      <c r="A177" s="23" t="s">
        <v>850</v>
      </c>
      <c r="B177" s="24" t="s">
        <v>849</v>
      </c>
      <c r="C177" s="24" t="s">
        <v>848</v>
      </c>
      <c r="D177" s="24" t="s">
        <v>222</v>
      </c>
      <c r="E177" s="29">
        <v>78539</v>
      </c>
      <c r="F177" s="24" t="s">
        <v>223</v>
      </c>
      <c r="G177" s="24" t="s">
        <v>236</v>
      </c>
      <c r="H177" s="24" t="s">
        <v>208</v>
      </c>
      <c r="I177" s="25"/>
      <c r="J177" s="26">
        <v>6.1162079510703363E-2</v>
      </c>
      <c r="K177" s="26">
        <v>0</v>
      </c>
      <c r="L177" s="26">
        <v>0</v>
      </c>
      <c r="M177" s="26">
        <v>0</v>
      </c>
      <c r="N177" s="26">
        <v>0</v>
      </c>
      <c r="O177" s="26">
        <v>6.1162079510703363E-2</v>
      </c>
      <c r="P177" s="26">
        <v>0</v>
      </c>
      <c r="Q177" s="26">
        <v>0</v>
      </c>
      <c r="R177" s="26">
        <v>0</v>
      </c>
      <c r="S177" s="26">
        <v>0</v>
      </c>
      <c r="T177" s="26">
        <v>0</v>
      </c>
      <c r="U177" s="26">
        <v>6.1162079510703363E-2</v>
      </c>
      <c r="V177" s="26">
        <v>0</v>
      </c>
      <c r="W177" s="27"/>
      <c r="X177" s="24" t="s">
        <v>238</v>
      </c>
      <c r="Y177" s="30"/>
      <c r="Z177" s="24"/>
      <c r="AA177" s="28"/>
      <c r="AB177" s="24" t="s">
        <v>238</v>
      </c>
      <c r="AC177" s="30"/>
      <c r="AD177" s="30"/>
      <c r="AE177" s="36"/>
    </row>
  </sheetData>
  <sheetProtection selectLockedCells="1" selectUnlockedCells="1"/>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topLeftCell="A64" zoomScale="80" zoomScaleNormal="80" workbookViewId="0">
      <selection activeCell="B51" sqref="B51"/>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188" t="s">
        <v>58</v>
      </c>
      <c r="B1" s="188"/>
      <c r="C1" s="188"/>
      <c r="D1" s="188"/>
      <c r="E1" s="33"/>
      <c r="F1" s="33"/>
      <c r="G1" s="33"/>
      <c r="H1" s="33"/>
      <c r="I1" s="33"/>
      <c r="J1" s="33"/>
      <c r="K1" s="33"/>
      <c r="L1" s="33"/>
      <c r="M1" s="33"/>
      <c r="N1" s="33"/>
      <c r="O1" s="33"/>
      <c r="P1" s="33"/>
      <c r="Q1" s="33"/>
      <c r="R1" s="33"/>
      <c r="S1" s="33"/>
      <c r="T1" s="33"/>
      <c r="U1" s="33"/>
      <c r="V1" s="33"/>
      <c r="W1" s="33"/>
      <c r="X1" s="33"/>
      <c r="Y1" s="33"/>
      <c r="Z1" s="33"/>
      <c r="AA1" s="33"/>
      <c r="AB1" s="33"/>
      <c r="AC1" s="33"/>
      <c r="AD1" s="33"/>
      <c r="AE1" s="33"/>
    </row>
    <row r="2" spans="1:31" s="11" customFormat="1" ht="74.25" customHeight="1" x14ac:dyDescent="0.25">
      <c r="A2" s="189" t="s">
        <v>59</v>
      </c>
      <c r="B2" s="189"/>
      <c r="C2" s="189"/>
      <c r="D2" s="189"/>
      <c r="E2" s="33"/>
      <c r="F2" s="33"/>
      <c r="G2" s="33"/>
      <c r="H2" s="33"/>
      <c r="I2" s="33"/>
      <c r="J2" s="33"/>
      <c r="K2" s="33"/>
      <c r="L2" s="33"/>
      <c r="M2" s="33"/>
      <c r="N2" s="33"/>
      <c r="O2" s="33"/>
      <c r="P2" s="33"/>
      <c r="Q2" s="33"/>
      <c r="R2" s="33"/>
      <c r="S2" s="33"/>
      <c r="T2" s="33"/>
      <c r="U2" s="33"/>
      <c r="V2" s="33"/>
      <c r="W2" s="33"/>
      <c r="X2" s="33"/>
      <c r="Y2" s="33"/>
      <c r="Z2" s="33"/>
      <c r="AA2" s="33"/>
      <c r="AB2" s="33"/>
      <c r="AC2" s="33"/>
      <c r="AD2" s="33"/>
      <c r="AE2" s="33"/>
    </row>
    <row r="3" spans="1:31" s="11" customFormat="1" ht="48.6" customHeight="1" thickBot="1" x14ac:dyDescent="0.3">
      <c r="A3" s="64" t="s">
        <v>770</v>
      </c>
      <c r="B3" s="64"/>
      <c r="C3" s="69"/>
      <c r="D3" s="69"/>
      <c r="E3" s="258"/>
      <c r="F3" s="258"/>
      <c r="G3" s="258"/>
      <c r="H3" s="258"/>
      <c r="I3" s="258"/>
      <c r="J3" s="258"/>
      <c r="K3" s="258"/>
      <c r="L3" s="258"/>
      <c r="M3" s="258"/>
      <c r="N3" s="258"/>
      <c r="O3" s="258"/>
      <c r="P3" s="258"/>
      <c r="Q3" s="258"/>
      <c r="R3" s="258"/>
      <c r="S3" s="258"/>
      <c r="T3" s="258"/>
      <c r="U3" s="258"/>
      <c r="V3" s="258"/>
      <c r="W3" s="258"/>
      <c r="X3" s="258"/>
      <c r="Y3" s="258"/>
      <c r="Z3" s="258"/>
      <c r="AA3" s="258"/>
      <c r="AB3" s="258"/>
      <c r="AC3" s="258"/>
      <c r="AD3" s="258"/>
      <c r="AE3" s="258"/>
    </row>
    <row r="4" spans="1:31" ht="18.75" x14ac:dyDescent="0.25">
      <c r="A4" s="170" t="s">
        <v>129</v>
      </c>
      <c r="B4" s="171" t="s">
        <v>130</v>
      </c>
    </row>
    <row r="5" spans="1:31" ht="15.75" x14ac:dyDescent="0.25">
      <c r="A5" s="172" t="s">
        <v>60</v>
      </c>
      <c r="B5" s="173" t="s">
        <v>61</v>
      </c>
    </row>
    <row r="6" spans="1:31" ht="15.75" x14ac:dyDescent="0.25">
      <c r="A6" s="172" t="s">
        <v>62</v>
      </c>
      <c r="B6" s="173" t="s">
        <v>63</v>
      </c>
    </row>
    <row r="7" spans="1:31" ht="15.75" x14ac:dyDescent="0.25">
      <c r="A7" s="172" t="s">
        <v>64</v>
      </c>
      <c r="B7" s="173" t="s">
        <v>65</v>
      </c>
    </row>
    <row r="8" spans="1:31" ht="15.75" x14ac:dyDescent="0.25">
      <c r="A8" s="172" t="s">
        <v>66</v>
      </c>
      <c r="B8" s="173" t="s">
        <v>67</v>
      </c>
    </row>
    <row r="9" spans="1:31" ht="15.75" x14ac:dyDescent="0.25">
      <c r="A9" s="172" t="s">
        <v>4</v>
      </c>
      <c r="B9" s="173" t="s">
        <v>68</v>
      </c>
    </row>
    <row r="10" spans="1:31" ht="15.75" x14ac:dyDescent="0.25">
      <c r="A10" s="172" t="s">
        <v>69</v>
      </c>
      <c r="B10" s="173" t="s">
        <v>70</v>
      </c>
    </row>
    <row r="11" spans="1:31" ht="15.75" x14ac:dyDescent="0.25">
      <c r="A11" s="172" t="s">
        <v>71</v>
      </c>
      <c r="B11" s="173" t="s">
        <v>72</v>
      </c>
    </row>
    <row r="12" spans="1:31" ht="15.75" x14ac:dyDescent="0.25">
      <c r="A12" s="172" t="s">
        <v>73</v>
      </c>
      <c r="B12" s="173" t="s">
        <v>74</v>
      </c>
      <c r="Z12" s="68"/>
    </row>
    <row r="13" spans="1:31" ht="47.25" x14ac:dyDescent="0.25">
      <c r="A13" s="172" t="s">
        <v>75</v>
      </c>
      <c r="B13" s="173" t="s">
        <v>76</v>
      </c>
    </row>
    <row r="14" spans="1:31" ht="47.25" x14ac:dyDescent="0.25">
      <c r="A14" s="172" t="s">
        <v>78</v>
      </c>
      <c r="B14" s="173" t="s">
        <v>79</v>
      </c>
    </row>
    <row r="15" spans="1:31" ht="15.75" x14ac:dyDescent="0.25">
      <c r="A15" s="172" t="s">
        <v>80</v>
      </c>
      <c r="B15" s="173" t="s">
        <v>81</v>
      </c>
    </row>
    <row r="16" spans="1:31" ht="47.25" customHeight="1" x14ac:dyDescent="0.25">
      <c r="A16" s="257" t="s">
        <v>82</v>
      </c>
      <c r="B16" s="173" t="s">
        <v>83</v>
      </c>
    </row>
    <row r="17" spans="1:2" ht="47.25" x14ac:dyDescent="0.25">
      <c r="A17" s="257"/>
      <c r="B17" s="173" t="s">
        <v>84</v>
      </c>
    </row>
    <row r="18" spans="1:2" ht="47.1" customHeight="1" x14ac:dyDescent="0.25">
      <c r="A18" s="251" t="s">
        <v>781</v>
      </c>
      <c r="B18" s="173" t="s">
        <v>782</v>
      </c>
    </row>
    <row r="19" spans="1:2" ht="47.25" x14ac:dyDescent="0.25">
      <c r="A19" s="253"/>
      <c r="B19" s="173" t="s">
        <v>783</v>
      </c>
    </row>
    <row r="20" spans="1:2" ht="15.75" x14ac:dyDescent="0.25">
      <c r="A20" s="172" t="s">
        <v>85</v>
      </c>
      <c r="B20" s="173" t="s">
        <v>86</v>
      </c>
    </row>
    <row r="21" spans="1:2" ht="15.75" x14ac:dyDescent="0.25">
      <c r="A21" s="172" t="s">
        <v>87</v>
      </c>
      <c r="B21" s="173" t="s">
        <v>88</v>
      </c>
    </row>
    <row r="22" spans="1:2" ht="15.75" x14ac:dyDescent="0.25">
      <c r="A22" s="172" t="s">
        <v>89</v>
      </c>
      <c r="B22" s="173" t="s">
        <v>90</v>
      </c>
    </row>
    <row r="23" spans="1:2" ht="15.75" x14ac:dyDescent="0.25">
      <c r="A23" s="172" t="s">
        <v>91</v>
      </c>
      <c r="B23" s="173" t="s">
        <v>92</v>
      </c>
    </row>
    <row r="24" spans="1:2" ht="47.25" x14ac:dyDescent="0.25">
      <c r="A24" s="172" t="s">
        <v>93</v>
      </c>
      <c r="B24" s="173" t="s">
        <v>94</v>
      </c>
    </row>
    <row r="25" spans="1:2" ht="31.5" x14ac:dyDescent="0.25">
      <c r="A25" s="172" t="s">
        <v>95</v>
      </c>
      <c r="B25" s="173" t="s">
        <v>96</v>
      </c>
    </row>
    <row r="26" spans="1:2" ht="15.75" x14ac:dyDescent="0.25">
      <c r="A26" s="172" t="s">
        <v>97</v>
      </c>
      <c r="B26" s="173" t="s">
        <v>98</v>
      </c>
    </row>
    <row r="27" spans="1:2" ht="15.75" x14ac:dyDescent="0.25">
      <c r="A27" s="172" t="s">
        <v>99</v>
      </c>
      <c r="B27" s="173" t="s">
        <v>100</v>
      </c>
    </row>
    <row r="28" spans="1:2" ht="15.75" x14ac:dyDescent="0.25">
      <c r="A28" s="172" t="s">
        <v>101</v>
      </c>
      <c r="B28" s="173" t="s">
        <v>102</v>
      </c>
    </row>
    <row r="29" spans="1:2" ht="31.5" x14ac:dyDescent="0.25">
      <c r="A29" s="172" t="s">
        <v>103</v>
      </c>
      <c r="B29" s="173" t="s">
        <v>104</v>
      </c>
    </row>
    <row r="30" spans="1:2" ht="15.75" x14ac:dyDescent="0.25">
      <c r="A30" s="172" t="s">
        <v>105</v>
      </c>
      <c r="B30" s="173" t="s">
        <v>106</v>
      </c>
    </row>
    <row r="31" spans="1:2" ht="15.75" x14ac:dyDescent="0.25">
      <c r="A31" s="172" t="s">
        <v>2</v>
      </c>
      <c r="B31" s="173" t="s">
        <v>107</v>
      </c>
    </row>
    <row r="32" spans="1:2" ht="31.5" x14ac:dyDescent="0.25">
      <c r="A32" s="174" t="s">
        <v>825</v>
      </c>
      <c r="B32" s="175" t="s">
        <v>108</v>
      </c>
    </row>
    <row r="33" spans="1:2" ht="15.75" x14ac:dyDescent="0.25">
      <c r="A33" s="172" t="s">
        <v>3</v>
      </c>
      <c r="B33" s="173" t="s">
        <v>109</v>
      </c>
    </row>
    <row r="34" spans="1:2" ht="31.5" x14ac:dyDescent="0.25">
      <c r="A34" s="172" t="s">
        <v>111</v>
      </c>
      <c r="B34" s="173" t="s">
        <v>112</v>
      </c>
    </row>
    <row r="35" spans="1:2" ht="15.75" x14ac:dyDescent="0.25">
      <c r="A35" s="172" t="s">
        <v>113</v>
      </c>
      <c r="B35" s="173" t="s">
        <v>114</v>
      </c>
    </row>
    <row r="36" spans="1:2" ht="31.5" x14ac:dyDescent="0.25">
      <c r="A36" s="172" t="s">
        <v>115</v>
      </c>
      <c r="B36" s="173" t="s">
        <v>116</v>
      </c>
    </row>
    <row r="37" spans="1:2" ht="15.75" x14ac:dyDescent="0.25">
      <c r="A37" s="172" t="s">
        <v>117</v>
      </c>
      <c r="B37" s="173" t="s">
        <v>784</v>
      </c>
    </row>
    <row r="38" spans="1:2" ht="15.75" x14ac:dyDescent="0.25">
      <c r="A38" s="172" t="s">
        <v>28</v>
      </c>
      <c r="B38" s="173" t="s">
        <v>785</v>
      </c>
    </row>
    <row r="39" spans="1:2" ht="15.75" x14ac:dyDescent="0.25">
      <c r="A39" s="257" t="s">
        <v>118</v>
      </c>
      <c r="B39" s="173" t="s">
        <v>119</v>
      </c>
    </row>
    <row r="40" spans="1:2" ht="15.75" x14ac:dyDescent="0.25">
      <c r="A40" s="257"/>
      <c r="B40" s="173" t="s">
        <v>120</v>
      </c>
    </row>
    <row r="41" spans="1:2" ht="47.25" x14ac:dyDescent="0.25">
      <c r="A41" s="257"/>
      <c r="B41" s="173" t="s">
        <v>121</v>
      </c>
    </row>
    <row r="42" spans="1:2" ht="15.75" x14ac:dyDescent="0.25">
      <c r="A42" s="257"/>
      <c r="B42" s="173" t="s">
        <v>122</v>
      </c>
    </row>
    <row r="43" spans="1:2" ht="47.25" x14ac:dyDescent="0.25">
      <c r="A43" s="257"/>
      <c r="B43" s="173" t="s">
        <v>123</v>
      </c>
    </row>
    <row r="44" spans="1:2" ht="15.75" x14ac:dyDescent="0.25">
      <c r="A44" s="257"/>
      <c r="B44" s="173" t="s">
        <v>124</v>
      </c>
    </row>
    <row r="45" spans="1:2" ht="31.5" x14ac:dyDescent="0.25">
      <c r="A45" s="257"/>
      <c r="B45" s="173" t="s">
        <v>125</v>
      </c>
    </row>
    <row r="46" spans="1:2" ht="31.5" x14ac:dyDescent="0.25">
      <c r="A46" s="257"/>
      <c r="B46" s="173" t="s">
        <v>126</v>
      </c>
    </row>
    <row r="47" spans="1:2" ht="15.75" x14ac:dyDescent="0.25">
      <c r="A47" s="172" t="s">
        <v>127</v>
      </c>
      <c r="B47" s="173" t="s">
        <v>128</v>
      </c>
    </row>
    <row r="48" spans="1:2" ht="31.5" x14ac:dyDescent="0.25">
      <c r="A48" s="251" t="s">
        <v>809</v>
      </c>
      <c r="B48" s="173" t="s">
        <v>786</v>
      </c>
    </row>
    <row r="49" spans="1:2" ht="15.75" x14ac:dyDescent="0.25">
      <c r="A49" s="252"/>
      <c r="B49" s="173" t="s">
        <v>787</v>
      </c>
    </row>
    <row r="50" spans="1:2" ht="15.75" x14ac:dyDescent="0.25">
      <c r="A50" s="253"/>
      <c r="B50" s="173" t="s">
        <v>788</v>
      </c>
    </row>
    <row r="51" spans="1:2" ht="15.75" customHeight="1" x14ac:dyDescent="0.25">
      <c r="A51" s="245" t="s">
        <v>814</v>
      </c>
      <c r="B51" s="176" t="s">
        <v>831</v>
      </c>
    </row>
    <row r="52" spans="1:2" ht="15.75" x14ac:dyDescent="0.25">
      <c r="A52" s="246"/>
      <c r="B52" s="175" t="s">
        <v>789</v>
      </c>
    </row>
    <row r="53" spans="1:2" ht="35.450000000000003" customHeight="1" x14ac:dyDescent="0.25">
      <c r="A53" s="246"/>
      <c r="B53" s="175" t="s">
        <v>790</v>
      </c>
    </row>
    <row r="54" spans="1:2" ht="86.25" customHeight="1" x14ac:dyDescent="0.25">
      <c r="A54" s="246"/>
      <c r="B54" s="175" t="s">
        <v>813</v>
      </c>
    </row>
    <row r="55" spans="1:2" ht="87.6" customHeight="1" x14ac:dyDescent="0.25">
      <c r="A55" s="246"/>
      <c r="B55" s="175" t="s">
        <v>816</v>
      </c>
    </row>
    <row r="56" spans="1:2" ht="31.5" x14ac:dyDescent="0.25">
      <c r="A56" s="246"/>
      <c r="B56" s="175" t="s">
        <v>791</v>
      </c>
    </row>
    <row r="57" spans="1:2" ht="78.75" x14ac:dyDescent="0.25">
      <c r="A57" s="246"/>
      <c r="B57" s="175" t="s">
        <v>810</v>
      </c>
    </row>
    <row r="58" spans="1:2" ht="15.75" x14ac:dyDescent="0.25">
      <c r="A58" s="246"/>
      <c r="B58" s="175" t="s">
        <v>792</v>
      </c>
    </row>
    <row r="59" spans="1:2" ht="31.5" x14ac:dyDescent="0.25">
      <c r="A59" s="247"/>
      <c r="B59" s="175" t="s">
        <v>793</v>
      </c>
    </row>
    <row r="60" spans="1:2" ht="15.75" x14ac:dyDescent="0.25">
      <c r="A60" s="248" t="s">
        <v>817</v>
      </c>
      <c r="B60" s="176" t="s">
        <v>832</v>
      </c>
    </row>
    <row r="61" spans="1:2" ht="31.5" x14ac:dyDescent="0.25">
      <c r="A61" s="249"/>
      <c r="B61" s="173" t="s">
        <v>794</v>
      </c>
    </row>
    <row r="62" spans="1:2" ht="15.75" x14ac:dyDescent="0.25">
      <c r="A62" s="249"/>
      <c r="B62" s="173" t="s">
        <v>795</v>
      </c>
    </row>
    <row r="63" spans="1:2" ht="15.75" x14ac:dyDescent="0.25">
      <c r="A63" s="249"/>
      <c r="B63" s="173" t="s">
        <v>796</v>
      </c>
    </row>
    <row r="64" spans="1:2" ht="78.75" x14ac:dyDescent="0.25">
      <c r="A64" s="249"/>
      <c r="B64" s="175" t="s">
        <v>815</v>
      </c>
    </row>
    <row r="65" spans="1:2" ht="50.1" customHeight="1" x14ac:dyDescent="0.25">
      <c r="A65" s="250"/>
      <c r="B65" s="173" t="s">
        <v>793</v>
      </c>
    </row>
    <row r="66" spans="1:2" ht="15.75" x14ac:dyDescent="0.25">
      <c r="A66" s="251" t="s">
        <v>818</v>
      </c>
      <c r="B66" s="176" t="s">
        <v>833</v>
      </c>
    </row>
    <row r="67" spans="1:2" ht="15.75" x14ac:dyDescent="0.25">
      <c r="A67" s="252"/>
      <c r="B67" s="173" t="s">
        <v>797</v>
      </c>
    </row>
    <row r="68" spans="1:2" ht="39.950000000000003" customHeight="1" x14ac:dyDescent="0.25">
      <c r="A68" s="252"/>
      <c r="B68" s="173" t="s">
        <v>798</v>
      </c>
    </row>
    <row r="69" spans="1:2" ht="63" x14ac:dyDescent="0.25">
      <c r="A69" s="252"/>
      <c r="B69" s="173" t="s">
        <v>799</v>
      </c>
    </row>
    <row r="70" spans="1:2" ht="31.5" x14ac:dyDescent="0.25">
      <c r="A70" s="253"/>
      <c r="B70" s="173" t="s">
        <v>793</v>
      </c>
    </row>
    <row r="71" spans="1:2" ht="20.45" customHeight="1" x14ac:dyDescent="0.25">
      <c r="A71" s="177" t="s">
        <v>819</v>
      </c>
      <c r="B71" s="176" t="s">
        <v>834</v>
      </c>
    </row>
    <row r="72" spans="1:2" ht="15.75" x14ac:dyDescent="0.25">
      <c r="A72" s="177"/>
      <c r="B72" s="173" t="s">
        <v>800</v>
      </c>
    </row>
    <row r="73" spans="1:2" ht="83.45" customHeight="1" x14ac:dyDescent="0.25">
      <c r="A73" s="178"/>
      <c r="B73" s="175" t="s">
        <v>815</v>
      </c>
    </row>
    <row r="74" spans="1:2" ht="78.75" x14ac:dyDescent="0.25">
      <c r="A74" s="179"/>
      <c r="B74" s="176" t="s">
        <v>810</v>
      </c>
    </row>
    <row r="75" spans="1:2" ht="15.75" x14ac:dyDescent="0.25">
      <c r="A75" s="179"/>
      <c r="B75" s="173" t="s">
        <v>792</v>
      </c>
    </row>
    <row r="76" spans="1:2" ht="31.5" x14ac:dyDescent="0.25">
      <c r="A76" s="179"/>
      <c r="B76" s="173" t="s">
        <v>801</v>
      </c>
    </row>
    <row r="77" spans="1:2" ht="31.5" x14ac:dyDescent="0.25">
      <c r="A77" s="180"/>
      <c r="B77" s="175" t="s">
        <v>811</v>
      </c>
    </row>
    <row r="78" spans="1:2" ht="15.75" x14ac:dyDescent="0.25">
      <c r="A78" s="179" t="s">
        <v>820</v>
      </c>
      <c r="B78" s="176" t="s">
        <v>831</v>
      </c>
    </row>
    <row r="79" spans="1:2" ht="15.75" x14ac:dyDescent="0.25">
      <c r="A79" s="179"/>
      <c r="B79" s="173" t="s">
        <v>800</v>
      </c>
    </row>
    <row r="80" spans="1:2" ht="31.5" x14ac:dyDescent="0.25">
      <c r="A80" s="179"/>
      <c r="B80" s="173" t="s">
        <v>791</v>
      </c>
    </row>
    <row r="81" spans="1:2" ht="15.75" x14ac:dyDescent="0.25">
      <c r="A81" s="179"/>
      <c r="B81" s="173" t="s">
        <v>802</v>
      </c>
    </row>
    <row r="82" spans="1:2" ht="47.25" x14ac:dyDescent="0.25">
      <c r="A82" s="178"/>
      <c r="B82" s="173" t="s">
        <v>803</v>
      </c>
    </row>
    <row r="83" spans="1:2" ht="31.5" x14ac:dyDescent="0.25">
      <c r="A83" s="178"/>
      <c r="B83" s="173" t="s">
        <v>804</v>
      </c>
    </row>
    <row r="84" spans="1:2" ht="15.75" x14ac:dyDescent="0.25">
      <c r="A84" s="178"/>
      <c r="B84" s="173" t="s">
        <v>805</v>
      </c>
    </row>
    <row r="85" spans="1:2" ht="15.75" x14ac:dyDescent="0.25">
      <c r="A85" s="178"/>
      <c r="B85" s="173" t="s">
        <v>792</v>
      </c>
    </row>
    <row r="86" spans="1:2" ht="78.75" x14ac:dyDescent="0.25">
      <c r="A86" s="178"/>
      <c r="B86" s="175" t="s">
        <v>815</v>
      </c>
    </row>
    <row r="87" spans="1:2" ht="31.5" x14ac:dyDescent="0.25">
      <c r="A87" s="181"/>
      <c r="B87" s="173" t="s">
        <v>793</v>
      </c>
    </row>
    <row r="88" spans="1:2" ht="15.6" customHeight="1" x14ac:dyDescent="0.25">
      <c r="A88" s="254" t="s">
        <v>827</v>
      </c>
      <c r="B88" s="182" t="s">
        <v>835</v>
      </c>
    </row>
    <row r="89" spans="1:2" ht="15.75" x14ac:dyDescent="0.25">
      <c r="A89" s="255"/>
      <c r="B89" s="182" t="s">
        <v>836</v>
      </c>
    </row>
    <row r="90" spans="1:2" ht="15.75" x14ac:dyDescent="0.25">
      <c r="A90" s="255"/>
      <c r="B90" s="183" t="s">
        <v>800</v>
      </c>
    </row>
    <row r="91" spans="1:2" ht="15.75" x14ac:dyDescent="0.25">
      <c r="A91" s="255"/>
      <c r="B91" s="182" t="s">
        <v>837</v>
      </c>
    </row>
    <row r="92" spans="1:2" ht="63" x14ac:dyDescent="0.25">
      <c r="A92" s="255"/>
      <c r="B92" s="183" t="s">
        <v>821</v>
      </c>
    </row>
    <row r="93" spans="1:2" ht="31.5" x14ac:dyDescent="0.25">
      <c r="A93" s="255"/>
      <c r="B93" s="183" t="s">
        <v>822</v>
      </c>
    </row>
    <row r="94" spans="1:2" ht="47.25" x14ac:dyDescent="0.25">
      <c r="A94" s="255"/>
      <c r="B94" s="182" t="s">
        <v>838</v>
      </c>
    </row>
    <row r="95" spans="1:2" ht="31.5" x14ac:dyDescent="0.25">
      <c r="A95" s="255"/>
      <c r="B95" s="183" t="s">
        <v>823</v>
      </c>
    </row>
    <row r="96" spans="1:2" ht="141.75" x14ac:dyDescent="0.25">
      <c r="A96" s="255"/>
      <c r="B96" s="182" t="s">
        <v>839</v>
      </c>
    </row>
    <row r="97" spans="1:2" ht="63.75" thickBot="1" x14ac:dyDescent="0.3">
      <c r="A97" s="256"/>
      <c r="B97" s="184" t="s">
        <v>824</v>
      </c>
    </row>
  </sheetData>
  <sheetProtection sheet="1" objects="1" scenarios="1"/>
  <mergeCells count="17">
    <mergeCell ref="AC3:AE3"/>
    <mergeCell ref="E3:H3"/>
    <mergeCell ref="I3:L3"/>
    <mergeCell ref="M3:P3"/>
    <mergeCell ref="Q3:T3"/>
    <mergeCell ref="U3:X3"/>
    <mergeCell ref="A1:D1"/>
    <mergeCell ref="A2:D2"/>
    <mergeCell ref="Y3:AB3"/>
    <mergeCell ref="A18:A19"/>
    <mergeCell ref="A39:A46"/>
    <mergeCell ref="A51:A59"/>
    <mergeCell ref="A60:A65"/>
    <mergeCell ref="A66:A70"/>
    <mergeCell ref="A88:A97"/>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b65fd6d479e37d79e97739a597846120">
  <xsd:schema xmlns:xsd="http://www.w3.org/2001/XMLSchema" xmlns:xs="http://www.w3.org/2001/XMLSchema" xmlns:p="http://schemas.microsoft.com/office/2006/metadata/properties" xmlns:ns2="4fb1db5d-19c2-4c8a-82e5-c8fdf1b06038" targetNamespace="http://schemas.microsoft.com/office/2006/metadata/properties" ma:root="true" ma:fieldsID="3a10e8632b40af3d46de2d3f205b3b8e"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D0B4D9-5ECC-4E92-9DEF-C0EE46CAA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4fb1db5d-19c2-4c8a-82e5-c8fdf1b0603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Detention FY20 YTD</vt:lpstr>
      <vt:lpstr>ATD FY20 YTD</vt:lpstr>
      <vt:lpstr>Facilities FY20 YTD</vt:lpstr>
      <vt:lpstr>Footnotes</vt:lpstr>
      <vt:lpstr>'Detention FY20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Solorzano, Eliman</cp:lastModifiedBy>
  <cp:lastPrinted>2020-02-10T19:14:43Z</cp:lastPrinted>
  <dcterms:created xsi:type="dcterms:W3CDTF">2020-01-31T18:40:16Z</dcterms:created>
  <dcterms:modified xsi:type="dcterms:W3CDTF">2020-09-03T13:22:48Z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