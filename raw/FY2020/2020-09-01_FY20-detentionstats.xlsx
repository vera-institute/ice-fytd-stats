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fileSharing readOnlyRecommended="1"/>
  <workbookPr defaultThemeVersion="166925"/>
  <mc:AlternateContent xmlns:mc="http://schemas.openxmlformats.org/markup-compatibility/2006">
    <mc:Choice Requires="x15">
      <x15ac:absPath xmlns:x15ac="http://schemas.microsoft.com/office/spreadsheetml/2010/11/ac" url="C:\Users\esolorza\Desktop\"/>
    </mc:Choice>
  </mc:AlternateContent>
  <xr:revisionPtr revIDLastSave="0" documentId="13_ncr:1_{E288FC3E-DB50-47A5-8DD8-AD5D9CA22A9F}" xr6:coauthVersionLast="44" xr6:coauthVersionMax="44" xr10:uidLastSave="{00000000-0000-0000-0000-000000000000}"/>
  <workbookProtection lockStructure="1"/>
  <bookViews>
    <workbookView xWindow="3450" yWindow="2670" windowWidth="21780" windowHeight="10785" tabRatio="668" activeTab="4" xr2:uid="{00000000-000D-0000-FFFF-FFFF00000000}"/>
  </bookViews>
  <sheets>
    <sheet name="Header" sheetId="9" r:id="rId1"/>
    <sheet name="ATD FY20 YTD" sheetId="14" r:id="rId2"/>
    <sheet name="Detention FY20 YTD" sheetId="3" r:id="rId3"/>
    <sheet name="Facilities FY20 YTD" sheetId="15" r:id="rId4"/>
    <sheet name="Footnotes" sheetId="4" r:id="rId5"/>
  </sheets>
  <definedNames>
    <definedName name="_xlnm.Print_Area" localSheetId="2">'Detention FY20 YTD'!$A$1:$V$94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39" i="3" l="1"/>
  <c r="D39" i="3"/>
  <c r="C39" i="3"/>
  <c r="B39" i="3"/>
  <c r="E23" i="3"/>
  <c r="E22" i="3"/>
  <c r="E21" i="3"/>
  <c r="E20" i="3"/>
  <c r="C23" i="3" l="1"/>
  <c r="C22" i="3"/>
  <c r="C21" i="3"/>
  <c r="C20" i="3"/>
</calcChain>
</file>

<file path=xl/sharedStrings.xml><?xml version="1.0" encoding="utf-8"?>
<sst xmlns="http://schemas.openxmlformats.org/spreadsheetml/2006/main" count="2733" uniqueCount="932">
  <si>
    <t>Other</t>
  </si>
  <si>
    <t>Total</t>
  </si>
  <si>
    <t>Order of Recognizance</t>
  </si>
  <si>
    <t>Order of Supervision</t>
  </si>
  <si>
    <t>ATD</t>
  </si>
  <si>
    <t>Male</t>
  </si>
  <si>
    <t>ADELANTO ICE PROCESSING CENTER</t>
  </si>
  <si>
    <t>ALLEN PARISH PUBLIC SAFETY COMPLEX</t>
  </si>
  <si>
    <t>LASALLE CORR CTR OLLA</t>
  </si>
  <si>
    <t>BROWARD TRANSITIONAL CENTER</t>
  </si>
  <si>
    <t>ALEXANDRIA STAGING FACILITY</t>
  </si>
  <si>
    <t>Female</t>
  </si>
  <si>
    <t>CATAHOULA CORRECTIONAL CENTER</t>
  </si>
  <si>
    <t>EL VALLE DETENTION FACILITY</t>
  </si>
  <si>
    <t>BRAZIL</t>
  </si>
  <si>
    <t>FLORENCE STAGING FACILITY</t>
  </si>
  <si>
    <t>SENECA COUNTY JAIL</t>
  </si>
  <si>
    <t>RIO GRANDE DETENTION CENTER</t>
  </si>
  <si>
    <t>LA PALMA CORRECTIONAL CENTER</t>
  </si>
  <si>
    <t>LAREDO PROCESSING CENTER</t>
  </si>
  <si>
    <t>GLADES COUNTY DETENTION CENTER</t>
  </si>
  <si>
    <t>T DON HUTTO RESIDENTIAL CENTER</t>
  </si>
  <si>
    <t>SOUTH TEXAS ICE PROCESSING CENTER</t>
  </si>
  <si>
    <t>SHERBURNE COUNTY JAIL</t>
  </si>
  <si>
    <t>JACKSON PARISH CORRECTIONAL CENTER</t>
  </si>
  <si>
    <t>MONTGOMERY COUNTY JAIL</t>
  </si>
  <si>
    <t>MONROE COUNTY DETENTION-DORM</t>
  </si>
  <si>
    <t>ELIZABETH</t>
  </si>
  <si>
    <t>TR</t>
  </si>
  <si>
    <t>KARNES COUNTY RESIDENTIAL CENTER</t>
  </si>
  <si>
    <t>CIBOLA COUNTY CORRECTIONAL CENTER</t>
  </si>
  <si>
    <t>WEBB COUNTY DETENTION CENTER (CCA)</t>
  </si>
  <si>
    <t>ADAMS COUNTY DET CENTER</t>
  </si>
  <si>
    <t>HAMILTON</t>
  </si>
  <si>
    <t>ORANGE COUNTY JAIL</t>
  </si>
  <si>
    <t>MA</t>
  </si>
  <si>
    <t>MIA</t>
  </si>
  <si>
    <t>ALEXANDRIA</t>
  </si>
  <si>
    <t>NEVADA SOUTHERN DETENTION CENTER</t>
  </si>
  <si>
    <t>OKMULGEE COUNTY JAIL</t>
  </si>
  <si>
    <t>ELOY</t>
  </si>
  <si>
    <t>BERKS COUNTY FAMILY SHELTER</t>
  </si>
  <si>
    <t>TAYLOR</t>
  </si>
  <si>
    <t>CHI</t>
  </si>
  <si>
    <t>MILAN</t>
  </si>
  <si>
    <t>EDEN</t>
  </si>
  <si>
    <t>MD</t>
  </si>
  <si>
    <t>PINE PRAIRIE ICE PROCESSING CENTER</t>
  </si>
  <si>
    <t>IRWIN COUNTY DETENTION CENTER</t>
  </si>
  <si>
    <t>ALVARADO</t>
  </si>
  <si>
    <t>AURORA</t>
  </si>
  <si>
    <t>JEFFERSON COUNTY JAIL</t>
  </si>
  <si>
    <t>GEAUGA COUNTY JAIL</t>
  </si>
  <si>
    <t>AL</t>
  </si>
  <si>
    <t>HENDERSON</t>
  </si>
  <si>
    <t>GUAYNABO MDC (SAN JUAN)</t>
  </si>
  <si>
    <t>BERGEN COUNTY JAIL</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</si>
  <si>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</si>
  <si>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</si>
  <si>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</si>
  <si>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</si>
  <si>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</si>
  <si>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</si>
  <si>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</si>
  <si>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</si>
  <si>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</si>
  <si>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</si>
  <si>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</si>
  <si>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</si>
  <si>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</si>
  <si>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</si>
  <si>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</si>
  <si>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</si>
  <si>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</si>
  <si>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</si>
  <si>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</si>
  <si>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</si>
  <si>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</si>
  <si>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</si>
  <si>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</si>
  <si>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</si>
  <si>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</si>
  <si>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</si>
  <si>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</si>
  <si>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</si>
  <si>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</si>
  <si>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Non-U.S. citizen child or children under the age of 18, accompanied by his/her/their parent(s) or legal guardian(s).</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</si>
  <si>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</si>
  <si>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</si>
  <si>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</si>
  <si>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</si>
  <si>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</si>
  <si>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</si>
  <si>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</si>
  <si>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</si>
  <si>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</si>
  <si>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</si>
  <si>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</si>
  <si>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</si>
  <si>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</si>
  <si>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</si>
  <si>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</si>
  <si>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</si>
  <si>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</si>
  <si>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</si>
  <si>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</si>
  <si>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</si>
  <si>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</si>
  <si>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</si>
  <si>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</si>
  <si>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</si>
  <si>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</si>
  <si>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</si>
  <si>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</si>
  <si>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</si>
  <si>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</si>
  <si>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</si>
  <si>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</si>
  <si>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</si>
  <si>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</si>
  <si>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</si>
  <si>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</si>
  <si>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</si>
  <si>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</si>
  <si>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</si>
  <si>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</si>
  <si>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</si>
  <si>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</si>
  <si>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</si>
  <si>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</si>
  <si>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</si>
  <si>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</si>
  <si>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</si>
  <si>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FRC</t>
  </si>
  <si>
    <t>Adult</t>
  </si>
  <si>
    <t>ICE Release Fiscal Year</t>
  </si>
  <si>
    <t>FY2020</t>
  </si>
  <si>
    <t>Criminality</t>
  </si>
  <si>
    <t>Percent ICE</t>
  </si>
  <si>
    <t>Percent CBP</t>
  </si>
  <si>
    <t>Other Immigration Violator</t>
  </si>
  <si>
    <t>Expedited Removal (I-860)</t>
  </si>
  <si>
    <t>Notice to Appear (I-862)</t>
  </si>
  <si>
    <t>Reinstatement of Deport Order (I-871)</t>
  </si>
  <si>
    <t>ICE Initial Book-Ins by Arresting Agency and Month: FY2020 YTD</t>
  </si>
  <si>
    <t>Agency</t>
  </si>
  <si>
    <t>Oct</t>
  </si>
  <si>
    <t>Nov</t>
  </si>
  <si>
    <t>Dec</t>
  </si>
  <si>
    <t>Jan</t>
  </si>
  <si>
    <t>Feb</t>
  </si>
  <si>
    <t>Mar</t>
  </si>
  <si>
    <t>Apr</t>
  </si>
  <si>
    <t>May</t>
  </si>
  <si>
    <t>Jun</t>
  </si>
  <si>
    <t>ICE Removals: FY2020 YTD</t>
  </si>
  <si>
    <t>Removals</t>
  </si>
  <si>
    <t>Jul</t>
  </si>
  <si>
    <t>Aug</t>
  </si>
  <si>
    <t>Sep</t>
  </si>
  <si>
    <t>Release Reason</t>
  </si>
  <si>
    <t>ICE Final Releases by Facility Type: FY2020 YTD</t>
  </si>
  <si>
    <t>Facility Type</t>
  </si>
  <si>
    <t>ICE Average Daily Population by Arresting Agency, Month and Criminality: FY2020 YTD</t>
  </si>
  <si>
    <t>CBP Average</t>
  </si>
  <si>
    <t xml:space="preserve">ICE Average  </t>
  </si>
  <si>
    <t xml:space="preserve">Average </t>
  </si>
  <si>
    <t>FY Overall</t>
  </si>
  <si>
    <t>ICE Average Length of Stay by Arresting Agency, Month and Criminality: FY2020 YTD</t>
  </si>
  <si>
    <t>ICE Average Daily Population by Facility Type and Month: FY2020 YTD</t>
  </si>
  <si>
    <t>ICE Average Length of Stay by Facility Type and Month: FY2020 YTD</t>
  </si>
  <si>
    <t>Facility Information</t>
  </si>
  <si>
    <t>Facility Average Length of Stay</t>
  </si>
  <si>
    <t>FY20 ADP: Detainee Classification Level</t>
  </si>
  <si>
    <t>FY20 ADP: Criminality</t>
  </si>
  <si>
    <t>FY20 ADP: ICE Threat Level</t>
  </si>
  <si>
    <t>FY20 ADP: Mandatory</t>
  </si>
  <si>
    <t>Contract Facility Inspections Information</t>
  </si>
  <si>
    <t>Name</t>
  </si>
  <si>
    <t>Address</t>
  </si>
  <si>
    <t>City</t>
  </si>
  <si>
    <t>State</t>
  </si>
  <si>
    <t>Zip</t>
  </si>
  <si>
    <t>Type Detailed</t>
  </si>
  <si>
    <t>FY20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</si>
  <si>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</si>
  <si>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</si>
  <si>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</si>
  <si>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</si>
  <si>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</si>
  <si>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</si>
  <si>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</si>
  <si>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</si>
  <si>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</si>
  <si>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</si>
  <si>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</si>
  <si>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</si>
  <si>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</si>
  <si>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</si>
  <si>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</si>
  <si>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</si>
  <si>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</si>
  <si>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Second to Last Inspection Rating</t>
  </si>
  <si>
    <t>10250 RANCHO ROAD</t>
  </si>
  <si>
    <t>ADELANTO</t>
  </si>
  <si>
    <t>CA</t>
  </si>
  <si>
    <t>LOS</t>
  </si>
  <si>
    <t>DIGSA</t>
  </si>
  <si>
    <t>Female/Male</t>
  </si>
  <si>
    <t>Regular</t>
  </si>
  <si>
    <t>PBNDS 2011</t>
  </si>
  <si>
    <t>Meets Standard</t>
  </si>
  <si>
    <t>11/21/2019</t>
  </si>
  <si>
    <t>Pending</t>
  </si>
  <si>
    <t>STEWART DETENTION CENTER</t>
  </si>
  <si>
    <t>146 CCA ROAD</t>
  </si>
  <si>
    <t>LUMPKIN</t>
  </si>
  <si>
    <t>GA</t>
  </si>
  <si>
    <t>ATL</t>
  </si>
  <si>
    <t>5/9/2019</t>
  </si>
  <si>
    <t>566 VETERANS DRIVE</t>
  </si>
  <si>
    <t>PEARSALL</t>
  </si>
  <si>
    <t>TX</t>
  </si>
  <si>
    <t>SNA</t>
  </si>
  <si>
    <t>CDF</t>
  </si>
  <si>
    <t>SOUTH TEXAS FAMILY RESIDENTIAL CENTER</t>
  </si>
  <si>
    <t>1925 WEST HIGHWAY 85</t>
  </si>
  <si>
    <t>DILLEY</t>
  </si>
  <si>
    <t>FAMILY</t>
  </si>
  <si>
    <t>JFRMU Family</t>
  </si>
  <si>
    <t>1/9/2020</t>
  </si>
  <si>
    <t>WINN CORRECTIONAL CENTER</t>
  </si>
  <si>
    <t>560 GUM SPRING ROAD</t>
  </si>
  <si>
    <t>WINNFIELD</t>
  </si>
  <si>
    <t>LA</t>
  </si>
  <si>
    <t>NOL</t>
  </si>
  <si>
    <t>IGSA</t>
  </si>
  <si>
    <t>10/10/2019</t>
  </si>
  <si>
    <t>N/A</t>
  </si>
  <si>
    <t>5501 NORTH LA PALMA ROAD</t>
  </si>
  <si>
    <t>AZ</t>
  </si>
  <si>
    <t>PHO</t>
  </si>
  <si>
    <t>6/27/2019</t>
  </si>
  <si>
    <t>LASALLE ICE PROCESSING CENTER (JENA)</t>
  </si>
  <si>
    <t>830 PINEHILL ROAD</t>
  </si>
  <si>
    <t>JENA</t>
  </si>
  <si>
    <t>9/26/2019</t>
  </si>
  <si>
    <t>ELOY FEDERAL CONTRACT FACILITY</t>
  </si>
  <si>
    <t>1705 EAST HANNA RD.</t>
  </si>
  <si>
    <t>2/6/2020</t>
  </si>
  <si>
    <t>20 HOBO FORK RD.</t>
  </si>
  <si>
    <t>NATCHEZ</t>
  </si>
  <si>
    <t>MS</t>
  </si>
  <si>
    <t>OTAY MESA DETENTION CENTER (SAN DIEGO CDF)</t>
  </si>
  <si>
    <t>7488 CALZADA DE LA FUENTE</t>
  </si>
  <si>
    <t>SAN DIEGO</t>
  </si>
  <si>
    <t>SND</t>
  </si>
  <si>
    <t>USMS CDF</t>
  </si>
  <si>
    <t>1/24/2020</t>
  </si>
  <si>
    <t>TACOMA ICE PROCESSING CENTER (NORTHWEST DET CTR)</t>
  </si>
  <si>
    <t>1623 E. J STREET</t>
  </si>
  <si>
    <t>TACOMA</t>
  </si>
  <si>
    <t>WA</t>
  </si>
  <si>
    <t>SEA</t>
  </si>
  <si>
    <t>5/16/2019</t>
  </si>
  <si>
    <t>PORT ISABEL</t>
  </si>
  <si>
    <t>27991 BUENA VISTA BOULEVARD</t>
  </si>
  <si>
    <t>LOS FRESNOS</t>
  </si>
  <si>
    <t>SPC</t>
  </si>
  <si>
    <t>1/30/2020</t>
  </si>
  <si>
    <t>OTERO COUNTY PROCESSING CENTER</t>
  </si>
  <si>
    <t>26 MCGREGOR RANGE ROAD</t>
  </si>
  <si>
    <t>CHAPARRAL</t>
  </si>
  <si>
    <t>NM</t>
  </si>
  <si>
    <t>ELP</t>
  </si>
  <si>
    <t>MONTGOMERY ICE PROCESSING CENTER</t>
  </si>
  <si>
    <t>806 HILBIG RD</t>
  </si>
  <si>
    <t>CONROE</t>
  </si>
  <si>
    <t>HOU</t>
  </si>
  <si>
    <t>12/19/2019</t>
  </si>
  <si>
    <t>RICHWOOD CORRECTIONAL CENTER</t>
  </si>
  <si>
    <t>180 PINE BAYOU CIRCLE</t>
  </si>
  <si>
    <t>RICHWOOD</t>
  </si>
  <si>
    <t>10/3/2019</t>
  </si>
  <si>
    <t>327 INDUSTRIAL DRIVE</t>
  </si>
  <si>
    <t>JONESBORO</t>
  </si>
  <si>
    <t>11/7/2019</t>
  </si>
  <si>
    <t>1800 INDUSTRIAL DRIVE</t>
  </si>
  <si>
    <t>RAYMONDVILLE</t>
  </si>
  <si>
    <t>10/24/2019</t>
  </si>
  <si>
    <t>132 COTTON DRIVE</t>
  </si>
  <si>
    <t>OCILLA</t>
  </si>
  <si>
    <t>USMS IGA</t>
  </si>
  <si>
    <t>PBNDS 2008</t>
  </si>
  <si>
    <t>6/13/2019</t>
  </si>
  <si>
    <t>EL PASO SERVICE PROCESSING CENTER</t>
  </si>
  <si>
    <t>8915 MONTANA AVE.</t>
  </si>
  <si>
    <t>EL PASO</t>
  </si>
  <si>
    <t>12/12/2019</t>
  </si>
  <si>
    <t>HOUSTON CONTRACT DETENTION FACILITY</t>
  </si>
  <si>
    <t>15850 EXPORT PLAZA DRIVE</t>
  </si>
  <si>
    <t>HOUSTON</t>
  </si>
  <si>
    <t>1133 HAMPTON DUPRE ROAD</t>
  </si>
  <si>
    <t>PINE PRAIRIE</t>
  </si>
  <si>
    <t>4/25/2019</t>
  </si>
  <si>
    <t>SOUTH LOUISIANA DETENTION CENTER</t>
  </si>
  <si>
    <t>3843 STAGG AVENUE</t>
  </si>
  <si>
    <t>BASILE</t>
  </si>
  <si>
    <t>IMPERIAL REGIONAL DETENTION FACILITY</t>
  </si>
  <si>
    <t>1572 GATEWAY</t>
  </si>
  <si>
    <t>CALEXICO</t>
  </si>
  <si>
    <t>1/16/2020</t>
  </si>
  <si>
    <t>PRAIRIELAND DETENTION FACILITY</t>
  </si>
  <si>
    <t>1209 SUNFLOWER LN</t>
  </si>
  <si>
    <t>DAL</t>
  </si>
  <si>
    <t>2/13/2020</t>
  </si>
  <si>
    <t>ESSEX COUNTY CORRECTIONAL FACILITY</t>
  </si>
  <si>
    <t>354 DOREMUS AVENUE</t>
  </si>
  <si>
    <t>NEWARK</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</si>
  <si>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</si>
  <si>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</si>
  <si>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</si>
  <si>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</si>
  <si>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</si>
  <si>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</si>
  <si>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</si>
  <si>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</si>
  <si>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</si>
  <si>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</si>
  <si>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</si>
  <si>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</si>
  <si>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</si>
  <si>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</si>
  <si>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</si>
  <si>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11/27/2019</t>
  </si>
  <si>
    <t>MAIN - FOLKSTON IPC (D RAY JAMES)</t>
  </si>
  <si>
    <t>3026 HIGHWAY 252 EAST</t>
  </si>
  <si>
    <t>FOLKSTON</t>
  </si>
  <si>
    <t>6/6/2019</t>
  </si>
  <si>
    <t>3900 NORTH POWERLINE ROAD</t>
  </si>
  <si>
    <t>POMPANO BEACH</t>
  </si>
  <si>
    <t>10/31/2019</t>
  </si>
  <si>
    <t>499 OLD COLUMBIA ROAD</t>
  </si>
  <si>
    <t>HARRISONBURG</t>
  </si>
  <si>
    <t>8/22/2019</t>
  </si>
  <si>
    <t>NDS</t>
  </si>
  <si>
    <t>Superior</t>
  </si>
  <si>
    <t>YORK COUNTY PRISON</t>
  </si>
  <si>
    <t>3400 CONCORD ROAD</t>
  </si>
  <si>
    <t>YORK</t>
  </si>
  <si>
    <t>PA</t>
  </si>
  <si>
    <t>PHI</t>
  </si>
  <si>
    <t>10/18/2019</t>
  </si>
  <si>
    <t>1001 WELCH STREET</t>
  </si>
  <si>
    <t>8/29/2019</t>
  </si>
  <si>
    <t>LA PALMA CORRECTION CENTER - APSO</t>
  </si>
  <si>
    <t>New Facility</t>
  </si>
  <si>
    <t>11/15/2019</t>
  </si>
  <si>
    <t>15976 HWY 165</t>
  </si>
  <si>
    <t>OLLA</t>
  </si>
  <si>
    <t>BUFFALO (BATAVIA) SERVICE PROCESSING CENTER</t>
  </si>
  <si>
    <t>4250 FEDERAL DRIVE</t>
  </si>
  <si>
    <t>BATAVIA</t>
  </si>
  <si>
    <t>NY</t>
  </si>
  <si>
    <t>BUF</t>
  </si>
  <si>
    <t>4/4/2019</t>
  </si>
  <si>
    <t>1297 EAST SR 78</t>
  </si>
  <si>
    <t>MOORE HAVEN</t>
  </si>
  <si>
    <t>Acceptable</t>
  </si>
  <si>
    <t>1001 SAN RIO BOULEVARD</t>
  </si>
  <si>
    <t>LAREDO</t>
  </si>
  <si>
    <t>RIVER CORRECTIONAL CENTER</t>
  </si>
  <si>
    <t>26362 HIGHWAY 15</t>
  </si>
  <si>
    <t>FERRIDAY</t>
  </si>
  <si>
    <t>TAR Assigned</t>
  </si>
  <si>
    <t>IAH SECURE ADULT DETENTION FACILITY (POLK)</t>
  </si>
  <si>
    <t>3400 FM 350 SOUTH</t>
  </si>
  <si>
    <t>LIVINGSTON</t>
  </si>
  <si>
    <t>EDEN DETENTION CENTER</t>
  </si>
  <si>
    <t>702 E BROADWAY ST</t>
  </si>
  <si>
    <t>FLORENCE SERVICE PROCESSING CENTER</t>
  </si>
  <si>
    <t>3250 NORTH PINAL PARKWAY</t>
  </si>
  <si>
    <t>FLORENCE</t>
  </si>
  <si>
    <t>4/11/2019</t>
  </si>
  <si>
    <t>425 GOLDEN STATE AVE</t>
  </si>
  <si>
    <t>BAKERSFIELD</t>
  </si>
  <si>
    <t>SFR</t>
  </si>
  <si>
    <t>LIMESTONE COUNTY DETENTION CENTER</t>
  </si>
  <si>
    <t>910 NORTH TYUS STREET</t>
  </si>
  <si>
    <t>GROESBECK</t>
  </si>
  <si>
    <t>Special Review - Pre-Occupancy</t>
  </si>
  <si>
    <t>PLYMOUTH COUNTY CORRECTIONAL FACILITY</t>
  </si>
  <si>
    <t>26 LONG POND ROAD</t>
  </si>
  <si>
    <t>PLYMOUTH</t>
  </si>
  <si>
    <t>BOS</t>
  </si>
  <si>
    <t>13880 BUSINESS CENTER DRIVE</t>
  </si>
  <si>
    <t>ELK RIVER</t>
  </si>
  <si>
    <t>MN</t>
  </si>
  <si>
    <t>SPM</t>
  </si>
  <si>
    <t>HUDSON COUNTY CORRECTIONAL CENTER</t>
  </si>
  <si>
    <t>30-35 HACKENSACK AVE.</t>
  </si>
  <si>
    <t>KEARNY</t>
  </si>
  <si>
    <t>NYC</t>
  </si>
  <si>
    <t>TORRANCE COUNTY DETENTION FACILITY</t>
  </si>
  <si>
    <t>209 COUNTY ROAD 49</t>
  </si>
  <si>
    <t>ESTANCIA</t>
  </si>
  <si>
    <t>96 GEORGE THOMPSON DRIVE</t>
  </si>
  <si>
    <t>STAGING</t>
  </si>
  <si>
    <t>CAROLINE DETENTION FACILITY</t>
  </si>
  <si>
    <t>11093 S.W. LEWIS MEMORIAL DRIVE</t>
  </si>
  <si>
    <t>BOWLING GREEN</t>
  </si>
  <si>
    <t>5/2/2019</t>
  </si>
  <si>
    <t>BAKER COUNTY SHERIFF'S OFFICE</t>
  </si>
  <si>
    <t>1 SHERIFF OFFICE DRIVE</t>
  </si>
  <si>
    <t>MACCLENNY</t>
  </si>
  <si>
    <t>5/31/2019</t>
  </si>
  <si>
    <t>MCHENRY COUNTY CORRECTIONAL FACILITY</t>
  </si>
  <si>
    <t>2200 NORTH SEMINARY AVENUE</t>
  </si>
  <si>
    <t>WOODSTOCK</t>
  </si>
  <si>
    <t>IL</t>
  </si>
  <si>
    <t>ANNEX - FOLKSTON IPC</t>
  </si>
  <si>
    <t>3424 HIGHWAY 252 EAST</t>
  </si>
  <si>
    <t>4702 EAST SAUNDERS STREET</t>
  </si>
  <si>
    <t>6/4/2019</t>
  </si>
  <si>
    <t>ETOWAH COUNTY JAIL (ALABAMA)</t>
  </si>
  <si>
    <t>827 FORREST AVENUE</t>
  </si>
  <si>
    <t>GADSDEN</t>
  </si>
  <si>
    <t>7/18/2019</t>
  </si>
  <si>
    <t>ELIZABETH CONTRACT DETENTION FACILITY</t>
  </si>
  <si>
    <t>625 EVANS STREET</t>
  </si>
  <si>
    <t>314 W. 7TH STREET</t>
  </si>
  <si>
    <t>OKMULGEE</t>
  </si>
  <si>
    <t>OK</t>
  </si>
  <si>
    <t>9/19/2019</t>
  </si>
  <si>
    <t>DENVER CONTRACT DETENTION FACILITY (CDF) II</t>
  </si>
  <si>
    <t>11901 E. 30th AVE</t>
  </si>
  <si>
    <t>160 SOUTH RIVER STREET</t>
  </si>
  <si>
    <t>HACKENSACK</t>
  </si>
  <si>
    <t>HENDERSON DETENTION CENTER</t>
  </si>
  <si>
    <t>18 E BASIC ROAD</t>
  </si>
  <si>
    <t>NV</t>
  </si>
  <si>
    <t>SLC</t>
  </si>
  <si>
    <t>PIKE COUNTY CORRECTIONAL FACILITY</t>
  </si>
  <si>
    <t>175 PIKE COUNTY BOULEVARD</t>
  </si>
  <si>
    <t>LORDS VALLEY</t>
  </si>
  <si>
    <t>2190 EAST MESQUITE AVENUE</t>
  </si>
  <si>
    <t>PAHRUMP</t>
  </si>
  <si>
    <t>7/25/2019</t>
  </si>
  <si>
    <t>FM 1144 AT US HIGHWAY 181</t>
  </si>
  <si>
    <t>KARNES CITY</t>
  </si>
  <si>
    <t>1/23/2020</t>
  </si>
  <si>
    <t>YUBA COUNTY JAIL</t>
  </si>
  <si>
    <t>215 5TH STREET</t>
  </si>
  <si>
    <t>MARYSVILLE</t>
  </si>
  <si>
    <t>JOHNSON COUNTY CORRECTIONS CENTER</t>
  </si>
  <si>
    <t>1800 RIDGEMAR DRIVE</t>
  </si>
  <si>
    <t>CLEBURNE</t>
  </si>
  <si>
    <t>BRISTOL COUNTY DETENTION CENTER</t>
  </si>
  <si>
    <t>400 FAUNCE CORNER ROAD</t>
  </si>
  <si>
    <t>NORTH DARTMOUTH</t>
  </si>
  <si>
    <t>OH</t>
  </si>
  <si>
    <t>DET</t>
  </si>
  <si>
    <t>PULASKI COUNTY JAIL</t>
  </si>
  <si>
    <t>1026 SHAWNEE COLLEGE ROAD</t>
  </si>
  <si>
    <t>ULLIN</t>
  </si>
  <si>
    <t>WI</t>
  </si>
  <si>
    <t>CALHOUN COUNTY CORRECTIONAL CENTER</t>
  </si>
  <si>
    <t>185 EAST MICHIGAN AVENUE</t>
  </si>
  <si>
    <t>BATTLE CREEK</t>
  </si>
  <si>
    <t>MI</t>
  </si>
  <si>
    <t>WORCESTER COUNTY JAIL</t>
  </si>
  <si>
    <t>5022 JOYNER ROAD</t>
  </si>
  <si>
    <t>SNOW HILL</t>
  </si>
  <si>
    <t>BAL</t>
  </si>
  <si>
    <t>8/15/2019</t>
  </si>
  <si>
    <t>BLUEBONNET DETENTION FACILITY</t>
  </si>
  <si>
    <t>400 2ND STREET</t>
  </si>
  <si>
    <t>ANSON</t>
  </si>
  <si>
    <t>KANKAKEE COUNTY JAIL (JEROME COMBS DET CTR)</t>
  </si>
  <si>
    <t>3050 JUSTICE WAY</t>
  </si>
  <si>
    <t>KANKAKEE</t>
  </si>
  <si>
    <t>BOONE COUNTY JAIL</t>
  </si>
  <si>
    <t>3020 CONRAD LANE</t>
  </si>
  <si>
    <t>BURLINGTON</t>
  </si>
  <si>
    <t>KY</t>
  </si>
  <si>
    <t>BUTLER COUNTY JAIL</t>
  </si>
  <si>
    <t>705 HANOVER STREET</t>
  </si>
  <si>
    <t>DODGE COUNTY JAIL</t>
  </si>
  <si>
    <t>215 WEST CENTRAL STREET</t>
  </si>
  <si>
    <t>JUNEAU</t>
  </si>
  <si>
    <t>4/18/2019</t>
  </si>
  <si>
    <t>110 WELLS FARM ROAD</t>
  </si>
  <si>
    <t>GOSHEN</t>
  </si>
  <si>
    <t>7340 HIGHWAY 26 WEST</t>
  </si>
  <si>
    <t>OBERLIN</t>
  </si>
  <si>
    <t>12/5/2019</t>
  </si>
  <si>
    <t>2000 CIBOLA LOOP</t>
  </si>
  <si>
    <t>WYATT DETENTION CENTER</t>
  </si>
  <si>
    <t>950 HIGH STREET</t>
  </si>
  <si>
    <t>CENTRAL FALLS</t>
  </si>
  <si>
    <t>RI</t>
  </si>
  <si>
    <t>9998 SOUTH HIGHWAY 83</t>
  </si>
  <si>
    <t>KAY COUNTY JUSTICE FACILITY</t>
  </si>
  <si>
    <t>1101 WEST DRY ROAD</t>
  </si>
  <si>
    <t>NEWKIRK</t>
  </si>
  <si>
    <t>WAKULLA COUNTY JAIL</t>
  </si>
  <si>
    <t>15 OAK STREET</t>
  </si>
  <si>
    <t>CRAWFORDVILLE</t>
  </si>
  <si>
    <t>ROLLING PLAINS DETENTION CENTER</t>
  </si>
  <si>
    <t>118 COUNTY ROAD 206</t>
  </si>
  <si>
    <t>HASKELL</t>
  </si>
  <si>
    <t>8/8/2019</t>
  </si>
  <si>
    <t>STRAFFORD COUNTY CORRECTIONS</t>
  </si>
  <si>
    <t>266 COUNTY FARM ROAD</t>
  </si>
  <si>
    <t>DOVER</t>
  </si>
  <si>
    <t>NH</t>
  </si>
  <si>
    <t>8/1/2019</t>
  </si>
  <si>
    <t>NYE COUNTY DETENTION CENTER, SOUTHERN (PAHRUMP)</t>
  </si>
  <si>
    <t>1520 E. BASIN ROAD</t>
  </si>
  <si>
    <t>HALL COUNTY DEPARTMENT OF CORRECTIONS</t>
  </si>
  <si>
    <t>110 PUBLIC SAFETY DRIVE</t>
  </si>
  <si>
    <t>GRAND ISLAND</t>
  </si>
  <si>
    <t>NE</t>
  </si>
  <si>
    <t>7/11/2019</t>
  </si>
  <si>
    <t>7000 EAST DUNBAR ROAD</t>
  </si>
  <si>
    <t>MONROE</t>
  </si>
  <si>
    <t>CHASE COUNTY DETENTION FACILITY</t>
  </si>
  <si>
    <t>301 SOUTH WALNUT STREET</t>
  </si>
  <si>
    <t>COTTONWOOD FALLS</t>
  </si>
  <si>
    <t>KS</t>
  </si>
  <si>
    <t>CLINTON COUNTY CORRECTIONAL FACILITY</t>
  </si>
  <si>
    <t>419 SHOEMAKER ROAD</t>
  </si>
  <si>
    <t>LOCK HAVEN</t>
  </si>
  <si>
    <t>TULSA COUNTY JAIL (DAVID L. MOSS JUSTICE CTR)</t>
  </si>
  <si>
    <t>300 NORTH DENVER AVENUE</t>
  </si>
  <si>
    <t>TULSA</t>
  </si>
  <si>
    <t>HOWARD COUNTY DETENTION CENTER</t>
  </si>
  <si>
    <t>7301 WATERLOO ROAD</t>
  </si>
  <si>
    <t>JESSUP</t>
  </si>
  <si>
    <t>Does Not Meet Standards</t>
  </si>
  <si>
    <t>HARDIN COUNTY JAIL</t>
  </si>
  <si>
    <t>1116 14TH AVENUE</t>
  </si>
  <si>
    <t>ELDORA</t>
  </si>
  <si>
    <t>IA</t>
  </si>
  <si>
    <t>9/12/2019</t>
  </si>
  <si>
    <t>SAINT CLAIR COUNTY JAIL</t>
  </si>
  <si>
    <t>1170 MICHIGAN ROAD</t>
  </si>
  <si>
    <t>PORT HURON</t>
  </si>
  <si>
    <t>1040 BERKS ROAD</t>
  </si>
  <si>
    <t>LEESPORT</t>
  </si>
  <si>
    <t>3040 SOUTH STATE HIGHWAY 100</t>
  </si>
  <si>
    <t>TIFFIN</t>
  </si>
  <si>
    <t>Deficient</t>
  </si>
  <si>
    <t>SAN LUIS REGIONAL DETENTION CENTER</t>
  </si>
  <si>
    <t>406 NORTH AVENUE D</t>
  </si>
  <si>
    <t>SAN LUIS</t>
  </si>
  <si>
    <t>KANDIYOHI COUNTY JAIL</t>
  </si>
  <si>
    <t>2201 23RD ST NE</t>
  </si>
  <si>
    <t>WILLMAR</t>
  </si>
  <si>
    <t>MORGAN COUNTY ADULT DETENTION CENTER</t>
  </si>
  <si>
    <t>211 EAST NEWTON STREET</t>
  </si>
  <si>
    <t>VERSAILLES</t>
  </si>
  <si>
    <t>MO</t>
  </si>
  <si>
    <t>2/22/2019</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</si>
  <si>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</si>
  <si>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</si>
  <si>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</si>
  <si>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</si>
  <si>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</si>
  <si>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</si>
  <si>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</si>
  <si>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</si>
  <si>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</si>
  <si>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</si>
  <si>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</si>
  <si>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</si>
  <si>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CAMBRIA COUNTY JAIL</t>
  </si>
  <si>
    <t>425 MANOR DRIVE</t>
  </si>
  <si>
    <t>EBENSBURG</t>
  </si>
  <si>
    <t>HONOLULU FEDERAL DETENTION CENTER</t>
  </si>
  <si>
    <t>351 ELLIOTT ST.</t>
  </si>
  <si>
    <t>HONOLULU</t>
  </si>
  <si>
    <t>HI</t>
  </si>
  <si>
    <t>BOP</t>
  </si>
  <si>
    <t>POLK COUNTY JAIL</t>
  </si>
  <si>
    <t>1985 NE 51ST PLACE</t>
  </si>
  <si>
    <t>DES MOINES</t>
  </si>
  <si>
    <t>MORROW COUNTY CORRECTIONAL FACILITY</t>
  </si>
  <si>
    <t>101 HOME ROAD</t>
  </si>
  <si>
    <t>MOUNT GILEAD</t>
  </si>
  <si>
    <t>3/8/2018</t>
  </si>
  <si>
    <t>CHIPPEWA COUNTY SSM</t>
  </si>
  <si>
    <t>325 COURT STREET</t>
  </si>
  <si>
    <t>SAULT SAINTE MARIE</t>
  </si>
  <si>
    <t>3/28/2019</t>
  </si>
  <si>
    <t>COASTAL BEND DETENTION FACILITY</t>
  </si>
  <si>
    <t>4909 FM (FARM TO MARKET) 2826</t>
  </si>
  <si>
    <t>ROBSTOWN</t>
  </si>
  <si>
    <t>211 EAST THIRD STREET</t>
  </si>
  <si>
    <t>MONTGOMERY CITY</t>
  </si>
  <si>
    <t>ROBERT A. DEYTON DETENTION FACILITY</t>
  </si>
  <si>
    <t>11866 HASTINGS BRIDGE RD</t>
  </si>
  <si>
    <t>LOVEJOY</t>
  </si>
  <si>
    <t>FRANKLIN COUNTY HOUSE OF CORRECTION</t>
  </si>
  <si>
    <t>160 ELM STREET</t>
  </si>
  <si>
    <t>GREENFIELD</t>
  </si>
  <si>
    <t>TELLER COUNTY JAIL</t>
  </si>
  <si>
    <t>288 WEAVERVILLE ROAD</t>
  </si>
  <si>
    <t>DIVIDE</t>
  </si>
  <si>
    <t>ORSA</t>
  </si>
  <si>
    <t>CACHE COUNTY JAIL</t>
  </si>
  <si>
    <t>50 WEST 200 NORTH</t>
  </si>
  <si>
    <t>LOGAN</t>
  </si>
  <si>
    <t>UT</t>
  </si>
  <si>
    <t>11/8/2018</t>
  </si>
  <si>
    <t>CARVER COUNTY JAIL</t>
  </si>
  <si>
    <t>600 EAST FOURTH ST.</t>
  </si>
  <si>
    <t>CHASKA</t>
  </si>
  <si>
    <t>WASHOE COUNTY JAIL</t>
  </si>
  <si>
    <t>911 PARR BOULEVARD</t>
  </si>
  <si>
    <t>RENO</t>
  </si>
  <si>
    <t>8/30/2018</t>
  </si>
  <si>
    <t>CHARLESTON COUNTY DETENTION CENTER</t>
  </si>
  <si>
    <t>3841 LEEDS AVENUE</t>
  </si>
  <si>
    <t>NORTH CHARLESTON</t>
  </si>
  <si>
    <t>SC</t>
  </si>
  <si>
    <t>CHRISTIAN COUNTY JAIL</t>
  </si>
  <si>
    <t>110 WEST ELM</t>
  </si>
  <si>
    <t>OZARK</t>
  </si>
  <si>
    <t>5/24/2018</t>
  </si>
  <si>
    <t>NORTHERN OREGON CORRECTIONAL FACILITY</t>
  </si>
  <si>
    <t>211 WEBBER ROAD</t>
  </si>
  <si>
    <t>THE DALLES</t>
  </si>
  <si>
    <t>OR</t>
  </si>
  <si>
    <t>DOUGLAS COUNTY DEPARTMENT OF CORRECTIONS</t>
  </si>
  <si>
    <t>710 SOUTH 17TH ST</t>
  </si>
  <si>
    <t>OMAHA</t>
  </si>
  <si>
    <t>DEKALB COUNTY DETENTION CENTER</t>
  </si>
  <si>
    <t>2801 JORDAN ROAD</t>
  </si>
  <si>
    <t>FORT PAYNE</t>
  </si>
  <si>
    <t>CBP CHULA VISTA BPS</t>
  </si>
  <si>
    <t>311 ATHEY AVE</t>
  </si>
  <si>
    <t>PLATTE COUNTY DETENTION CENTER</t>
  </si>
  <si>
    <t>415 THIRD STREET</t>
  </si>
  <si>
    <t>PLATTE CITY</t>
  </si>
  <si>
    <t>COLLIER COUNTY NAPLES JAIL CENTER</t>
  </si>
  <si>
    <t>3301 TAMIAMI TRAIL EAST</t>
  </si>
  <si>
    <t>NAPLES</t>
  </si>
  <si>
    <t>2/7/2019</t>
  </si>
  <si>
    <t>DALLAS COUNTY JAIL - LEW STERRETT JUSTICE CENTER</t>
  </si>
  <si>
    <t>111 WEST COMMERCE STREET</t>
  </si>
  <si>
    <t>DALLAS</t>
  </si>
  <si>
    <t>10/20/2017</t>
  </si>
  <si>
    <t>9/21/2018</t>
  </si>
  <si>
    <t>WASHINGTON COUNTY JAIL (PURGATORY CORRECTIONAL FAC</t>
  </si>
  <si>
    <t>750 SOUTH 5400 WEST</t>
  </si>
  <si>
    <t>HURRICANE</t>
  </si>
  <si>
    <t>9/15/2018</t>
  </si>
  <si>
    <t>HWY 28 INTSECT OF ROAD 165</t>
  </si>
  <si>
    <t>SAN JUAN</t>
  </si>
  <si>
    <t>PR</t>
  </si>
  <si>
    <t>5/8/2008</t>
  </si>
  <si>
    <t>SAIPAN DEPARTMENT OF CORRECTIONS (SUSUPE)</t>
  </si>
  <si>
    <t>TEKKEN ST., SUSUPE VILLAGE</t>
  </si>
  <si>
    <t>SAIPAN</t>
  </si>
  <si>
    <t>MP</t>
  </si>
  <si>
    <t>LINCOLN COUNTY DETENTION CENTER</t>
  </si>
  <si>
    <t>65 BUSINESS PARK DRIVE</t>
  </si>
  <si>
    <t>TROY</t>
  </si>
  <si>
    <t>9/19/2018</t>
  </si>
  <si>
    <t xml:space="preserve">DEPARTMENT OF CORRECTIONS HAGATNA </t>
  </si>
  <si>
    <t>203 ASPINALL AVENUE</t>
  </si>
  <si>
    <t>HAGATNA</t>
  </si>
  <si>
    <t>GU</t>
  </si>
  <si>
    <t>PHELPS COUNTY JAIL</t>
  </si>
  <si>
    <t>715 5TH AVENUE</t>
  </si>
  <si>
    <t>HOLDREGE</t>
  </si>
  <si>
    <t>LINN COUNTY JAIL</t>
  </si>
  <si>
    <t>53 3RD AVENUE BRIDGE</t>
  </si>
  <si>
    <t>CEDAR RAPIDS</t>
  </si>
  <si>
    <t>6/20/2019</t>
  </si>
  <si>
    <t>SOUTH CENTRAL REGIONAL JAIL</t>
  </si>
  <si>
    <t>1001 CENTRE WAY</t>
  </si>
  <si>
    <t>CHARLESTON</t>
  </si>
  <si>
    <t>WV</t>
  </si>
  <si>
    <t>8/23/2018</t>
  </si>
  <si>
    <t>MINICASSIA DETENTION CENTER</t>
  </si>
  <si>
    <t>1415 ALBION AVENUE</t>
  </si>
  <si>
    <t>BURLEY</t>
  </si>
  <si>
    <t>ID</t>
  </si>
  <si>
    <t>9/17/2018</t>
  </si>
  <si>
    <t>200 COURTHOUSE WAY</t>
  </si>
  <si>
    <t>RIGBY</t>
  </si>
  <si>
    <t>MADISON COUNTY JAIL</t>
  </si>
  <si>
    <t>2935 HIGHWAY 51</t>
  </si>
  <si>
    <t>CANTON</t>
  </si>
  <si>
    <t>9/27/2018</t>
  </si>
  <si>
    <t>Good</t>
  </si>
  <si>
    <t>COWLITZ COUNTY JUVENILE</t>
  </si>
  <si>
    <t>1725 1ST AVE.</t>
  </si>
  <si>
    <t>LONGVIEW</t>
  </si>
  <si>
    <t>JUVENILE</t>
  </si>
  <si>
    <t>JFRMU Juvenile</t>
  </si>
  <si>
    <t>TN</t>
  </si>
  <si>
    <t>LA PAZ COUNTY ADULT DETENTION FACILITY</t>
  </si>
  <si>
    <t>1109 ARIZONA AVE.</t>
  </si>
  <si>
    <t>PARKER</t>
  </si>
  <si>
    <t>RENSSELAER COUNTY CORRECTIONAL FACILITY</t>
  </si>
  <si>
    <t>4000 MAIN STREET</t>
  </si>
  <si>
    <t>WESTERN TENNESSEE DETENTION FACILITY</t>
  </si>
  <si>
    <t>6299 FINDE NAIFEH DRIVE</t>
  </si>
  <si>
    <t>MASON</t>
  </si>
  <si>
    <t>9/18/2018</t>
  </si>
  <si>
    <t>EAST HIDALGO DETENTION CENTER</t>
  </si>
  <si>
    <t>1330 HIGHWAY 107</t>
  </si>
  <si>
    <t>LA VILLA</t>
  </si>
  <si>
    <t>9/6/2019</t>
  </si>
  <si>
    <t>FAYETTE COUNTY DETENTION CENTER</t>
  </si>
  <si>
    <t>600 OLD FRANKFORD CR</t>
  </si>
  <si>
    <t>LEXINGTON</t>
  </si>
  <si>
    <t>8/14/2018</t>
  </si>
  <si>
    <t>LEXINGTON COUNTY JAIL</t>
  </si>
  <si>
    <t>521 GIBSON ROAD</t>
  </si>
  <si>
    <t>9/15/2017</t>
  </si>
  <si>
    <t>DAKOTA COUNTY JAIL</t>
  </si>
  <si>
    <t>1601 BROADWAY</t>
  </si>
  <si>
    <t>DAKOTA CITY</t>
  </si>
  <si>
    <t>9/24/2018</t>
  </si>
  <si>
    <t>CHAUTAUQUA COUNTY JAIL</t>
  </si>
  <si>
    <t>15 E. CHAUTAUQUA STREET</t>
  </si>
  <si>
    <t>MAYVILLE</t>
  </si>
  <si>
    <t>9/25/2018</t>
  </si>
  <si>
    <t>NORTHERN OREGON JUVENILE DETENTION</t>
  </si>
  <si>
    <t>211 WEBBER STREET</t>
  </si>
  <si>
    <t>FLOYD COUNTY JAIL</t>
  </si>
  <si>
    <t>2526 NEW CALHOUN HWY</t>
  </si>
  <si>
    <t>ROME</t>
  </si>
  <si>
    <t>VAL VERDE CORRECTIONAL FACILITY</t>
  </si>
  <si>
    <t>253 FARM TO MARKET 2523</t>
  </si>
  <si>
    <t>DEL RIO</t>
  </si>
  <si>
    <t>SD</t>
  </si>
  <si>
    <t>HENDERSON COUNTY JAIL</t>
  </si>
  <si>
    <t>206-A N MURCHISON STREET</t>
  </si>
  <si>
    <t>ATHENS</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</si>
  <si>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</si>
  <si>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</si>
  <si>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</si>
  <si>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</si>
  <si>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</si>
  <si>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</si>
  <si>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</si>
  <si>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</si>
  <si>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</si>
  <si>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</si>
  <si>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</si>
  <si>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</si>
  <si>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</si>
  <si>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</si>
  <si>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</si>
  <si>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</si>
  <si>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</si>
  <si>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</si>
  <si>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</si>
  <si>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</si>
  <si>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</si>
  <si>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</si>
  <si>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</si>
  <si>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</si>
  <si>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</si>
  <si>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</si>
  <si>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</si>
  <si>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</si>
  <si>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</si>
  <si>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</si>
  <si>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</si>
  <si>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</si>
  <si>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</si>
  <si>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ATD Active Population by Status, Extended Case Management Service, Count and ALIP, FY2020 YTD</t>
  </si>
  <si>
    <t>ICE Enforcement and Removal Operations Data, FY2020 YTD</t>
  </si>
  <si>
    <t>ICE DETENTION DATA, FY20 YTD</t>
  </si>
  <si>
    <t>ICE FACILITIES DATA, FY20 YTD</t>
  </si>
  <si>
    <t>ICE FOOTNOTES</t>
  </si>
  <si>
    <t>Bonded Out</t>
  </si>
  <si>
    <t>Bond Set by ICE</t>
  </si>
  <si>
    <t>Bond Set by IJ</t>
  </si>
  <si>
    <t>Order of supervision</t>
  </si>
  <si>
    <t>Paroled</t>
  </si>
  <si>
    <t>Prosecutorial Discretion</t>
  </si>
  <si>
    <t>ICE Final Releases by Release Reason and Criminality: FY20 YTD</t>
  </si>
  <si>
    <t>AOR/Technology</t>
  </si>
  <si>
    <t>Average Length in Program</t>
  </si>
  <si>
    <t>ICE ALTERNATIVES TO DETENTION DATA, FY20 YTD</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</si>
  <si>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</si>
  <si>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</si>
  <si>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</si>
  <si>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</si>
  <si>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</si>
  <si>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</si>
  <si>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</si>
  <si>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</si>
  <si>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</si>
  <si>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</si>
  <si>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</si>
  <si>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</si>
  <si>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</si>
  <si>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</si>
  <si>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</si>
  <si>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</si>
  <si>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</si>
  <si>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</si>
  <si>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</si>
  <si>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</si>
  <si>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</si>
  <si>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</si>
  <si>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</si>
  <si>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</si>
  <si>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</si>
  <si>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</si>
  <si>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ICE Initial Book-Ins by Facility Type and Criminality: FY2020 YTD</t>
  </si>
  <si>
    <t>Removals with an FRC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</si>
  <si>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</si>
  <si>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</si>
  <si>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</si>
  <si>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ADP by Arresting Agency, Month and Criminality : FY2020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</si>
  <si>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FY2020 ICE Average Daily Population and ICE Average Length of Stay</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</si>
  <si>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</si>
  <si>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</si>
  <si>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FY2020 ICE Final Releases</t>
  </si>
  <si>
    <t>FY2020 ICE Removals</t>
  </si>
  <si>
    <t>ICE Currently Detained Population Breakdown</t>
  </si>
  <si>
    <t>FY2020 ICE Initial Book-Ins</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</si>
  <si>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</si>
  <si>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</si>
  <si>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Aliens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</si>
  <si>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</si>
  <si>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</si>
  <si>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 xml:space="preserve">ICE  </t>
  </si>
  <si>
    <t>USCIS Average Time from USCIS Fear Decision Service Date to ICE Release (In Days) &amp; Aliens with USCIS-Established Fear Decisions in an ICE Detention Facility</t>
  </si>
  <si>
    <t>FY2020 ICE Detention data is filtered through 08/15/2020 (IIDS v.1.34 run date 08/17/2020; EID as of 08/15/2020).</t>
  </si>
  <si>
    <t>FY2020 ICE Final Releases data is filtered through 08/15/2020 (IIDS v.1.34 run date 08/17/2020; EID as of 08/15/2020).</t>
  </si>
  <si>
    <t>FY2020 ICE Removals data is filtered through 08/15/2020 (IIDS v.1.34 run date 08/17/2020; EID as of 08/15/2020).</t>
  </si>
  <si>
    <t>ICE National Docket data are a snapshot as of 08/15/2020 (IIDS v.1.34 run date 08/17/2020; EID as of 08/15/2020).</t>
  </si>
  <si>
    <t>Aliens Currently in ICE Detention Facilities data are a snapshot as of 08/15/2020 (IIDS v1.34 run date 08/17/2020; EID as of 08/15/2020).</t>
  </si>
  <si>
    <t>FY2020 YTD ICE Releases data are updated through 08/15/2020 (IIDS v1.34 run date 08/17/2020; EID as of 08/15/2020)</t>
  </si>
  <si>
    <t>USCIS provided data containing APSO (Asylum Pre Screening Officer) cases clocked during FY2018 - FY2020 YTD.  Data were received on 08/17/2020.</t>
  </si>
  <si>
    <t xml:space="preserve">Of the 266,177 records in the USCIS provided data the breakdown of the fear screening determinations is as follows; 168,467 positive fear screening determinations, 52,621 negative fear screening determinations and 45,089 without an identified determination. Of the 168,467 with positive fear screening determinations; 116,304 have Persecution Claim Established and 52,163 have Torture Claim Established. 		</t>
  </si>
  <si>
    <t>The data provided by USCIS contains multiple records for some Alien File Numbers.  There are 265,112 unique Alien File Numbers and 2,419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</si>
  <si>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ICE Currently Detained by Processing Disposition and Detention Facility Type: </t>
  </si>
  <si>
    <t>ICE Currently Detained by Criminality and Arresting Agency</t>
  </si>
  <si>
    <t>Aliens with USCIS-Established Fear Decisions in an ICE Detention Facility by Facility Type</t>
  </si>
  <si>
    <t>FY2020 ICE Alternatives to Detention</t>
  </si>
  <si>
    <t>EDINBURG</t>
  </si>
  <si>
    <t>3100 SOUTH HWY 281</t>
  </si>
  <si>
    <t>HIDALGO COUNTY JAIL</t>
  </si>
  <si>
    <t>6/15/2006</t>
  </si>
  <si>
    <t>GARDEN CITY</t>
  </si>
  <si>
    <t>304 N. 9TH STREET</t>
  </si>
  <si>
    <t>FINNEY COUNTY JAIL</t>
  </si>
  <si>
    <t>14091 FM 490</t>
  </si>
  <si>
    <t>SUNNY GLEN CLD HOME NDR CTR</t>
  </si>
  <si>
    <t>CRAIG</t>
  </si>
  <si>
    <t>800 WEST 1ST STREET</t>
  </si>
  <si>
    <t>MOFFAT COUNTY JAIL</t>
  </si>
  <si>
    <t>OREGON</t>
  </si>
  <si>
    <t>103 JEFFERSON STREET</t>
  </si>
  <si>
    <t>OGLE COUNTY JAIL</t>
  </si>
  <si>
    <t>FT. WAYNE</t>
  </si>
  <si>
    <t>417 S. CALHOUN</t>
  </si>
  <si>
    <t>ALLEN COUNTY JAIL</t>
  </si>
  <si>
    <t>BAY ST. LOUIS</t>
  </si>
  <si>
    <t>8450 HIGHWAY 90</t>
  </si>
  <si>
    <t>HANCOCK CO PUB SFTY CPLX</t>
  </si>
  <si>
    <t>CALIPATRIA</t>
  </si>
  <si>
    <t>2351 OTAY MESA DRIVE</t>
  </si>
  <si>
    <t>QUALITY SUITES</t>
  </si>
  <si>
    <t>LUBBOCK</t>
  </si>
  <si>
    <t>811 MAIN STREET</t>
  </si>
  <si>
    <t>LUBBOCK COUNTY DETENTION CENTER</t>
  </si>
  <si>
    <t>9/5/2018</t>
  </si>
  <si>
    <t>ME</t>
  </si>
  <si>
    <t>PORTLAND</t>
  </si>
  <si>
    <t>50 COUNTY WAY</t>
  </si>
  <si>
    <t>CUMBERLAND COUNTY JAIL</t>
  </si>
  <si>
    <t>YANKTON</t>
  </si>
  <si>
    <t>410 WALNUT STREET</t>
  </si>
  <si>
    <t>YANKTON COUNTY JAIL</t>
  </si>
  <si>
    <t>9/14/2018</t>
  </si>
  <si>
    <t>EL DORADO</t>
  </si>
  <si>
    <t>701 SE STONE ROAD</t>
  </si>
  <si>
    <t>ENCINAL</t>
  </si>
  <si>
    <t>832 EAST TEXAS STATE HIGHWAY 44</t>
  </si>
  <si>
    <t>LA SALLE COUNTY REGIONAL DETENTION CENTER</t>
  </si>
  <si>
    <t>10/11/2017</t>
  </si>
  <si>
    <t>AMARILLO</t>
  </si>
  <si>
    <t>9100 SOUTH GEORGIA STREET</t>
  </si>
  <si>
    <t>RANDALL COUNTY JAIL</t>
  </si>
  <si>
    <t>9/5/2017</t>
  </si>
  <si>
    <t>INDIANAPOLIS</t>
  </si>
  <si>
    <t>40 SOUTH ALABAMA STREET</t>
  </si>
  <si>
    <t>MARION COUNTY JAIL</t>
  </si>
  <si>
    <t>MOUNTAIN HOME</t>
  </si>
  <si>
    <t>2255 E. 8TH NORTH</t>
  </si>
  <si>
    <t>ELMORE COUNTY JAIL</t>
  </si>
  <si>
    <t>ORLANDO</t>
  </si>
  <si>
    <t>3855 SOUTH JOHN YOUNG PARKWAY</t>
  </si>
  <si>
    <t>10/25/2018</t>
  </si>
  <si>
    <t>PLATTSBURGH</t>
  </si>
  <si>
    <t>25 MCCARTHY DRIVE</t>
  </si>
  <si>
    <t>CLINTON COUNTY JAIL</t>
  </si>
  <si>
    <t>BEDFORD</t>
  </si>
  <si>
    <t>2121 L DON DODSON DRIVE</t>
  </si>
  <si>
    <t>BEDFORD MUNICIPAL DETENTION CENTER</t>
  </si>
  <si>
    <t>2/21/2020</t>
  </si>
  <si>
    <t>3/5/2020</t>
  </si>
  <si>
    <t>3/12/2020</t>
  </si>
  <si>
    <t>1100 BOWLING ROAD</t>
  </si>
  <si>
    <t>CCA, FLORENCE CORRECTIONAL CENTER</t>
  </si>
  <si>
    <t>500 HILBIG RD</t>
  </si>
  <si>
    <t>JOE CORLEY PROCESSING CTR</t>
  </si>
  <si>
    <t>2/27/2020</t>
  </si>
  <si>
    <t>2/14/2020</t>
  </si>
  <si>
    <t>Source: ICE Integrated Decision Support (IIDS), 08/08/2020</t>
  </si>
  <si>
    <t>ICE Facitlites Data</t>
  </si>
  <si>
    <t>Source: ICE Integrated Decision Support (IIDS), as of 8/8/2020</t>
  </si>
  <si>
    <t>ATD Data</t>
  </si>
  <si>
    <t>Data as of 8/14/2020</t>
  </si>
  <si>
    <t>VoiceID</t>
  </si>
  <si>
    <t>WashingtonDC</t>
  </si>
  <si>
    <t>Active ATD Participants and Average Length in Program, FY20 YTD,  as of 8/14/2020, by AOR and Technology</t>
  </si>
  <si>
    <t>Data from OBP Report, 7.31.2020</t>
  </si>
  <si>
    <t>Data from BI Inc. Participants Report, 7.31.2020</t>
  </si>
  <si>
    <t xml:space="preserve">ICE provides the following Detention, Alternatives to Detention, and Facilities information. The data tables are searchable and sortable, and worksheets are protected to ensure their accuracy and reliability.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</si>
</sst>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0"/>
    <numFmt numFmtId="166" formatCode="00000"/>
    <numFmt numFmtId="167" formatCode="_(* #,##0.0_);_(* \(#,##0.0\);_(* &quot;-&quot;_);_(@_)"/>
    <numFmt numFmtId="168" formatCode="#,##0.0"/>
  </numFmts>
  <fonts count="35"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sz val="10"/>
      <color indexed="72"/>
      <name val="Arial"/>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8"/>
      <color theme="3" tint="-0.499984740745262"/>
      <name val="Calibri"/>
      <family val="2"/>
      <scheme val="minor"/>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s>
  <fills count="9">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12" fillId="0" borderId="0"/>
    <xf numFmtId="9" fontId="1" fillId="0" borderId="0" applyFont="0" applyFill="0" applyBorder="0" applyAlignment="0" applyProtection="0"/>
  </cellStyleXfs>
  <cellXfs count="277">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3" fillId="2" borderId="0" xfId="0" applyFont="1" applyFill="1" applyBorder="1" applyAlignment="1">
      <alignment horizontal="center"/>
    </xf>
    <xf numFmtId="0" fontId="2" fillId="2" borderId="0" xfId="0" applyFont="1" applyFill="1" applyBorder="1"/>
    <xf numFmtId="0" fontId="2" fillId="0" borderId="0" xfId="0" applyFont="1" applyBorder="1"/>
    <xf numFmtId="0" fontId="0" fillId="0" borderId="0" xfId="0" applyAlignment="1">
      <alignment horizontal="left" vertical="top"/>
    </xf>
    <xf numFmtId="0" fontId="2" fillId="2" borderId="0" xfId="0" applyFont="1" applyFill="1"/>
    <xf numFmtId="0" fontId="2" fillId="2" borderId="0" xfId="0" applyFont="1" applyFill="1" applyAlignment="1">
      <alignment wrapText="1"/>
    </xf>
    <xf numFmtId="0" fontId="4" fillId="2" borderId="0" xfId="0" applyFont="1" applyFill="1" applyAlignment="1"/>
    <xf numFmtId="0" fontId="6" fillId="0" borderId="0" xfId="4" applyFont="1" applyAlignment="1">
      <alignment horizontal="left" vertical="center"/>
    </xf>
    <xf numFmtId="0" fontId="9" fillId="3" borderId="9" xfId="4" applyFont="1" applyFill="1" applyBorder="1" applyAlignment="1">
      <alignment vertical="top" wrapText="1"/>
    </xf>
    <xf numFmtId="0" fontId="14" fillId="4" borderId="18" xfId="0" applyFont="1" applyFill="1" applyBorder="1" applyAlignment="1">
      <alignment horizontal="left" wrapText="1"/>
    </xf>
    <xf numFmtId="0" fontId="14" fillId="4" borderId="19" xfId="0" applyFont="1" applyFill="1" applyBorder="1" applyAlignment="1">
      <alignment horizontal="left" wrapText="1"/>
    </xf>
    <xf numFmtId="166" fontId="14" fillId="4" borderId="19" xfId="0" applyNumberFormat="1" applyFont="1" applyFill="1" applyBorder="1" applyAlignment="1">
      <alignment horizontal="left" wrapText="1"/>
    </xf>
    <xf numFmtId="0" fontId="14" fillId="4" borderId="20" xfId="0" applyFont="1" applyFill="1" applyBorder="1" applyAlignment="1">
      <alignment horizontal="left" wrapText="1"/>
    </xf>
    <xf numFmtId="0" fontId="14" fillId="4" borderId="1" xfId="0" applyFont="1" applyFill="1" applyBorder="1" applyAlignment="1">
      <alignment horizontal="left" wrapText="1"/>
    </xf>
    <xf numFmtId="0" fontId="14" fillId="4" borderId="1" xfId="4" applyFont="1" applyFill="1" applyBorder="1" applyAlignment="1">
      <alignment horizontal="left" wrapText="1"/>
    </xf>
    <xf numFmtId="3" fontId="14" fillId="4" borderId="21" xfId="0" applyNumberFormat="1" applyFont="1" applyFill="1" applyBorder="1" applyAlignment="1">
      <alignment horizontal="left" wrapText="1"/>
    </xf>
    <xf numFmtId="3" fontId="14" fillId="4" borderId="19" xfId="0" applyNumberFormat="1" applyFont="1" applyFill="1" applyBorder="1" applyAlignment="1">
      <alignment horizontal="left" wrapText="1"/>
    </xf>
    <xf numFmtId="3" fontId="14" fillId="4" borderId="20" xfId="0" applyNumberFormat="1" applyFont="1" applyFill="1" applyBorder="1" applyAlignment="1">
      <alignment horizontal="left" wrapText="1"/>
    </xf>
    <xf numFmtId="3" fontId="14" fillId="4" borderId="1" xfId="0" applyNumberFormat="1" applyFont="1" applyFill="1" applyBorder="1" applyAlignment="1">
      <alignment horizontal="left" wrapText="1"/>
    </xf>
    <xf numFmtId="0" fontId="15" fillId="0" borderId="5" xfId="0" applyFont="1" applyBorder="1" applyAlignment="1">
      <alignment vertical="center"/>
    </xf>
    <xf numFmtId="0" fontId="15" fillId="0" borderId="1" xfId="0" applyFont="1" applyBorder="1" applyAlignment="1">
      <alignment vertical="center"/>
    </xf>
    <xf numFmtId="3" fontId="15" fillId="0" borderId="1" xfId="1" applyNumberFormat="1" applyFont="1" applyBorder="1" applyAlignment="1">
      <alignment vertical="center"/>
    </xf>
    <xf numFmtId="3" fontId="15"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0" fontId="8" fillId="0" borderId="1" xfId="0" applyFont="1" applyBorder="1" applyAlignment="1">
      <alignment horizontal="right" vertical="center"/>
    </xf>
    <xf numFmtId="166" fontId="15" fillId="0" borderId="1" xfId="0" applyNumberFormat="1" applyFont="1" applyBorder="1" applyAlignment="1">
      <alignment vertical="center"/>
    </xf>
    <xf numFmtId="0" fontId="8" fillId="0" borderId="1" xfId="0" applyFont="1" applyBorder="1" applyAlignment="1">
      <alignment horizontal="left" vertical="center"/>
    </xf>
    <xf numFmtId="0" fontId="7" fillId="6" borderId="0" xfId="3" applyFont="1" applyFill="1" applyAlignment="1">
      <alignment vertical="center" wrapText="1"/>
    </xf>
    <xf numFmtId="3" fontId="14" fillId="4" borderId="3" xfId="0" applyNumberFormat="1" applyFont="1" applyFill="1" applyBorder="1" applyAlignment="1">
      <alignment horizontal="left" wrapText="1"/>
    </xf>
    <xf numFmtId="0" fontId="7" fillId="6" borderId="0" xfId="3" applyFont="1" applyFill="1" applyBorder="1" applyAlignment="1">
      <alignment vertical="center" wrapText="1"/>
    </xf>
    <xf numFmtId="0" fontId="14" fillId="4" borderId="20" xfId="4" applyFont="1" applyFill="1" applyBorder="1" applyAlignment="1">
      <alignment horizontal="left" wrapText="1"/>
    </xf>
    <xf numFmtId="14" fontId="15" fillId="0" borderId="12" xfId="0" applyNumberFormat="1" applyFont="1" applyBorder="1" applyAlignment="1">
      <alignment vertical="center"/>
    </xf>
    <xf numFmtId="14" fontId="8" fillId="0" borderId="12" xfId="0" applyNumberFormat="1" applyFont="1" applyBorder="1" applyAlignment="1">
      <alignment horizontal="right" vertical="center"/>
    </xf>
    <xf numFmtId="0" fontId="7" fillId="6" borderId="0" xfId="3" applyFont="1" applyFill="1" applyAlignment="1">
      <alignment horizontal="left" vertical="center" wrapText="1"/>
    </xf>
    <xf numFmtId="0" fontId="19" fillId="3" borderId="10" xfId="0" applyFont="1" applyFill="1" applyBorder="1" applyAlignment="1">
      <alignment horizontal="center" vertical="center" wrapText="1"/>
    </xf>
    <xf numFmtId="0" fontId="2" fillId="5" borderId="4" xfId="0" applyFont="1" applyFill="1" applyBorder="1"/>
    <xf numFmtId="164" fontId="2" fillId="2" borderId="3" xfId="1" applyNumberFormat="1" applyFont="1" applyFill="1" applyBorder="1" applyAlignment="1">
      <alignment horizontal="left"/>
    </xf>
    <xf numFmtId="0" fontId="11" fillId="2" borderId="0"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1" fillId="2" borderId="0" xfId="0" applyFont="1" applyFill="1" applyAlignment="1">
      <alignment horizontal="center" wrapText="1"/>
    </xf>
    <xf numFmtId="0" fontId="11" fillId="2" borderId="8" xfId="0" applyFont="1" applyFill="1" applyBorder="1" applyAlignment="1">
      <alignment horizontal="center"/>
    </xf>
    <xf numFmtId="0" fontId="11" fillId="0" borderId="0" xfId="0" applyFont="1" applyAlignment="1">
      <alignment horizontal="center"/>
    </xf>
    <xf numFmtId="0" fontId="11" fillId="2" borderId="0" xfId="0" applyFont="1" applyFill="1" applyBorder="1" applyAlignment="1">
      <alignment horizontal="center"/>
    </xf>
    <xf numFmtId="0" fontId="11" fillId="0" borderId="0" xfId="0" applyFont="1"/>
    <xf numFmtId="0" fontId="0" fillId="0" borderId="0" xfId="0" applyFont="1" applyBorder="1"/>
    <xf numFmtId="0" fontId="0" fillId="0" borderId="0" xfId="0" applyFont="1"/>
    <xf numFmtId="0" fontId="21" fillId="3" borderId="9" xfId="4" applyFont="1" applyFill="1" applyBorder="1" applyAlignment="1">
      <alignment vertical="top" wrapText="1"/>
    </xf>
    <xf numFmtId="0" fontId="22" fillId="3" borderId="7" xfId="4" applyFont="1" applyFill="1" applyBorder="1" applyAlignment="1">
      <alignment horizontal="left" vertical="top" wrapText="1"/>
    </xf>
    <xf numFmtId="0" fontId="24" fillId="6" borderId="0" xfId="3" applyFont="1" applyFill="1" applyAlignment="1">
      <alignment vertical="center" wrapText="1"/>
    </xf>
    <xf numFmtId="0" fontId="17" fillId="0" borderId="1" xfId="0" applyFont="1" applyBorder="1" applyAlignment="1">
      <alignment vertical="center"/>
    </xf>
    <xf numFmtId="0" fontId="16" fillId="7" borderId="1" xfId="0" applyFont="1" applyFill="1" applyBorder="1" applyAlignment="1">
      <alignment vertical="center"/>
    </xf>
    <xf numFmtId="3" fontId="17" fillId="0" borderId="1" xfId="0" applyNumberFormat="1" applyFont="1" applyBorder="1" applyAlignment="1">
      <alignment vertical="center"/>
    </xf>
    <xf numFmtId="3" fontId="16" fillId="7" borderId="1" xfId="0" applyNumberFormat="1" applyFont="1" applyFill="1" applyBorder="1" applyAlignment="1">
      <alignment vertical="center"/>
    </xf>
    <xf numFmtId="0" fontId="18" fillId="8" borderId="1" xfId="0" applyFont="1" applyFill="1" applyBorder="1" applyAlignment="1">
      <alignment vertical="center"/>
    </xf>
    <xf numFmtId="0" fontId="23" fillId="6" borderId="11" xfId="3" applyFont="1" applyFill="1" applyBorder="1" applyAlignment="1">
      <alignment vertical="center" wrapText="1"/>
    </xf>
    <xf numFmtId="0" fontId="29" fillId="6" borderId="6" xfId="3" applyFont="1" applyFill="1" applyBorder="1" applyAlignment="1">
      <alignment vertical="center" wrapText="1"/>
    </xf>
    <xf numFmtId="0" fontId="7" fillId="5" borderId="0" xfId="3" applyFont="1" applyFill="1" applyAlignment="1">
      <alignment vertical="center" wrapText="1"/>
    </xf>
    <xf numFmtId="0" fontId="28" fillId="5" borderId="0" xfId="2" applyFont="1" applyFill="1" applyAlignment="1">
      <alignment vertical="top"/>
    </xf>
    <xf numFmtId="0" fontId="23" fillId="6" borderId="0" xfId="3" applyFont="1" applyFill="1" applyAlignment="1">
      <alignment vertical="center" wrapText="1"/>
    </xf>
    <xf numFmtId="0" fontId="23" fillId="6" borderId="0" xfId="3" applyFont="1" applyFill="1" applyBorder="1" applyAlignment="1">
      <alignment vertical="center" wrapText="1"/>
    </xf>
    <xf numFmtId="0" fontId="7" fillId="5" borderId="0" xfId="3" applyFont="1" applyFill="1" applyBorder="1" applyAlignment="1">
      <alignment vertical="center" wrapText="1"/>
    </xf>
    <xf numFmtId="0" fontId="0" fillId="2" borderId="0" xfId="0" applyFill="1"/>
    <xf numFmtId="0" fontId="28" fillId="2" borderId="0" xfId="2" applyFont="1" applyFill="1" applyAlignment="1">
      <alignment vertical="top"/>
    </xf>
    <xf numFmtId="0" fontId="31" fillId="3" borderId="23" xfId="0" applyFont="1" applyFill="1" applyBorder="1" applyAlignment="1">
      <alignment horizontal="center" vertical="center" wrapText="1"/>
    </xf>
    <xf numFmtId="0" fontId="31" fillId="3" borderId="24" xfId="0" applyFont="1" applyFill="1" applyBorder="1" applyAlignment="1">
      <alignment horizontal="center" vertical="center" wrapText="1"/>
    </xf>
    <xf numFmtId="0" fontId="8" fillId="0" borderId="1" xfId="0" applyFont="1" applyBorder="1" applyAlignment="1">
      <alignment horizontal="left" indent="1"/>
    </xf>
    <xf numFmtId="3" fontId="8" fillId="0" borderId="1" xfId="0" applyNumberFormat="1" applyFont="1" applyBorder="1"/>
    <xf numFmtId="0" fontId="7" fillId="2" borderId="0" xfId="3" applyFont="1" applyFill="1" applyAlignment="1">
      <alignment vertical="center" wrapText="1"/>
    </xf>
    <xf numFmtId="164" fontId="2" fillId="2" borderId="1" xfId="1" applyNumberFormat="1" applyFont="1" applyFill="1" applyBorder="1" applyAlignment="1">
      <alignment horizontal="left"/>
    </xf>
    <xf numFmtId="0" fontId="11" fillId="2" borderId="0" xfId="0" applyFont="1" applyFill="1" applyBorder="1" applyAlignment="1">
      <alignment vertical="center" wrapText="1"/>
    </xf>
    <xf numFmtId="0" fontId="19" fillId="3" borderId="1" xfId="0" applyFont="1" applyFill="1" applyBorder="1" applyAlignment="1">
      <alignment horizontal="center" vertical="center" wrapText="1"/>
    </xf>
    <xf numFmtId="0" fontId="0" fillId="2" borderId="0" xfId="0" applyFont="1" applyFill="1"/>
    <xf numFmtId="0" fontId="11" fillId="2" borderId="0" xfId="0" applyFont="1" applyFill="1" applyBorder="1" applyAlignment="1">
      <alignment horizontal="center" vertical="center" wrapText="1"/>
    </xf>
    <xf numFmtId="0" fontId="11" fillId="2" borderId="0" xfId="0" applyFont="1" applyFill="1" applyBorder="1" applyAlignment="1">
      <alignment horizontal="left" vertical="center" wrapText="1"/>
    </xf>
    <xf numFmtId="0" fontId="2" fillId="2" borderId="0" xfId="0" applyFont="1" applyFill="1" applyAlignment="1">
      <alignment horizontal="left"/>
    </xf>
    <xf numFmtId="0" fontId="11" fillId="2" borderId="0" xfId="0" applyFont="1" applyFill="1" applyAlignment="1">
      <alignment horizontal="left"/>
    </xf>
    <xf numFmtId="0" fontId="2" fillId="2" borderId="0" xfId="0" applyFont="1" applyFill="1" applyBorder="1" applyAlignment="1"/>
    <xf numFmtId="0" fontId="2" fillId="2" borderId="0" xfId="0" applyFont="1" applyFill="1" applyAlignment="1"/>
    <xf numFmtId="0" fontId="11" fillId="2" borderId="8" xfId="0" applyFont="1" applyFill="1" applyBorder="1" applyAlignment="1"/>
    <xf numFmtId="0" fontId="11" fillId="2" borderId="0" xfId="0" applyFont="1" applyFill="1" applyAlignment="1"/>
    <xf numFmtId="165" fontId="2" fillId="2" borderId="0" xfId="1" applyNumberFormat="1" applyFont="1" applyFill="1" applyBorder="1"/>
    <xf numFmtId="165" fontId="19"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1" fillId="0" borderId="0" xfId="0" applyFont="1" applyBorder="1" applyAlignment="1">
      <alignment horizontal="center"/>
    </xf>
    <xf numFmtId="0" fontId="11" fillId="2" borderId="7" xfId="0" applyFont="1" applyFill="1" applyBorder="1" applyAlignment="1">
      <alignment horizontal="center" vertical="center"/>
    </xf>
    <xf numFmtId="0" fontId="2" fillId="2" borderId="0" xfId="0" applyFont="1" applyFill="1" applyBorder="1" applyAlignment="1">
      <alignment horizontal="left"/>
    </xf>
    <xf numFmtId="0" fontId="2" fillId="5" borderId="25"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2" borderId="0" xfId="0" applyFont="1" applyFill="1" applyBorder="1" applyAlignment="1">
      <alignment wrapText="1"/>
    </xf>
    <xf numFmtId="0" fontId="2" fillId="0" borderId="7" xfId="0" applyFont="1" applyBorder="1"/>
    <xf numFmtId="0" fontId="11" fillId="0" borderId="8" xfId="0" applyFont="1" applyBorder="1" applyAlignment="1">
      <alignment horizontal="center"/>
    </xf>
    <xf numFmtId="0" fontId="19" fillId="3" borderId="5" xfId="0" applyFont="1" applyFill="1" applyBorder="1" applyAlignment="1">
      <alignment horizontal="center" vertical="center" wrapText="1"/>
    </xf>
    <xf numFmtId="0" fontId="2" fillId="5" borderId="5" xfId="0" applyFont="1" applyFill="1" applyBorder="1"/>
    <xf numFmtId="164" fontId="30" fillId="2" borderId="5" xfId="1" applyNumberFormat="1" applyFont="1" applyFill="1" applyBorder="1" applyAlignment="1">
      <alignment horizontal="right"/>
    </xf>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0" fontId="0" fillId="0" borderId="7" xfId="0" applyFont="1" applyBorder="1"/>
    <xf numFmtId="0" fontId="0" fillId="0" borderId="8" xfId="0" applyFont="1" applyBorder="1"/>
    <xf numFmtId="0" fontId="19" fillId="3" borderId="1" xfId="0" applyFont="1" applyFill="1" applyBorder="1" applyAlignment="1">
      <alignment horizontal="center" vertical="center" wrapText="1"/>
    </xf>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41" fontId="2" fillId="2" borderId="30" xfId="1" applyNumberFormat="1" applyFont="1" applyFill="1" applyBorder="1" applyAlignment="1">
      <alignment horizontal="left"/>
    </xf>
    <xf numFmtId="41" fontId="2" fillId="5" borderId="34" xfId="1" applyNumberFormat="1" applyFont="1" applyFill="1" applyBorder="1"/>
    <xf numFmtId="164" fontId="2" fillId="5" borderId="4" xfId="1" applyNumberFormat="1" applyFont="1" applyFill="1" applyBorder="1"/>
    <xf numFmtId="164" fontId="2" fillId="2" borderId="1" xfId="1" applyNumberFormat="1" applyFont="1" applyFill="1" applyBorder="1" applyAlignment="1">
      <alignment horizontal="left"/>
    </xf>
    <xf numFmtId="41" fontId="2" fillId="5" borderId="4" xfId="0" applyNumberFormat="1" applyFont="1" applyFill="1" applyBorder="1"/>
    <xf numFmtId="164" fontId="2" fillId="2" borderId="3" xfId="1" applyNumberFormat="1" applyFont="1" applyFill="1" applyBorder="1" applyAlignment="1"/>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xf numFmtId="41" fontId="2" fillId="2" borderId="1" xfId="1" applyNumberFormat="1" applyFont="1" applyFill="1" applyBorder="1" applyAlignment="1">
      <alignment horizontal="left"/>
    </xf>
    <xf numFmtId="41" fontId="2" fillId="5" borderId="1" xfId="1" applyNumberFormat="1" applyFont="1" applyFill="1" applyBorder="1"/>
    <xf numFmtId="41" fontId="2" fillId="5" borderId="1" xfId="0" applyNumberFormat="1" applyFont="1" applyFill="1" applyBorder="1"/>
    <xf numFmtId="167" fontId="2" fillId="5" borderId="1" xfId="1" applyNumberFormat="1" applyFont="1" applyFill="1" applyBorder="1"/>
    <xf numFmtId="167" fontId="2" fillId="5" borderId="1" xfId="0" applyNumberFormat="1" applyFont="1" applyFill="1" applyBorder="1"/>
    <xf numFmtId="167" fontId="2" fillId="2" borderId="1" xfId="1" applyNumberFormat="1" applyFont="1" applyFill="1" applyBorder="1" applyAlignment="1">
      <alignment horizontal="left"/>
    </xf>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167" fontId="2" fillId="2" borderId="1" xfId="1" applyNumberFormat="1" applyFont="1" applyFill="1" applyBorder="1" applyAlignment="1">
      <alignment horizontal="left"/>
    </xf>
    <xf numFmtId="167" fontId="2" fillId="5" borderId="4" xfId="1" applyNumberFormat="1" applyFont="1" applyFill="1" applyBorder="1"/>
    <xf numFmtId="167" fontId="2" fillId="5" borderId="4" xfId="0" applyNumberFormat="1" applyFont="1" applyFill="1" applyBorder="1"/>
    <xf numFmtId="167" fontId="2" fillId="2" borderId="3" xfId="1" applyNumberFormat="1" applyFont="1" applyFill="1" applyBorder="1" applyAlignment="1">
      <alignment horizontal="left"/>
    </xf>
    <xf numFmtId="164" fontId="2" fillId="2" borderId="3" xfId="1" applyNumberFormat="1" applyFont="1" applyFill="1" applyBorder="1" applyAlignment="1">
      <alignment horizontal="left"/>
    </xf>
    <xf numFmtId="16" fontId="0" fillId="0" borderId="0" xfId="0" applyNumberFormat="1"/>
    <xf numFmtId="4" fontId="0" fillId="0" borderId="0" xfId="0" applyNumberFormat="1"/>
    <xf numFmtId="4" fontId="11" fillId="2" borderId="0" xfId="0" applyNumberFormat="1" applyFont="1" applyFill="1" applyBorder="1" applyAlignment="1">
      <alignment horizontal="center"/>
    </xf>
    <xf numFmtId="3" fontId="2" fillId="0" borderId="0" xfId="0" applyNumberFormat="1" applyFont="1" applyBorder="1"/>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3" fontId="2" fillId="2" borderId="0" xfId="0" applyNumberFormat="1" applyFont="1" applyFill="1"/>
    <xf numFmtId="3" fontId="0" fillId="0" borderId="0" xfId="0" applyNumberFormat="1"/>
    <xf numFmtId="16" fontId="2" fillId="2" borderId="0" xfId="0" applyNumberFormat="1" applyFont="1" applyFill="1" applyBorder="1"/>
    <xf numFmtId="16" fontId="2" fillId="0" borderId="0" xfId="0" applyNumberFormat="1" applyFont="1" applyBorder="1"/>
    <xf numFmtId="3" fontId="11" fillId="2" borderId="0" xfId="0" applyNumberFormat="1" applyFont="1" applyFill="1" applyBorder="1" applyAlignment="1">
      <alignment horizontal="center"/>
    </xf>
    <xf numFmtId="16" fontId="11" fillId="2" borderId="0" xfId="0" applyNumberFormat="1" applyFont="1" applyFill="1" applyBorder="1" applyAlignment="1">
      <alignment horizontal="center"/>
    </xf>
    <xf numFmtId="16" fontId="11" fillId="2" borderId="8" xfId="0" applyNumberFormat="1" applyFont="1" applyFill="1" applyBorder="1" applyAlignment="1">
      <alignment horizontal="center"/>
    </xf>
    <xf numFmtId="16" fontId="2" fillId="0" borderId="0" xfId="0" applyNumberFormat="1" applyFont="1"/>
    <xf numFmtId="4" fontId="11"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2" fillId="2" borderId="0" xfId="0" applyNumberFormat="1" applyFont="1" applyFill="1"/>
    <xf numFmtId="16" fontId="11" fillId="0" borderId="0" xfId="0" applyNumberFormat="1" applyFont="1" applyAlignment="1">
      <alignment horizontal="center"/>
    </xf>
    <xf numFmtId="4" fontId="11" fillId="0" borderId="0" xfId="0" applyNumberFormat="1" applyFont="1" applyAlignment="1">
      <alignment horizontal="center"/>
    </xf>
    <xf numFmtId="4" fontId="11" fillId="0" borderId="0" xfId="0" applyNumberFormat="1" applyFont="1"/>
    <xf numFmtId="3" fontId="2" fillId="0" borderId="0" xfId="0" applyNumberFormat="1" applyFont="1"/>
    <xf numFmtId="3" fontId="11" fillId="2" borderId="8" xfId="0" applyNumberFormat="1" applyFont="1" applyFill="1" applyBorder="1" applyAlignment="1">
      <alignment horizontal="center"/>
    </xf>
    <xf numFmtId="164" fontId="30" fillId="2" borderId="1" xfId="1" applyNumberFormat="1" applyFont="1" applyFill="1" applyBorder="1" applyAlignment="1">
      <alignment horizontal="left"/>
    </xf>
    <xf numFmtId="164" fontId="30" fillId="2" borderId="1" xfId="1" applyNumberFormat="1" applyFont="1" applyFill="1" applyBorder="1" applyAlignment="1"/>
    <xf numFmtId="164" fontId="30" fillId="2" borderId="1" xfId="1" applyNumberFormat="1" applyFont="1" applyFill="1" applyBorder="1" applyAlignment="1">
      <alignment horizontal="center"/>
    </xf>
    <xf numFmtId="0" fontId="10" fillId="3" borderId="23" xfId="0" applyFont="1" applyFill="1" applyBorder="1" applyAlignment="1">
      <alignment horizontal="left" vertical="top" wrapText="1"/>
    </xf>
    <xf numFmtId="0" fontId="10" fillId="3" borderId="27"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39" xfId="0" applyFont="1" applyBorder="1" applyAlignment="1">
      <alignment horizontal="left" vertical="top" wrapText="1"/>
    </xf>
    <xf numFmtId="0" fontId="8" fillId="0" borderId="5" xfId="0" applyFont="1" applyFill="1" applyBorder="1" applyAlignment="1">
      <alignment horizontal="left" vertical="top" wrapText="1"/>
    </xf>
    <xf numFmtId="0" fontId="8" fillId="0" borderId="39" xfId="0" applyFont="1" applyFill="1" applyBorder="1" applyAlignment="1">
      <alignment horizontal="left" vertical="top" wrapText="1"/>
    </xf>
    <xf numFmtId="0" fontId="8" fillId="2" borderId="39" xfId="0" applyFont="1" applyFill="1" applyBorder="1" applyAlignment="1">
      <alignment horizontal="left" vertical="top" wrapText="1"/>
    </xf>
    <xf numFmtId="0" fontId="8" fillId="0" borderId="7" xfId="0" applyFont="1" applyBorder="1" applyAlignment="1">
      <alignment horizontal="left" vertical="top" wrapText="1"/>
    </xf>
    <xf numFmtId="0" fontId="0" fillId="0" borderId="7" xfId="0" applyBorder="1" applyAlignment="1">
      <alignment horizontal="left" vertical="top"/>
    </xf>
    <xf numFmtId="0" fontId="8" fillId="0" borderId="10"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34" fillId="2" borderId="39" xfId="0" applyNumberFormat="1" applyFont="1" applyFill="1" applyBorder="1" applyAlignment="1">
      <alignment vertical="top" wrapText="1"/>
    </xf>
    <xf numFmtId="49" fontId="34" fillId="0" borderId="39" xfId="0" applyNumberFormat="1" applyFont="1" applyBorder="1" applyAlignment="1">
      <alignment vertical="top" wrapText="1"/>
    </xf>
    <xf numFmtId="49" fontId="34" fillId="0" borderId="44" xfId="0" applyNumberFormat="1" applyFont="1" applyBorder="1" applyAlignment="1">
      <alignment vertical="top" wrapText="1"/>
    </xf>
    <xf numFmtId="0" fontId="8" fillId="0" borderId="5" xfId="0" applyFont="1" applyBorder="1" applyAlignment="1">
      <alignment horizontal="left" vertical="top" wrapText="1"/>
    </xf>
    <xf numFmtId="0" fontId="13" fillId="0" borderId="0" xfId="4" applyFont="1" applyAlignment="1">
      <alignment horizontal="left"/>
    </xf>
    <xf numFmtId="3" fontId="9" fillId="3" borderId="0" xfId="1" applyNumberFormat="1" applyFont="1" applyFill="1" applyAlignment="1">
      <alignment horizontal="left" vertical="top" wrapText="1"/>
    </xf>
    <xf numFmtId="3" fontId="9" fillId="3" borderId="0" xfId="1" applyNumberFormat="1" applyFont="1" applyFill="1" applyAlignment="1">
      <alignment vertical="top" wrapText="1"/>
    </xf>
    <xf numFmtId="0" fontId="9" fillId="3" borderId="0" xfId="4" applyFont="1" applyFill="1" applyAlignment="1">
      <alignment horizontal="left" vertical="top" wrapText="1"/>
    </xf>
    <xf numFmtId="0" fontId="9" fillId="3" borderId="0" xfId="4" applyFont="1" applyFill="1" applyAlignment="1">
      <alignment vertical="top" wrapText="1"/>
    </xf>
    <xf numFmtId="0" fontId="4" fillId="2" borderId="0" xfId="0" applyFont="1" applyFill="1"/>
    <xf numFmtId="165" fontId="8" fillId="0" borderId="1" xfId="0" applyNumberFormat="1" applyFont="1" applyBorder="1"/>
    <xf numFmtId="165" fontId="32" fillId="0" borderId="1" xfId="0" applyNumberFormat="1" applyFont="1" applyBorder="1"/>
    <xf numFmtId="3" fontId="32" fillId="0" borderId="1" xfId="0" applyNumberFormat="1" applyFont="1" applyBorder="1"/>
    <xf numFmtId="0" fontId="32" fillId="0" borderId="1" xfId="0" applyFont="1" applyBorder="1" applyAlignment="1">
      <alignment horizontal="left"/>
    </xf>
    <xf numFmtId="167" fontId="33" fillId="4" borderId="6" xfId="0" applyNumberFormat="1" applyFont="1" applyFill="1" applyBorder="1" applyAlignment="1">
      <alignment horizontal="center"/>
    </xf>
    <xf numFmtId="41" fontId="33" fillId="4" borderId="6" xfId="0" applyNumberFormat="1" applyFont="1" applyFill="1" applyBorder="1" applyAlignment="1">
      <alignment horizontal="center"/>
    </xf>
    <xf numFmtId="0" fontId="32" fillId="4" borderId="40" xfId="0" applyFont="1" applyFill="1" applyBorder="1"/>
    <xf numFmtId="168" fontId="16" fillId="7" borderId="1" xfId="0" applyNumberFormat="1" applyFont="1" applyFill="1" applyBorder="1" applyAlignment="1">
      <alignment vertical="center"/>
    </xf>
    <xf numFmtId="168" fontId="17" fillId="0" borderId="1" xfId="0" applyNumberFormat="1" applyFont="1" applyBorder="1" applyAlignment="1">
      <alignment vertical="center"/>
    </xf>
    <xf numFmtId="0" fontId="26" fillId="2" borderId="0" xfId="0" applyFont="1" applyFill="1" applyAlignment="1">
      <alignment horizontal="left" vertical="center" wrapText="1"/>
    </xf>
    <xf numFmtId="0" fontId="28" fillId="5" borderId="0" xfId="2" applyFont="1" applyFill="1" applyAlignment="1">
      <alignment horizontal="left" vertical="top"/>
    </xf>
    <xf numFmtId="0" fontId="28" fillId="0" borderId="0" xfId="2" applyFont="1" applyAlignment="1">
      <alignment horizontal="left" vertical="top"/>
    </xf>
    <xf numFmtId="0" fontId="23" fillId="6" borderId="0" xfId="3" applyFont="1" applyFill="1" applyAlignment="1">
      <alignment horizontal="left" vertical="center" wrapText="1"/>
    </xf>
    <xf numFmtId="0" fontId="26" fillId="2" borderId="0" xfId="0" applyFont="1" applyFill="1" applyAlignment="1">
      <alignment horizontal="left" wrapText="1"/>
    </xf>
    <xf numFmtId="0" fontId="27" fillId="2" borderId="0" xfId="0" applyFont="1" applyFill="1" applyAlignment="1">
      <alignment horizontal="left" vertical="center" wrapText="1"/>
    </xf>
    <xf numFmtId="0" fontId="25" fillId="2" borderId="0" xfId="0" applyFont="1" applyFill="1" applyBorder="1" applyAlignment="1">
      <alignment horizontal="left" vertical="center"/>
    </xf>
    <xf numFmtId="0" fontId="23" fillId="6" borderId="0" xfId="3" applyFont="1" applyFill="1" applyBorder="1" applyAlignment="1">
      <alignment horizontal="left" vertical="center" wrapText="1"/>
    </xf>
    <xf numFmtId="0" fontId="2" fillId="4" borderId="2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29" xfId="0" applyFont="1" applyFill="1" applyBorder="1" applyAlignment="1">
      <alignment horizontal="center" vertical="center"/>
    </xf>
    <xf numFmtId="0" fontId="19" fillId="3" borderId="1" xfId="0" applyFont="1" applyFill="1" applyBorder="1" applyAlignment="1">
      <alignment horizontal="center" vertical="center" wrapText="1"/>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7" xfId="0" applyFont="1" applyFill="1" applyBorder="1" applyAlignment="1">
      <alignment horizontal="center" vertical="center"/>
    </xf>
    <xf numFmtId="0" fontId="11" fillId="2" borderId="7" xfId="0" applyFont="1" applyFill="1" applyBorder="1" applyAlignment="1">
      <alignment horizontal="left" vertical="center" wrapText="1"/>
    </xf>
    <xf numFmtId="0" fontId="11" fillId="2" borderId="0" xfId="0" applyFont="1" applyFill="1" applyBorder="1" applyAlignment="1">
      <alignment horizontal="left" vertical="center" wrapText="1"/>
    </xf>
    <xf numFmtId="0" fontId="2" fillId="2" borderId="1" xfId="0" applyFont="1" applyFill="1" applyBorder="1" applyAlignment="1"/>
    <xf numFmtId="0" fontId="2" fillId="2" borderId="0" xfId="0" applyFont="1" applyFill="1" applyBorder="1" applyAlignment="1"/>
    <xf numFmtId="0" fontId="11" fillId="4" borderId="28"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29" xfId="0" applyFont="1" applyFill="1" applyBorder="1" applyAlignment="1">
      <alignment horizontal="center" vertic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applyAlignment="1">
      <alignment horizontal="right"/>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2" fillId="4" borderId="33" xfId="0" applyFont="1" applyFill="1" applyBorder="1" applyAlignment="1">
      <alignment horizontal="center" vertical="center"/>
    </xf>
    <xf numFmtId="0" fontId="2" fillId="4" borderId="22" xfId="0" applyFont="1" applyFill="1" applyBorder="1" applyAlignment="1">
      <alignment horizontal="center" vertical="center"/>
    </xf>
    <xf numFmtId="0" fontId="19" fillId="3" borderId="16"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3" borderId="22" xfId="0" applyFont="1" applyFill="1" applyBorder="1" applyAlignment="1">
      <alignment horizontal="center" vertical="center" wrapText="1"/>
    </xf>
    <xf numFmtId="0" fontId="2" fillId="5" borderId="14" xfId="0" applyFont="1" applyFill="1" applyBorder="1" applyAlignment="1">
      <alignment horizontal="center"/>
    </xf>
    <xf numFmtId="0" fontId="2" fillId="5" borderId="15" xfId="0" applyFont="1" applyFill="1" applyBorder="1" applyAlignment="1">
      <alignment horizontal="center"/>
    </xf>
    <xf numFmtId="164" fontId="2" fillId="2" borderId="16" xfId="1" applyNumberFormat="1" applyFont="1" applyFill="1" applyBorder="1" applyAlignment="1">
      <alignment horizontal="left" wrapText="1"/>
    </xf>
    <xf numFmtId="164" fontId="2" fillId="2" borderId="17" xfId="1" applyNumberFormat="1" applyFont="1" applyFill="1" applyBorder="1" applyAlignment="1">
      <alignment horizontal="left" wrapText="1"/>
    </xf>
    <xf numFmtId="164" fontId="2" fillId="5" borderId="14" xfId="1" applyNumberFormat="1" applyFont="1" applyFill="1" applyBorder="1" applyAlignment="1">
      <alignment horizontal="center"/>
    </xf>
    <xf numFmtId="164" fontId="2" fillId="5" borderId="26" xfId="1" applyNumberFormat="1" applyFont="1" applyFill="1" applyBorder="1" applyAlignment="1">
      <alignment horizontal="center"/>
    </xf>
    <xf numFmtId="164" fontId="2" fillId="5" borderId="15" xfId="1" applyNumberFormat="1" applyFont="1" applyFill="1" applyBorder="1" applyAlignment="1">
      <alignment horizontal="center"/>
    </xf>
    <xf numFmtId="0" fontId="11" fillId="0" borderId="7" xfId="0" applyFont="1" applyBorder="1" applyAlignment="1">
      <alignment horizontal="left" vertical="center"/>
    </xf>
    <xf numFmtId="0" fontId="11" fillId="0" borderId="0" xfId="0" applyFont="1" applyBorder="1" applyAlignment="1">
      <alignment horizontal="left" vertical="center"/>
    </xf>
    <xf numFmtId="0" fontId="11" fillId="2" borderId="7" xfId="0" applyFont="1" applyFill="1" applyBorder="1" applyAlignment="1">
      <alignment horizontal="left" vertic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0" fontId="11" fillId="2" borderId="7" xfId="0" applyFont="1" applyFill="1" applyBorder="1" applyAlignment="1">
      <alignment vertical="center" wrapText="1"/>
    </xf>
    <xf numFmtId="0" fontId="11" fillId="2" borderId="0" xfId="0" applyFont="1" applyFill="1" applyBorder="1" applyAlignment="1">
      <alignment vertical="center" wrapText="1"/>
    </xf>
    <xf numFmtId="164" fontId="2" fillId="2" borderId="35" xfId="1" applyNumberFormat="1" applyFont="1" applyFill="1" applyBorder="1" applyAlignment="1">
      <alignment horizontal="center"/>
    </xf>
    <xf numFmtId="164" fontId="2" fillId="2" borderId="36" xfId="1" applyNumberFormat="1" applyFont="1" applyFill="1" applyBorder="1" applyAlignment="1">
      <alignment horizontal="center"/>
    </xf>
    <xf numFmtId="164" fontId="2" fillId="2" borderId="37"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13" xfId="1" applyNumberFormat="1" applyFont="1" applyFill="1" applyBorder="1" applyAlignment="1">
      <alignment horizontal="center"/>
    </xf>
    <xf numFmtId="164" fontId="2" fillId="2" borderId="38" xfId="1" applyNumberFormat="1" applyFont="1" applyFill="1" applyBorder="1" applyAlignment="1">
      <alignment horizontal="center"/>
    </xf>
    <xf numFmtId="164" fontId="2" fillId="2" borderId="1" xfId="1" applyNumberFormat="1" applyFont="1" applyFill="1" applyBorder="1" applyAlignment="1">
      <alignment horizontal="right"/>
    </xf>
    <xf numFmtId="164" fontId="2" fillId="4" borderId="14" xfId="1" applyNumberFormat="1" applyFont="1" applyFill="1" applyBorder="1" applyAlignment="1">
      <alignment horizontal="center"/>
    </xf>
    <xf numFmtId="164" fontId="2" fillId="4" borderId="26" xfId="1" applyNumberFormat="1" applyFont="1" applyFill="1" applyBorder="1" applyAlignment="1">
      <alignment horizontal="center"/>
    </xf>
    <xf numFmtId="164" fontId="2" fillId="4" borderId="15" xfId="1" applyNumberFormat="1" applyFont="1" applyFill="1" applyBorder="1" applyAlignment="1">
      <alignment horizontal="center"/>
    </xf>
    <xf numFmtId="164" fontId="2" fillId="2" borderId="3" xfId="1" applyNumberFormat="1" applyFont="1" applyFill="1" applyBorder="1" applyAlignment="1">
      <alignment horizontal="right"/>
    </xf>
    <xf numFmtId="3" fontId="9" fillId="3" borderId="0" xfId="1" applyNumberFormat="1" applyFont="1" applyFill="1" applyAlignment="1">
      <alignment horizontal="left" vertical="top" wrapText="1"/>
    </xf>
    <xf numFmtId="0" fontId="20" fillId="2" borderId="1" xfId="0" applyFont="1" applyFill="1" applyBorder="1" applyAlignment="1">
      <alignment horizontal="center" vertical="center"/>
    </xf>
    <xf numFmtId="0" fontId="9" fillId="3" borderId="0" xfId="4" applyFont="1" applyFill="1" applyAlignment="1">
      <alignment horizontal="left" vertical="top" wrapText="1"/>
    </xf>
    <xf numFmtId="0" fontId="9" fillId="3" borderId="9" xfId="4" applyFont="1" applyFill="1" applyBorder="1" applyAlignment="1">
      <alignment horizontal="left" vertical="top" wrapText="1"/>
    </xf>
    <xf numFmtId="0" fontId="28" fillId="2" borderId="0" xfId="2" applyFont="1" applyFill="1" applyAlignment="1">
      <alignment horizontal="left" vertical="top"/>
    </xf>
    <xf numFmtId="0" fontId="8" fillId="0" borderId="40" xfId="0" applyFont="1" applyBorder="1" applyAlignment="1">
      <alignment horizontal="left" vertical="top" wrapText="1"/>
    </xf>
    <xf numFmtId="0" fontId="8" fillId="0" borderId="2" xfId="0" applyFont="1" applyBorder="1" applyAlignment="1">
      <alignment horizontal="left" vertical="top" wrapText="1"/>
    </xf>
    <xf numFmtId="0" fontId="8" fillId="0" borderId="5" xfId="0" applyFont="1" applyBorder="1" applyAlignment="1">
      <alignment horizontal="left" vertical="top" wrapText="1"/>
    </xf>
    <xf numFmtId="0" fontId="8" fillId="0" borderId="41" xfId="0" applyFont="1" applyBorder="1" applyAlignment="1">
      <alignment horizontal="left" vertical="top" wrapText="1"/>
    </xf>
    <xf numFmtId="0" fontId="8" fillId="0" borderId="7" xfId="0" applyFont="1" applyBorder="1" applyAlignment="1">
      <alignment horizontal="left" vertical="top" wrapText="1"/>
    </xf>
    <xf numFmtId="0" fontId="8" fillId="0" borderId="42" xfId="0" applyFont="1" applyBorder="1" applyAlignment="1">
      <alignment horizontal="left" vertical="top" wrapText="1"/>
    </xf>
    <xf numFmtId="0" fontId="8" fillId="0" borderId="40" xfId="0" applyFont="1" applyBorder="1" applyAlignment="1">
      <alignment horizontal="center" vertical="top" wrapText="1"/>
    </xf>
    <xf numFmtId="0" fontId="8" fillId="0" borderId="10" xfId="0" applyFont="1" applyBorder="1" applyAlignment="1">
      <alignment horizontal="center" vertical="top" wrapText="1"/>
    </xf>
    <xf numFmtId="0" fontId="8" fillId="0" borderId="2" xfId="0" applyFont="1" applyBorder="1" applyAlignment="1">
      <alignment horizontal="center" vertical="top" wrapText="1"/>
    </xf>
    <xf numFmtId="0" fontId="8" fillId="0" borderId="10" xfId="0" applyFont="1" applyBorder="1" applyAlignment="1">
      <alignment horizontal="left" vertical="top" wrapText="1"/>
    </xf>
    <xf numFmtId="0" fontId="8" fillId="2" borderId="40" xfId="0" applyFont="1" applyFill="1" applyBorder="1" applyAlignment="1">
      <alignment horizontal="center" vertical="top" wrapText="1"/>
    </xf>
    <xf numFmtId="0" fontId="8" fillId="2" borderId="10" xfId="0" applyFont="1" applyFill="1" applyBorder="1" applyAlignment="1">
      <alignment horizontal="center" vertical="top" wrapText="1"/>
    </xf>
    <xf numFmtId="0" fontId="8" fillId="2" borderId="43" xfId="0" applyFont="1" applyFill="1" applyBorder="1" applyAlignment="1">
      <alignment horizontal="center" vertical="top" wrapText="1"/>
    </xf>
  </cellXfs>
  <cellStyles count="6">
    <cellStyle name="Comma" xfId="1" builtinId="3"/>
    <cellStyle name="Normal" xfId="0" builtinId="0"/>
    <cellStyle name="Normal 2" xfId="4" xr:uid="{00000000-0005-0000-0000-000002000000}"/>
    <cellStyle name="Normal 5" xfId="2" xr:uid="{00000000-0005-0000-0000-000003000000}"/>
    <cellStyle name="Normal_FLQuickRefGuide_4.27.09" xfId="3" xr:uid="{00000000-0005-0000-0000-000004000000}"/>
    <cellStyle name="Percent" xfId="5" builtinId="5"/>
  </cellStyles>
  <dxfs count="65">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19" formatCode="m/d/yyyy"/>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indexed="8"/>
        <name val="Times New Roman"/>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Times New Roman"/>
        <scheme val="none"/>
      </font>
      <numFmt numFmtId="0" formatCode="General"/>
      <fill>
        <patternFill patternType="solid">
          <fgColor indexed="64"/>
          <bgColor theme="0" tint="-0.249977111117893"/>
        </patternFill>
      </fill>
      <alignment horizontal="left" vertical="bottom" textRotation="0" wrapText="1" indent="0" justifyLastLine="0" shrinkToFit="0" readingOrder="0"/>
      <border diagonalUp="0" diagonalDown="0" outline="0">
        <left style="hair">
          <color auto="1"/>
        </left>
        <right style="hair">
          <color auto="1"/>
        </right>
        <top/>
        <bottom/>
      </border>
    </dxf>
    <dxf>
      <font>
        <condense val="0"/>
        <extend val="0"/>
        <color indexed="9"/>
      </font>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3310F8-1826-4F56-937B-EFC1882B89C4}" name="Table_Facility_List_Staging_8_26_2013.accdb_114" displayName="Table_Facility_List_Staging_8_26_2013.accdb_114" ref="A7:AE176" headerRowDxfId="63" dataDxfId="61" headerRowBorderDxfId="62" tableBorderDxfId="60">
  <autoFilter ref="A7:AE176" xr:uid="{5556F88B-EA9E-4DD1-B437-76F49757E9A7}"/>
  <tableColumns count="31">
    <tableColumn id="2" xr3:uid="{00000000-0010-0000-0000-000002000000}" name="Name" dataDxfId="59" totalsRowDxfId="58"/>
    <tableColumn id="3" xr3:uid="{00000000-0010-0000-0000-000003000000}" name="Address" dataDxfId="57" totalsRowDxfId="56"/>
    <tableColumn id="4" xr3:uid="{00000000-0010-0000-0000-000004000000}" name="City" dataDxfId="55" totalsRowDxfId="54"/>
    <tableColumn id="6" xr3:uid="{00000000-0010-0000-0000-000006000000}" name="State" dataDxfId="53"/>
    <tableColumn id="7" xr3:uid="{00000000-0010-0000-0000-000007000000}" name="Zip" dataDxfId="52" totalsRowDxfId="51"/>
    <tableColumn id="9" xr3:uid="{00000000-0010-0000-0000-000009000000}" name="AOR" dataDxfId="50" totalsRowDxfId="49"/>
    <tableColumn id="12" xr3:uid="{00000000-0010-0000-0000-00000C000000}" name="Type Detailed" dataDxfId="48" totalsRowDxfId="47"/>
    <tableColumn id="81" xr3:uid="{00000000-0010-0000-0000-000051000000}" name="Male/Female" dataDxfId="46" totalsRowDxfId="45"/>
    <tableColumn id="43" xr3:uid="{00000000-0010-0000-0000-00002B000000}" name="FY20 ALOS" dataDxfId="44" totalsRowDxfId="43" dataCellStyle="Comma"/>
    <tableColumn id="67" xr3:uid="{00000000-0010-0000-0000-000043000000}" name="Level A" dataDxfId="42" totalsRowDxfId="41"/>
    <tableColumn id="68" xr3:uid="{00000000-0010-0000-0000-000044000000}" name="Level B" dataDxfId="40" totalsRowDxfId="39"/>
    <tableColumn id="69" xr3:uid="{00000000-0010-0000-0000-000045000000}" name="Level C" dataDxfId="38" totalsRowDxfId="37"/>
    <tableColumn id="70" xr3:uid="{00000000-0010-0000-0000-000046000000}" name="Level D" dataDxfId="36" totalsRowDxfId="35"/>
    <tableColumn id="71" xr3:uid="{00000000-0010-0000-0000-000047000000}" name="Male Crim" dataDxfId="34" totalsRowDxfId="33"/>
    <tableColumn id="72" xr3:uid="{00000000-0010-0000-0000-000048000000}" name="Male Non-Crim" dataDxfId="32" totalsRowDxfId="31"/>
    <tableColumn id="73" xr3:uid="{00000000-0010-0000-0000-000049000000}" name="Female Crim" dataDxfId="30" totalsRowDxfId="29"/>
    <tableColumn id="74" xr3:uid="{00000000-0010-0000-0000-00004A000000}" name="Female Non-Crim" dataDxfId="28" totalsRowDxfId="27"/>
    <tableColumn id="75" xr3:uid="{00000000-0010-0000-0000-00004B000000}" name="ICE Threat Level 1" dataDxfId="26" totalsRowDxfId="25"/>
    <tableColumn id="76" xr3:uid="{00000000-0010-0000-0000-00004C000000}" name="ICE Threat Level 2" dataDxfId="24" totalsRowDxfId="23"/>
    <tableColumn id="77" xr3:uid="{00000000-0010-0000-0000-00004D000000}" name="ICE Threat Level 3" dataDxfId="22" totalsRowDxfId="21"/>
    <tableColumn id="78" xr3:uid="{00000000-0010-0000-0000-00004E000000}" name="No ICE Threat Level" dataDxfId="20" totalsRowDxfId="19"/>
    <tableColumn id="79" xr3:uid="{00000000-0010-0000-0000-00004F000000}" name="Mandatory" dataDxfId="18" totalsRowDxfId="17"/>
    <tableColumn id="86" xr3:uid="{00000000-0010-0000-0000-000056000000}" name="Guaranteed Minimum" dataDxfId="16" totalsRowDxfId="15"/>
    <tableColumn id="124" xr3:uid="{00000000-0010-0000-0000-00007C000000}" name="Last Inspection Type" dataDxfId="14" totalsRowDxfId="13"/>
    <tableColumn id="129" xr3:uid="{00000000-0010-0000-0000-000081000000}" name="Last Inspection Standard" dataDxfId="12" totalsRowDxfId="11"/>
    <tableColumn id="93" xr3:uid="{00000000-0010-0000-0000-00005D000000}" name="Last Inspection Rating - Final" dataDxfId="10"/>
    <tableColumn id="95" xr3:uid="{00000000-0010-0000-0000-00005F000000}" name="Last Inspection Date" dataDxfId="9" totalsRowDxfId="8"/>
    <tableColumn id="125" xr3:uid="{00000000-0010-0000-0000-00007D000000}" name="Second to Last Inspection Type" dataDxfId="7" totalsRowDxfId="6"/>
    <tableColumn id="131" xr3:uid="{00000000-0010-0000-0000-000083000000}" name="Second to Last Inspection Standard" dataDxfId="5" totalsRowDxfId="4"/>
    <tableColumn id="5" xr3:uid="{00000000-0010-0000-0000-000005000000}" name="Second to Last Inspection Rating" dataDxfId="3" totalsRowDxfId="2"/>
    <tableColumn id="97" xr3:uid="{00000000-0010-0000-0000-000061000000}" name="Second to Last Inspection Date" dataDxfId="1" totalsRow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62" t="s">
        <v>773</v>
      </c>
    </row>
    <row r="2" spans="1:1" ht="51.75" customHeight="1" x14ac:dyDescent="0.25">
      <c r="A2" s="61" t="s">
        <v>59</v>
      </c>
    </row>
    <row r="3" spans="1:1" ht="76.349999999999994" customHeight="1" x14ac:dyDescent="0.25">
      <c r="A3" s="61" t="s">
        <v>931</v>
      </c>
    </row>
    <row r="4" spans="1:1" ht="22.5" customHeight="1" x14ac:dyDescent="0.25">
      <c r="A4" s="61" t="s">
        <v>772</v>
      </c>
    </row>
    <row r="5" spans="1:1" ht="36.75" customHeight="1" x14ac:dyDescent="0.25">
      <c r="A5" s="61" t="s">
        <v>744</v>
      </c>
    </row>
    <row r="6" spans="1:1" x14ac:dyDescent="0.25"/>
  </sheetData>
  <sheetProtection sheet="1" objects="1" scenarios="1" selectLockedCells="1" selectUnlockedCell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D009-FCFA-4FD2-9118-46D3CE2F9DC7}">
  <sheetPr>
    <tabColor theme="0"/>
  </sheetPr>
  <dimension ref="A1:BD116"/>
  <sheetViews>
    <sheetView zoomScale="80" zoomScaleNormal="80" workbookViewId="0">
      <selection sqref="A1:D1"/>
    </sheetView>
  </sheetViews>
  <sheetFormatPr defaultRowHeight="15.75" zeroHeight="1" x14ac:dyDescent="0.25"/>
  <cols>
    <col min="1" max="3" width="19.7109375" customWidth="1"/>
    <col min="4" max="4" width="24.28515625" customWidth="1"/>
    <col min="5" max="9" width="19.7109375" customWidth="1"/>
    <col min="10" max="10" width="15" customWidth="1"/>
    <col min="13" max="13" width="9.140625" style="31"/>
  </cols>
  <sheetData>
    <row r="1" spans="1:56" ht="55.15" customHeight="1" x14ac:dyDescent="0.25">
      <c r="A1" s="203" t="s">
        <v>58</v>
      </c>
      <c r="B1" s="203"/>
      <c r="C1" s="203"/>
      <c r="D1" s="203"/>
      <c r="E1" s="31"/>
      <c r="F1" s="31"/>
      <c r="G1" s="31"/>
      <c r="H1" s="31"/>
      <c r="I1" s="31"/>
      <c r="J1" s="31"/>
      <c r="K1" s="31"/>
      <c r="L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row>
    <row r="2" spans="1:56" ht="55.15" customHeight="1" x14ac:dyDescent="0.25">
      <c r="A2" s="204" t="s">
        <v>59</v>
      </c>
      <c r="B2" s="204"/>
      <c r="C2" s="204"/>
      <c r="D2" s="204"/>
      <c r="E2" s="31"/>
      <c r="F2" s="31"/>
      <c r="G2" s="31"/>
      <c r="H2" s="31"/>
      <c r="I2" s="31"/>
      <c r="J2" s="31"/>
      <c r="K2" s="31"/>
      <c r="L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row>
    <row r="3" spans="1:56" ht="13.15" customHeight="1" x14ac:dyDescent="0.25">
      <c r="A3" s="31"/>
      <c r="B3" s="31"/>
      <c r="C3" s="31"/>
      <c r="D3" s="31"/>
      <c r="E3" s="31"/>
      <c r="F3" s="31"/>
      <c r="G3" s="37"/>
      <c r="H3" s="31"/>
      <c r="I3" s="31"/>
      <c r="J3" s="31"/>
      <c r="K3" s="31"/>
      <c r="L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6" ht="55.15" customHeight="1" x14ac:dyDescent="0.25">
      <c r="A4" s="202" t="s">
        <v>791</v>
      </c>
      <c r="B4" s="202"/>
      <c r="C4" s="202"/>
      <c r="D4" s="202"/>
      <c r="E4" s="74"/>
      <c r="F4" s="74"/>
      <c r="G4" s="74"/>
      <c r="H4" s="74"/>
      <c r="I4" s="74"/>
      <c r="J4" s="31"/>
      <c r="K4" s="31"/>
      <c r="L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row>
    <row r="5" spans="1:56" ht="49.9" customHeight="1" x14ac:dyDescent="0.25">
      <c r="A5" s="205" t="s">
        <v>777</v>
      </c>
      <c r="B5" s="205"/>
      <c r="C5" s="205"/>
      <c r="D5" s="55"/>
      <c r="E5" s="31"/>
      <c r="F5" s="31"/>
      <c r="G5" s="31"/>
      <c r="H5" s="31"/>
      <c r="I5" s="31"/>
      <c r="J5" s="31"/>
      <c r="K5" s="31"/>
      <c r="L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row>
    <row r="6" spans="1:56" x14ac:dyDescent="0.25">
      <c r="A6" s="60" t="s">
        <v>745</v>
      </c>
      <c r="B6" s="60" t="s">
        <v>746</v>
      </c>
      <c r="C6" s="60" t="s">
        <v>62</v>
      </c>
      <c r="D6" s="31"/>
      <c r="E6" s="31"/>
      <c r="F6" s="31"/>
      <c r="G6" s="31"/>
      <c r="H6" s="31"/>
      <c r="I6" s="31"/>
      <c r="J6" s="31"/>
      <c r="K6" s="31"/>
      <c r="L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row>
    <row r="7" spans="1:56" x14ac:dyDescent="0.25">
      <c r="A7" s="56" t="s">
        <v>747</v>
      </c>
      <c r="B7" s="58">
        <v>48845</v>
      </c>
      <c r="C7" s="200">
        <v>678.61453577643567</v>
      </c>
      <c r="D7" s="31"/>
      <c r="E7" s="31"/>
      <c r="F7" s="31"/>
      <c r="G7" s="31"/>
      <c r="H7" s="31"/>
      <c r="I7" s="31"/>
      <c r="J7" s="31"/>
      <c r="K7" s="31"/>
      <c r="L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row>
    <row r="8" spans="1:56" x14ac:dyDescent="0.25">
      <c r="A8" s="56" t="s">
        <v>775</v>
      </c>
      <c r="B8" s="58">
        <v>784</v>
      </c>
      <c r="C8" s="200">
        <v>506.28061224489795</v>
      </c>
      <c r="D8" s="31"/>
      <c r="E8" s="31"/>
      <c r="F8" s="31"/>
      <c r="G8" s="31"/>
      <c r="H8" s="31"/>
      <c r="I8" s="31"/>
      <c r="J8" s="31"/>
      <c r="K8" s="31"/>
      <c r="L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row>
    <row r="9" spans="1:56" x14ac:dyDescent="0.25">
      <c r="A9" s="56" t="s">
        <v>774</v>
      </c>
      <c r="B9" s="58">
        <v>37860</v>
      </c>
      <c r="C9" s="200">
        <v>811.34199683042789</v>
      </c>
      <c r="D9" s="31"/>
      <c r="E9" s="31"/>
      <c r="F9" s="31"/>
      <c r="G9" s="31"/>
      <c r="H9" s="31"/>
      <c r="I9" s="31"/>
      <c r="J9" s="31"/>
      <c r="K9" s="31"/>
      <c r="L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row>
    <row r="10" spans="1:56" x14ac:dyDescent="0.25">
      <c r="A10" s="56" t="s">
        <v>776</v>
      </c>
      <c r="B10" s="58">
        <v>399</v>
      </c>
      <c r="C10" s="200">
        <v>549.85213032581453</v>
      </c>
      <c r="D10" s="55"/>
      <c r="E10" s="31"/>
      <c r="F10" s="31"/>
      <c r="G10" s="31"/>
      <c r="H10" s="31"/>
      <c r="I10" s="31"/>
      <c r="J10" s="31"/>
      <c r="K10" s="31"/>
      <c r="L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row>
    <row r="11" spans="1:56" x14ac:dyDescent="0.25">
      <c r="A11" s="57" t="s">
        <v>1</v>
      </c>
      <c r="B11" s="59">
        <v>86705</v>
      </c>
      <c r="C11" s="199">
        <v>744.97826630343184</v>
      </c>
      <c r="D11" s="31"/>
      <c r="E11" s="31"/>
      <c r="F11" s="31"/>
      <c r="G11" s="31"/>
      <c r="H11" s="31"/>
      <c r="I11" s="31"/>
      <c r="J11" s="31"/>
      <c r="K11" s="31"/>
      <c r="L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row>
    <row r="12" spans="1:56" ht="15.75" customHeight="1" x14ac:dyDescent="0.25">
      <c r="A12" s="206" t="s">
        <v>930</v>
      </c>
      <c r="B12" s="206"/>
      <c r="C12" s="206"/>
      <c r="D12" s="31"/>
      <c r="E12" s="31"/>
      <c r="F12" s="31"/>
      <c r="G12" s="31"/>
      <c r="H12" s="31"/>
      <c r="I12" s="31"/>
      <c r="J12" s="31"/>
      <c r="K12" s="31"/>
      <c r="L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row>
    <row r="13" spans="1:56" ht="15.75" customHeight="1" x14ac:dyDescent="0.25">
      <c r="A13" s="206" t="s">
        <v>929</v>
      </c>
      <c r="B13" s="206"/>
      <c r="C13" s="206"/>
      <c r="D13" s="31"/>
      <c r="E13" s="31"/>
      <c r="F13" s="31"/>
      <c r="G13" s="31"/>
      <c r="H13" s="31"/>
      <c r="I13" s="31"/>
      <c r="J13" s="31"/>
      <c r="K13" s="31"/>
      <c r="L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row>
    <row r="14" spans="1:56" ht="9.75" customHeight="1" x14ac:dyDescent="0.25">
      <c r="A14" s="201"/>
      <c r="B14" s="201"/>
      <c r="C14" s="201"/>
      <c r="D14" s="31"/>
      <c r="E14" s="31"/>
      <c r="F14" s="31"/>
      <c r="G14" s="31"/>
      <c r="H14" s="31"/>
      <c r="I14" s="31"/>
      <c r="J14" s="31"/>
      <c r="K14" s="31"/>
      <c r="L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row>
    <row r="15" spans="1:56" ht="9.75" customHeight="1" x14ac:dyDescent="0.25">
      <c r="A15" s="201"/>
      <c r="B15" s="201"/>
      <c r="C15" s="201"/>
      <c r="D15" s="31"/>
      <c r="E15" s="31"/>
      <c r="F15" s="31"/>
      <c r="G15" s="31"/>
      <c r="H15" s="31"/>
      <c r="I15" s="31"/>
      <c r="J15" s="31"/>
      <c r="K15" s="31"/>
      <c r="L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row>
    <row r="16" spans="1:56" ht="34.15" customHeight="1" thickBot="1" x14ac:dyDescent="0.3">
      <c r="A16" s="201" t="s">
        <v>928</v>
      </c>
      <c r="B16" s="201"/>
      <c r="C16" s="201"/>
      <c r="D16" s="31"/>
      <c r="E16" s="31"/>
      <c r="F16" s="31"/>
      <c r="G16" s="31"/>
      <c r="H16" s="31"/>
      <c r="I16" s="31"/>
      <c r="J16" s="31"/>
      <c r="K16" s="31"/>
      <c r="L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row>
    <row r="17" spans="1:56" ht="31.5" x14ac:dyDescent="0.25">
      <c r="A17" s="70" t="s">
        <v>789</v>
      </c>
      <c r="B17" s="71" t="s">
        <v>746</v>
      </c>
      <c r="C17" s="71" t="s">
        <v>790</v>
      </c>
      <c r="D17" s="31"/>
      <c r="E17" s="31"/>
      <c r="F17" s="31"/>
      <c r="G17" s="31"/>
      <c r="H17" s="31"/>
      <c r="I17" s="31"/>
      <c r="J17" s="31"/>
      <c r="K17" s="31"/>
      <c r="L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row>
    <row r="18" spans="1:56" x14ac:dyDescent="0.25">
      <c r="A18" s="198" t="s">
        <v>1</v>
      </c>
      <c r="B18" s="197">
        <v>86501</v>
      </c>
      <c r="C18" s="196">
        <v>748.13498109848445</v>
      </c>
      <c r="D18" s="31"/>
      <c r="E18" s="31"/>
      <c r="F18" s="31"/>
      <c r="G18" s="31"/>
      <c r="H18" s="31"/>
      <c r="I18" s="31"/>
      <c r="J18" s="31"/>
      <c r="K18" s="31"/>
      <c r="L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row>
    <row r="19" spans="1:56" x14ac:dyDescent="0.25">
      <c r="A19" s="195" t="s">
        <v>749</v>
      </c>
      <c r="B19" s="194">
        <v>3027</v>
      </c>
      <c r="C19" s="193">
        <v>792.31714568880079</v>
      </c>
      <c r="D19" s="31"/>
      <c r="E19" s="31"/>
      <c r="F19" s="31"/>
      <c r="G19" s="31"/>
      <c r="H19" s="31"/>
      <c r="I19" s="31"/>
      <c r="J19" s="31"/>
      <c r="K19" s="31"/>
      <c r="L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row>
    <row r="20" spans="1:56" x14ac:dyDescent="0.25">
      <c r="A20" s="72" t="s">
        <v>87</v>
      </c>
      <c r="B20" s="73">
        <v>754</v>
      </c>
      <c r="C20" s="192">
        <v>423.93501326259945</v>
      </c>
      <c r="D20" s="31"/>
      <c r="E20" s="31"/>
      <c r="F20" s="31"/>
      <c r="G20" s="31"/>
      <c r="H20" s="31"/>
      <c r="I20" s="31"/>
      <c r="J20" s="31"/>
      <c r="K20" s="31"/>
      <c r="L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row>
    <row r="21" spans="1:56" x14ac:dyDescent="0.25">
      <c r="A21" s="72" t="s">
        <v>748</v>
      </c>
      <c r="B21" s="73">
        <v>511</v>
      </c>
      <c r="C21" s="192">
        <v>479.03522504892368</v>
      </c>
      <c r="D21" s="31"/>
      <c r="E21" s="31"/>
      <c r="F21" s="31"/>
      <c r="G21" s="31"/>
      <c r="H21" s="31"/>
      <c r="I21" s="31"/>
      <c r="J21" s="31"/>
      <c r="K21" s="31"/>
      <c r="L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row>
    <row r="22" spans="1:56" x14ac:dyDescent="0.25">
      <c r="A22" s="72" t="s">
        <v>926</v>
      </c>
      <c r="B22" s="73">
        <v>1762</v>
      </c>
      <c r="C22" s="192">
        <v>1040.8115777525538</v>
      </c>
      <c r="D22" s="31"/>
      <c r="E22" s="31"/>
      <c r="F22" s="31"/>
      <c r="G22" s="31"/>
      <c r="H22" s="31"/>
      <c r="I22" s="31"/>
      <c r="J22" s="31"/>
      <c r="K22" s="31"/>
      <c r="L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row>
    <row r="23" spans="1:56" x14ac:dyDescent="0.25">
      <c r="A23" s="195" t="s">
        <v>750</v>
      </c>
      <c r="B23" s="194">
        <v>2772</v>
      </c>
      <c r="C23" s="193">
        <v>588.63961038961043</v>
      </c>
      <c r="D23" s="31"/>
      <c r="E23" s="31"/>
      <c r="F23" s="31"/>
      <c r="G23" s="31"/>
      <c r="H23" s="31"/>
      <c r="I23" s="31"/>
      <c r="J23" s="31"/>
      <c r="K23" s="31"/>
      <c r="L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row>
    <row r="24" spans="1:56" x14ac:dyDescent="0.25">
      <c r="A24" s="72" t="s">
        <v>87</v>
      </c>
      <c r="B24" s="73">
        <v>1773</v>
      </c>
      <c r="C24" s="192">
        <v>452.24873096446703</v>
      </c>
      <c r="D24" s="31"/>
      <c r="E24" s="31"/>
      <c r="F24" s="31"/>
      <c r="G24" s="31"/>
      <c r="H24" s="31"/>
      <c r="I24" s="31"/>
      <c r="J24" s="31"/>
      <c r="K24" s="31"/>
      <c r="L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row>
    <row r="25" spans="1:56" x14ac:dyDescent="0.25">
      <c r="A25" s="72" t="s">
        <v>748</v>
      </c>
      <c r="B25" s="73">
        <v>72</v>
      </c>
      <c r="C25" s="192">
        <v>657.13888888888891</v>
      </c>
      <c r="D25" s="31"/>
      <c r="E25" s="31"/>
      <c r="F25" s="31"/>
      <c r="G25" s="31"/>
      <c r="H25" s="31"/>
      <c r="I25" s="31"/>
      <c r="J25" s="31"/>
      <c r="K25" s="31"/>
      <c r="L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row>
    <row r="26" spans="1:56" x14ac:dyDescent="0.25">
      <c r="A26" s="72" t="s">
        <v>926</v>
      </c>
      <c r="B26" s="73">
        <v>927</v>
      </c>
      <c r="C26" s="192">
        <v>844.18338727076593</v>
      </c>
      <c r="D26" s="31"/>
      <c r="E26" s="31"/>
      <c r="F26" s="31"/>
      <c r="G26" s="31"/>
      <c r="H26" s="31"/>
      <c r="I26" s="31"/>
      <c r="J26" s="31"/>
      <c r="K26" s="31"/>
      <c r="L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row>
    <row r="27" spans="1:56" x14ac:dyDescent="0.25">
      <c r="A27" s="195" t="s">
        <v>751</v>
      </c>
      <c r="B27" s="194">
        <v>1437</v>
      </c>
      <c r="C27" s="193">
        <v>384.3208072372999</v>
      </c>
      <c r="D27" s="31"/>
      <c r="E27" s="31"/>
      <c r="F27" s="31"/>
      <c r="G27" s="31"/>
      <c r="H27" s="31"/>
      <c r="I27" s="31"/>
      <c r="J27" s="31"/>
      <c r="K27" s="31"/>
      <c r="L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row>
    <row r="28" spans="1:56" x14ac:dyDescent="0.25">
      <c r="A28" s="72" t="s">
        <v>87</v>
      </c>
      <c r="B28" s="73">
        <v>1064</v>
      </c>
      <c r="C28" s="192">
        <v>309.79793233082705</v>
      </c>
      <c r="D28" s="31"/>
      <c r="E28" s="31"/>
      <c r="F28" s="31"/>
      <c r="G28" s="31"/>
      <c r="H28" s="31"/>
      <c r="I28" s="31"/>
      <c r="J28" s="31"/>
      <c r="K28" s="31"/>
      <c r="L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row>
    <row r="29" spans="1:56" x14ac:dyDescent="0.25">
      <c r="A29" s="72" t="s">
        <v>748</v>
      </c>
      <c r="B29" s="73">
        <v>209</v>
      </c>
      <c r="C29" s="192">
        <v>521.02392344497605</v>
      </c>
      <c r="D29" s="31"/>
      <c r="E29" s="31"/>
      <c r="F29" s="31"/>
      <c r="G29" s="31"/>
      <c r="H29" s="31"/>
      <c r="I29" s="31"/>
      <c r="J29" s="31"/>
      <c r="K29" s="31"/>
      <c r="L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row>
    <row r="30" spans="1:56" x14ac:dyDescent="0.25">
      <c r="A30" s="72" t="s">
        <v>926</v>
      </c>
      <c r="B30" s="73">
        <v>164</v>
      </c>
      <c r="C30" s="192">
        <v>693.59756097560978</v>
      </c>
      <c r="D30" s="31"/>
      <c r="E30" s="31"/>
      <c r="F30" s="31"/>
      <c r="G30" s="31"/>
      <c r="H30" s="31"/>
      <c r="I30" s="31"/>
      <c r="J30" s="31"/>
      <c r="K30" s="31"/>
      <c r="L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row>
    <row r="31" spans="1:56" x14ac:dyDescent="0.25">
      <c r="A31" s="195" t="s">
        <v>752</v>
      </c>
      <c r="B31" s="194">
        <v>433</v>
      </c>
      <c r="C31" s="193">
        <v>1174.4272517321017</v>
      </c>
      <c r="D31" s="31"/>
      <c r="E31" s="31"/>
      <c r="F31" s="31"/>
      <c r="G31" s="31"/>
      <c r="H31" s="31"/>
      <c r="I31" s="31"/>
      <c r="J31" s="31"/>
      <c r="K31" s="31"/>
      <c r="L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row>
    <row r="32" spans="1:56" x14ac:dyDescent="0.25">
      <c r="A32" s="72" t="s">
        <v>87</v>
      </c>
      <c r="B32" s="73">
        <v>86</v>
      </c>
      <c r="C32" s="192">
        <v>323.24418604651163</v>
      </c>
      <c r="D32" s="31"/>
      <c r="E32" s="31"/>
      <c r="F32" s="31"/>
      <c r="G32" s="31"/>
      <c r="H32" s="31"/>
      <c r="I32" s="31"/>
      <c r="J32" s="31"/>
      <c r="K32" s="31"/>
      <c r="L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row>
    <row r="33" spans="1:56" x14ac:dyDescent="0.25">
      <c r="A33" s="72" t="s">
        <v>748</v>
      </c>
      <c r="B33" s="73">
        <v>6</v>
      </c>
      <c r="C33" s="192">
        <v>984.83333333333337</v>
      </c>
      <c r="D33" s="31"/>
      <c r="E33" s="31"/>
      <c r="F33" s="31"/>
      <c r="G33" s="31"/>
      <c r="H33" s="31"/>
      <c r="I33" s="31"/>
      <c r="J33" s="31"/>
      <c r="K33" s="31"/>
      <c r="L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row>
    <row r="34" spans="1:56" x14ac:dyDescent="0.25">
      <c r="A34" s="72" t="s">
        <v>926</v>
      </c>
      <c r="B34" s="73">
        <v>341</v>
      </c>
      <c r="C34" s="192">
        <v>1392.4310850439883</v>
      </c>
      <c r="D34" s="31"/>
      <c r="E34" s="31"/>
      <c r="F34" s="31"/>
      <c r="G34" s="31"/>
      <c r="H34" s="31"/>
      <c r="I34" s="31"/>
      <c r="J34" s="31"/>
      <c r="K34" s="31"/>
      <c r="L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row>
    <row r="35" spans="1:56" x14ac:dyDescent="0.25">
      <c r="A35" s="195" t="s">
        <v>753</v>
      </c>
      <c r="B35" s="194">
        <v>6846</v>
      </c>
      <c r="C35" s="193">
        <v>859.57610283377153</v>
      </c>
      <c r="D35" s="31"/>
      <c r="E35" s="31"/>
      <c r="F35" s="31"/>
      <c r="G35" s="31"/>
      <c r="H35" s="31"/>
      <c r="I35" s="31"/>
      <c r="J35" s="31"/>
      <c r="K35" s="31"/>
      <c r="L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row>
    <row r="36" spans="1:56" x14ac:dyDescent="0.25">
      <c r="A36" s="72" t="s">
        <v>87</v>
      </c>
      <c r="B36" s="73">
        <v>2485</v>
      </c>
      <c r="C36" s="192">
        <v>464.47927565392354</v>
      </c>
      <c r="D36" s="31"/>
      <c r="E36" s="31"/>
      <c r="F36" s="31"/>
      <c r="G36" s="31"/>
      <c r="H36" s="31"/>
      <c r="I36" s="31"/>
      <c r="J36" s="31"/>
      <c r="K36" s="31"/>
      <c r="L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row>
    <row r="37" spans="1:56" x14ac:dyDescent="0.25">
      <c r="A37" s="72" t="s">
        <v>748</v>
      </c>
      <c r="B37" s="73">
        <v>1496</v>
      </c>
      <c r="C37" s="192">
        <v>782.23462566844921</v>
      </c>
      <c r="D37" s="31"/>
      <c r="E37" s="31"/>
      <c r="F37" s="31"/>
      <c r="G37" s="31"/>
      <c r="H37" s="31"/>
      <c r="I37" s="31"/>
      <c r="J37" s="31"/>
      <c r="K37" s="31"/>
      <c r="L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row>
    <row r="38" spans="1:56" x14ac:dyDescent="0.25">
      <c r="A38" s="72" t="s">
        <v>926</v>
      </c>
      <c r="B38" s="73">
        <v>2865</v>
      </c>
      <c r="C38" s="192">
        <v>1242.6541012216405</v>
      </c>
      <c r="D38" s="31"/>
      <c r="E38" s="31"/>
      <c r="F38" s="31"/>
      <c r="G38" s="31"/>
      <c r="H38" s="31"/>
      <c r="I38" s="31"/>
      <c r="J38" s="31"/>
      <c r="K38" s="31"/>
      <c r="L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row>
    <row r="39" spans="1:56" x14ac:dyDescent="0.25">
      <c r="A39" s="195" t="s">
        <v>754</v>
      </c>
      <c r="B39" s="194">
        <v>973</v>
      </c>
      <c r="C39" s="193">
        <v>595.24357656731752</v>
      </c>
      <c r="D39" s="31"/>
      <c r="E39" s="31"/>
      <c r="F39" s="31"/>
      <c r="G39" s="31"/>
      <c r="H39" s="31"/>
      <c r="I39" s="31"/>
      <c r="J39" s="31"/>
      <c r="K39" s="31"/>
      <c r="L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row>
    <row r="40" spans="1:56" x14ac:dyDescent="0.25">
      <c r="A40" s="72" t="s">
        <v>87</v>
      </c>
      <c r="B40" s="73">
        <v>640</v>
      </c>
      <c r="C40" s="192">
        <v>442.04062499999998</v>
      </c>
      <c r="D40" s="31"/>
      <c r="E40" s="31"/>
      <c r="F40" s="31"/>
      <c r="G40" s="31"/>
      <c r="H40" s="31"/>
      <c r="I40" s="31"/>
      <c r="J40" s="31"/>
      <c r="K40" s="31"/>
      <c r="L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row>
    <row r="41" spans="1:56" x14ac:dyDescent="0.25">
      <c r="A41" s="72" t="s">
        <v>748</v>
      </c>
      <c r="B41" s="73">
        <v>146</v>
      </c>
      <c r="C41" s="192">
        <v>687.43835616438355</v>
      </c>
      <c r="D41" s="31"/>
      <c r="E41" s="31"/>
      <c r="F41" s="31"/>
      <c r="G41" s="31"/>
      <c r="H41" s="31"/>
      <c r="I41" s="31"/>
      <c r="J41" s="31"/>
      <c r="K41" s="31"/>
      <c r="L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row>
    <row r="42" spans="1:56" x14ac:dyDescent="0.25">
      <c r="A42" s="72" t="s">
        <v>926</v>
      </c>
      <c r="B42" s="73">
        <v>187</v>
      </c>
      <c r="C42" s="192">
        <v>1047.5935828877004</v>
      </c>
      <c r="D42" s="31"/>
      <c r="E42" s="31"/>
      <c r="F42" s="31"/>
      <c r="G42" s="31"/>
      <c r="H42" s="31"/>
      <c r="I42" s="31"/>
      <c r="J42" s="31"/>
      <c r="K42" s="31"/>
      <c r="L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row>
    <row r="43" spans="1:56" x14ac:dyDescent="0.25">
      <c r="A43" s="195" t="s">
        <v>755</v>
      </c>
      <c r="B43" s="194">
        <v>1451</v>
      </c>
      <c r="C43" s="193">
        <v>1262.2708476912474</v>
      </c>
      <c r="D43" s="31"/>
      <c r="E43" s="31"/>
      <c r="F43" s="31"/>
      <c r="G43" s="31"/>
      <c r="H43" s="31"/>
      <c r="I43" s="31"/>
      <c r="J43" s="31"/>
      <c r="K43" s="31"/>
      <c r="L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row>
    <row r="44" spans="1:56" x14ac:dyDescent="0.25">
      <c r="A44" s="72" t="s">
        <v>87</v>
      </c>
      <c r="B44" s="73">
        <v>205</v>
      </c>
      <c r="C44" s="192">
        <v>418.34146341463412</v>
      </c>
      <c r="D44" s="31"/>
      <c r="E44" s="31"/>
      <c r="F44" s="31"/>
      <c r="G44" s="31"/>
      <c r="H44" s="31"/>
      <c r="I44" s="31"/>
      <c r="J44" s="31"/>
      <c r="K44" s="31"/>
      <c r="L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row>
    <row r="45" spans="1:56" x14ac:dyDescent="0.25">
      <c r="A45" s="72" t="s">
        <v>748</v>
      </c>
      <c r="B45" s="73">
        <v>337</v>
      </c>
      <c r="C45" s="192">
        <v>824.27002967359056</v>
      </c>
      <c r="D45" s="31"/>
      <c r="E45" s="31"/>
      <c r="F45" s="31"/>
      <c r="G45" s="31"/>
      <c r="H45" s="31"/>
      <c r="I45" s="31"/>
      <c r="J45" s="31"/>
      <c r="K45" s="31"/>
      <c r="L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row>
    <row r="46" spans="1:56" x14ac:dyDescent="0.25">
      <c r="A46" s="72" t="s">
        <v>926</v>
      </c>
      <c r="B46" s="73">
        <v>909</v>
      </c>
      <c r="C46" s="192">
        <v>1614.9790979097909</v>
      </c>
      <c r="D46" s="31"/>
      <c r="E46" s="31"/>
      <c r="F46" s="31"/>
      <c r="G46" s="31"/>
      <c r="H46" s="31"/>
      <c r="I46" s="31"/>
      <c r="J46" s="31"/>
      <c r="K46" s="31"/>
      <c r="L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row>
    <row r="47" spans="1:56" x14ac:dyDescent="0.25">
      <c r="A47" s="195" t="s">
        <v>756</v>
      </c>
      <c r="B47" s="194">
        <v>7852</v>
      </c>
      <c r="C47" s="193">
        <v>795.34755476311773</v>
      </c>
      <c r="D47" s="31"/>
      <c r="E47" s="31"/>
      <c r="F47" s="31"/>
      <c r="G47" s="31"/>
      <c r="H47" s="31"/>
      <c r="I47" s="31"/>
      <c r="J47" s="31"/>
      <c r="K47" s="31"/>
      <c r="L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row>
    <row r="48" spans="1:56" x14ac:dyDescent="0.25">
      <c r="A48" s="72" t="s">
        <v>87</v>
      </c>
      <c r="B48" s="73">
        <v>552</v>
      </c>
      <c r="C48" s="192">
        <v>425.26630434782606</v>
      </c>
      <c r="D48" s="31"/>
      <c r="E48" s="31"/>
      <c r="F48" s="31"/>
      <c r="G48" s="31"/>
      <c r="H48" s="31"/>
      <c r="I48" s="31"/>
      <c r="J48" s="31"/>
      <c r="K48" s="31"/>
      <c r="L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row>
    <row r="49" spans="1:56" x14ac:dyDescent="0.25">
      <c r="A49" s="72" t="s">
        <v>748</v>
      </c>
      <c r="B49" s="73">
        <v>4322</v>
      </c>
      <c r="C49" s="192">
        <v>572.23114298935673</v>
      </c>
      <c r="D49" s="31"/>
      <c r="E49" s="31"/>
      <c r="F49" s="31"/>
      <c r="G49" s="31"/>
      <c r="H49" s="31"/>
      <c r="I49" s="31"/>
      <c r="J49" s="31"/>
      <c r="K49" s="31"/>
      <c r="L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row>
    <row r="50" spans="1:56" x14ac:dyDescent="0.25">
      <c r="A50" s="72" t="s">
        <v>926</v>
      </c>
      <c r="B50" s="73">
        <v>2978</v>
      </c>
      <c r="C50" s="192">
        <v>1187.7565480188046</v>
      </c>
      <c r="D50" s="31"/>
      <c r="E50" s="31"/>
      <c r="F50" s="31"/>
      <c r="G50" s="31"/>
      <c r="H50" s="31"/>
      <c r="I50" s="31"/>
      <c r="J50" s="31"/>
      <c r="K50" s="31"/>
      <c r="L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row>
    <row r="51" spans="1:56" x14ac:dyDescent="0.25">
      <c r="A51" s="195" t="s">
        <v>757</v>
      </c>
      <c r="B51" s="194">
        <v>907</v>
      </c>
      <c r="C51" s="193">
        <v>856.9151047409041</v>
      </c>
      <c r="D51" s="31"/>
      <c r="E51" s="31"/>
      <c r="F51" s="31"/>
      <c r="G51" s="31"/>
      <c r="H51" s="31"/>
      <c r="I51" s="31"/>
      <c r="J51" s="31"/>
      <c r="K51" s="31"/>
      <c r="L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row>
    <row r="52" spans="1:56" x14ac:dyDescent="0.25">
      <c r="A52" s="72" t="s">
        <v>87</v>
      </c>
      <c r="B52" s="73">
        <v>156</v>
      </c>
      <c r="C52" s="192">
        <v>154.11538461538461</v>
      </c>
      <c r="D52" s="31"/>
      <c r="E52" s="31"/>
      <c r="F52" s="31"/>
      <c r="G52" s="31"/>
      <c r="H52" s="31"/>
      <c r="I52" s="31"/>
      <c r="J52" s="31"/>
      <c r="K52" s="31"/>
      <c r="L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row>
    <row r="53" spans="1:56" x14ac:dyDescent="0.25">
      <c r="A53" s="72" t="s">
        <v>748</v>
      </c>
      <c r="B53" s="73">
        <v>112</v>
      </c>
      <c r="C53" s="192">
        <v>751.9375</v>
      </c>
      <c r="D53" s="31"/>
      <c r="E53" s="31"/>
      <c r="F53" s="31"/>
      <c r="G53" s="31"/>
      <c r="H53" s="31"/>
      <c r="I53" s="31"/>
      <c r="J53" s="31"/>
      <c r="K53" s="31"/>
      <c r="L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row>
    <row r="54" spans="1:56" x14ac:dyDescent="0.25">
      <c r="A54" s="72" t="s">
        <v>926</v>
      </c>
      <c r="B54" s="73">
        <v>639</v>
      </c>
      <c r="C54" s="192">
        <v>1046.8904538341158</v>
      </c>
      <c r="D54" s="31"/>
      <c r="E54" s="31"/>
      <c r="F54" s="31"/>
      <c r="G54" s="31"/>
      <c r="H54" s="31"/>
      <c r="I54" s="31"/>
      <c r="J54" s="31"/>
      <c r="K54" s="31"/>
      <c r="L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row>
    <row r="55" spans="1:56" x14ac:dyDescent="0.25">
      <c r="A55" s="195" t="s">
        <v>758</v>
      </c>
      <c r="B55" s="194">
        <v>2237</v>
      </c>
      <c r="C55" s="193">
        <v>666.95574430040233</v>
      </c>
      <c r="D55" s="31"/>
      <c r="E55" s="31"/>
      <c r="F55" s="31"/>
      <c r="G55" s="31"/>
      <c r="H55" s="31"/>
      <c r="I55" s="31"/>
      <c r="J55" s="31"/>
      <c r="K55" s="31"/>
      <c r="L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row>
    <row r="56" spans="1:56" x14ac:dyDescent="0.25">
      <c r="A56" s="72" t="s">
        <v>87</v>
      </c>
      <c r="B56" s="73">
        <v>1545</v>
      </c>
      <c r="C56" s="192">
        <v>503.22977346278316</v>
      </c>
      <c r="D56" s="31"/>
      <c r="E56" s="31"/>
      <c r="F56" s="31"/>
      <c r="G56" s="31"/>
      <c r="H56" s="31"/>
      <c r="I56" s="31"/>
      <c r="J56" s="31"/>
      <c r="K56" s="31"/>
      <c r="L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row>
    <row r="57" spans="1:56" x14ac:dyDescent="0.25">
      <c r="A57" s="72" t="s">
        <v>748</v>
      </c>
      <c r="B57" s="73">
        <v>418</v>
      </c>
      <c r="C57" s="192">
        <v>772.86124401913878</v>
      </c>
      <c r="D57" s="31"/>
      <c r="E57" s="31"/>
      <c r="F57" s="31"/>
      <c r="G57" s="31"/>
      <c r="H57" s="31"/>
      <c r="I57" s="31"/>
      <c r="J57" s="31"/>
      <c r="K57" s="31"/>
      <c r="L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row>
    <row r="58" spans="1:56" x14ac:dyDescent="0.25">
      <c r="A58" s="72" t="s">
        <v>926</v>
      </c>
      <c r="B58" s="73">
        <v>274</v>
      </c>
      <c r="C58" s="192">
        <v>1428.5912408759125</v>
      </c>
      <c r="D58" s="31"/>
      <c r="E58" s="31"/>
      <c r="F58" s="31"/>
      <c r="G58" s="31"/>
      <c r="H58" s="31"/>
      <c r="I58" s="31"/>
      <c r="J58" s="31"/>
      <c r="K58" s="31"/>
      <c r="L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row>
    <row r="59" spans="1:56" x14ac:dyDescent="0.25">
      <c r="A59" s="195" t="s">
        <v>759</v>
      </c>
      <c r="B59" s="194">
        <v>10199</v>
      </c>
      <c r="C59" s="193">
        <v>796.86057456613389</v>
      </c>
      <c r="D59" s="31"/>
      <c r="E59" s="31"/>
      <c r="F59" s="31"/>
      <c r="G59" s="31"/>
      <c r="H59" s="31"/>
      <c r="I59" s="31"/>
      <c r="J59" s="31"/>
      <c r="K59" s="31"/>
      <c r="L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row>
    <row r="60" spans="1:56" x14ac:dyDescent="0.25">
      <c r="A60" s="72" t="s">
        <v>87</v>
      </c>
      <c r="B60" s="73">
        <v>3534</v>
      </c>
      <c r="C60" s="192">
        <v>491.61686474250143</v>
      </c>
      <c r="D60" s="31"/>
      <c r="E60" s="31"/>
      <c r="F60" s="31"/>
      <c r="G60" s="31"/>
      <c r="H60" s="31"/>
      <c r="I60" s="31"/>
      <c r="J60" s="31"/>
      <c r="K60" s="31"/>
      <c r="L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row>
    <row r="61" spans="1:56" x14ac:dyDescent="0.25">
      <c r="A61" s="72" t="s">
        <v>748</v>
      </c>
      <c r="B61" s="73">
        <v>750</v>
      </c>
      <c r="C61" s="192">
        <v>811.03733333333332</v>
      </c>
      <c r="D61" s="31"/>
      <c r="E61" s="31"/>
      <c r="F61" s="31"/>
      <c r="G61" s="31"/>
      <c r="H61" s="31"/>
      <c r="I61" s="31"/>
      <c r="J61" s="31"/>
      <c r="K61" s="31"/>
      <c r="L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row>
    <row r="62" spans="1:56" x14ac:dyDescent="0.25">
      <c r="A62" s="72" t="s">
        <v>926</v>
      </c>
      <c r="B62" s="73">
        <v>5915</v>
      </c>
      <c r="C62" s="192">
        <v>977.43516483516487</v>
      </c>
      <c r="D62" s="31"/>
      <c r="E62" s="31"/>
      <c r="F62" s="31"/>
      <c r="G62" s="31"/>
      <c r="H62" s="31"/>
      <c r="I62" s="31"/>
      <c r="J62" s="31"/>
      <c r="K62" s="31"/>
      <c r="L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row>
    <row r="63" spans="1:56" x14ac:dyDescent="0.25">
      <c r="A63" s="195" t="s">
        <v>760</v>
      </c>
      <c r="B63" s="194">
        <v>5108</v>
      </c>
      <c r="C63" s="193">
        <v>323.84083790133127</v>
      </c>
      <c r="D63" s="31"/>
      <c r="E63" s="31"/>
      <c r="F63" s="31"/>
      <c r="G63" s="31"/>
      <c r="H63" s="31"/>
      <c r="I63" s="31"/>
      <c r="J63" s="31"/>
      <c r="K63" s="31"/>
      <c r="L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row>
    <row r="64" spans="1:56" x14ac:dyDescent="0.25">
      <c r="A64" s="72" t="s">
        <v>87</v>
      </c>
      <c r="B64" s="73">
        <v>3846</v>
      </c>
      <c r="C64" s="192">
        <v>296.39521580863237</v>
      </c>
      <c r="D64" s="31"/>
      <c r="E64" s="31"/>
      <c r="F64" s="31"/>
      <c r="G64" s="31"/>
      <c r="H64" s="31"/>
      <c r="I64" s="31"/>
      <c r="J64" s="31"/>
      <c r="K64" s="31"/>
      <c r="L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row>
    <row r="65" spans="1:56" x14ac:dyDescent="0.25">
      <c r="A65" s="72" t="s">
        <v>748</v>
      </c>
      <c r="B65" s="73">
        <v>995</v>
      </c>
      <c r="C65" s="192">
        <v>394.73165829145728</v>
      </c>
      <c r="D65" s="31"/>
      <c r="E65" s="31"/>
      <c r="F65" s="31"/>
      <c r="G65" s="31"/>
      <c r="H65" s="31"/>
      <c r="I65" s="31"/>
      <c r="J65" s="31"/>
      <c r="K65" s="31"/>
      <c r="L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row>
    <row r="66" spans="1:56" x14ac:dyDescent="0.25">
      <c r="A66" s="72" t="s">
        <v>926</v>
      </c>
      <c r="B66" s="73">
        <v>267</v>
      </c>
      <c r="C66" s="192">
        <v>455</v>
      </c>
      <c r="D66" s="31"/>
      <c r="E66" s="31"/>
      <c r="F66" s="31"/>
      <c r="G66" s="31"/>
      <c r="H66" s="31"/>
      <c r="I66" s="31"/>
      <c r="J66" s="31"/>
      <c r="K66" s="31"/>
      <c r="L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row>
    <row r="67" spans="1:56" x14ac:dyDescent="0.25">
      <c r="A67" s="195" t="s">
        <v>761</v>
      </c>
      <c r="B67" s="194">
        <v>2746</v>
      </c>
      <c r="C67" s="193">
        <v>586.47341587764015</v>
      </c>
      <c r="D67" s="31"/>
      <c r="E67" s="31"/>
      <c r="F67" s="31"/>
      <c r="G67" s="31"/>
      <c r="H67" s="31"/>
      <c r="I67" s="31"/>
      <c r="J67" s="31"/>
      <c r="K67" s="31"/>
      <c r="L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row>
    <row r="68" spans="1:56" x14ac:dyDescent="0.25">
      <c r="A68" s="72" t="s">
        <v>87</v>
      </c>
      <c r="B68" s="73">
        <v>1629</v>
      </c>
      <c r="C68" s="192">
        <v>451.76979742173114</v>
      </c>
      <c r="D68" s="31"/>
      <c r="E68" s="31"/>
      <c r="F68" s="31"/>
      <c r="G68" s="31"/>
      <c r="H68" s="31"/>
      <c r="I68" s="31"/>
      <c r="J68" s="31"/>
      <c r="K68" s="31"/>
      <c r="L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row>
    <row r="69" spans="1:56" x14ac:dyDescent="0.25">
      <c r="A69" s="72" t="s">
        <v>748</v>
      </c>
      <c r="B69" s="73">
        <v>776</v>
      </c>
      <c r="C69" s="192">
        <v>700.24613402061857</v>
      </c>
      <c r="D69" s="31"/>
      <c r="E69" s="31"/>
      <c r="F69" s="31"/>
      <c r="G69" s="31"/>
      <c r="H69" s="31"/>
      <c r="I69" s="31"/>
      <c r="J69" s="31"/>
      <c r="K69" s="31"/>
      <c r="L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row>
    <row r="70" spans="1:56" x14ac:dyDescent="0.25">
      <c r="A70" s="72" t="s">
        <v>926</v>
      </c>
      <c r="B70" s="73">
        <v>341</v>
      </c>
      <c r="C70" s="192">
        <v>971.06158357771255</v>
      </c>
      <c r="D70" s="31"/>
      <c r="E70" s="31"/>
      <c r="F70" s="31"/>
      <c r="G70" s="31"/>
      <c r="H70" s="31"/>
      <c r="I70" s="31"/>
      <c r="J70" s="31"/>
      <c r="K70" s="31"/>
      <c r="L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row>
    <row r="71" spans="1:56" x14ac:dyDescent="0.25">
      <c r="A71" s="195" t="s">
        <v>762</v>
      </c>
      <c r="B71" s="194">
        <v>3874</v>
      </c>
      <c r="C71" s="193">
        <v>594.93572534847704</v>
      </c>
      <c r="D71" s="31"/>
      <c r="E71" s="31"/>
      <c r="F71" s="31"/>
      <c r="G71" s="31"/>
      <c r="H71" s="31"/>
      <c r="I71" s="31"/>
      <c r="J71" s="31"/>
      <c r="K71" s="31"/>
      <c r="L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row>
    <row r="72" spans="1:56" x14ac:dyDescent="0.25">
      <c r="A72" s="72" t="s">
        <v>87</v>
      </c>
      <c r="B72" s="73">
        <v>1978</v>
      </c>
      <c r="C72" s="192">
        <v>363.83670374115269</v>
      </c>
      <c r="D72" s="31"/>
      <c r="E72" s="31"/>
      <c r="F72" s="31"/>
      <c r="G72" s="31"/>
      <c r="H72" s="31"/>
      <c r="I72" s="31"/>
      <c r="J72" s="31"/>
      <c r="K72" s="31"/>
      <c r="L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row>
    <row r="73" spans="1:56" x14ac:dyDescent="0.25">
      <c r="A73" s="72" t="s">
        <v>748</v>
      </c>
      <c r="B73" s="73">
        <v>87</v>
      </c>
      <c r="C73" s="192">
        <v>588.919540229885</v>
      </c>
      <c r="D73" s="31"/>
      <c r="E73" s="31"/>
      <c r="F73" s="31"/>
      <c r="G73" s="31"/>
      <c r="H73" s="31"/>
      <c r="I73" s="31"/>
      <c r="J73" s="31"/>
      <c r="K73" s="31"/>
      <c r="L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row>
    <row r="74" spans="1:56" x14ac:dyDescent="0.25">
      <c r="A74" s="72" t="s">
        <v>926</v>
      </c>
      <c r="B74" s="73">
        <v>1809</v>
      </c>
      <c r="C74" s="192">
        <v>847.9137645107794</v>
      </c>
      <c r="D74" s="31"/>
      <c r="E74" s="31"/>
      <c r="F74" s="31"/>
      <c r="G74" s="31"/>
      <c r="H74" s="31"/>
      <c r="I74" s="31"/>
      <c r="J74" s="31"/>
      <c r="K74" s="31"/>
      <c r="L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row>
    <row r="75" spans="1:56" x14ac:dyDescent="0.25">
      <c r="A75" s="195" t="s">
        <v>763</v>
      </c>
      <c r="B75" s="194">
        <v>7175</v>
      </c>
      <c r="C75" s="193">
        <v>857.62062717770038</v>
      </c>
      <c r="D75" s="31"/>
      <c r="E75" s="31"/>
      <c r="F75" s="31"/>
      <c r="G75" s="31"/>
      <c r="H75" s="31"/>
      <c r="I75" s="31"/>
      <c r="J75" s="31"/>
      <c r="K75" s="31"/>
      <c r="L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row>
    <row r="76" spans="1:56" x14ac:dyDescent="0.25">
      <c r="A76" s="72" t="s">
        <v>87</v>
      </c>
      <c r="B76" s="73">
        <v>1065</v>
      </c>
      <c r="C76" s="192">
        <v>356.43661971830988</v>
      </c>
      <c r="D76" s="31"/>
      <c r="E76" s="31"/>
      <c r="F76" s="31"/>
      <c r="G76" s="31"/>
      <c r="H76" s="31"/>
      <c r="I76" s="31"/>
      <c r="J76" s="31"/>
      <c r="K76" s="31"/>
      <c r="L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row>
    <row r="77" spans="1:56" x14ac:dyDescent="0.25">
      <c r="A77" s="72" t="s">
        <v>748</v>
      </c>
      <c r="B77" s="73">
        <v>3797</v>
      </c>
      <c r="C77" s="192">
        <v>697.59178298656832</v>
      </c>
      <c r="D77" s="31"/>
      <c r="E77" s="31"/>
      <c r="F77" s="31"/>
      <c r="G77" s="31"/>
      <c r="H77" s="31"/>
      <c r="I77" s="31"/>
      <c r="J77" s="31"/>
      <c r="K77" s="31"/>
      <c r="L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row>
    <row r="78" spans="1:56" x14ac:dyDescent="0.25">
      <c r="A78" s="72" t="s">
        <v>926</v>
      </c>
      <c r="B78" s="73">
        <v>2313</v>
      </c>
      <c r="C78" s="192">
        <v>1351.0881971465628</v>
      </c>
      <c r="D78" s="31"/>
      <c r="E78" s="31"/>
      <c r="F78" s="31"/>
      <c r="G78" s="31"/>
      <c r="H78" s="31"/>
      <c r="I78" s="31"/>
      <c r="J78" s="31"/>
      <c r="K78" s="31"/>
      <c r="L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row>
    <row r="79" spans="1:56" x14ac:dyDescent="0.25">
      <c r="A79" s="195" t="s">
        <v>764</v>
      </c>
      <c r="B79" s="194">
        <v>2017</v>
      </c>
      <c r="C79" s="193">
        <v>540.8780366881507</v>
      </c>
      <c r="D79" s="31"/>
      <c r="E79" s="31"/>
      <c r="F79" s="31"/>
      <c r="G79" s="31"/>
      <c r="H79" s="31"/>
      <c r="I79" s="31"/>
      <c r="J79" s="31"/>
      <c r="K79" s="31"/>
      <c r="L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row>
    <row r="80" spans="1:56" x14ac:dyDescent="0.25">
      <c r="A80" s="72" t="s">
        <v>87</v>
      </c>
      <c r="B80" s="73">
        <v>383</v>
      </c>
      <c r="C80" s="192">
        <v>335.10966057441254</v>
      </c>
      <c r="D80" s="31"/>
      <c r="E80" s="31"/>
      <c r="F80" s="31"/>
      <c r="G80" s="31"/>
      <c r="H80" s="31"/>
      <c r="I80" s="31"/>
      <c r="J80" s="31"/>
      <c r="K80" s="31"/>
      <c r="L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row>
    <row r="81" spans="1:56" x14ac:dyDescent="0.25">
      <c r="A81" s="72" t="s">
        <v>748</v>
      </c>
      <c r="B81" s="73">
        <v>1195</v>
      </c>
      <c r="C81" s="192">
        <v>554.46527196652721</v>
      </c>
      <c r="D81" s="31"/>
      <c r="E81" s="31"/>
      <c r="F81" s="31"/>
      <c r="G81" s="31"/>
      <c r="H81" s="31"/>
      <c r="I81" s="31"/>
      <c r="J81" s="31"/>
      <c r="K81" s="31"/>
      <c r="L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row>
    <row r="82" spans="1:56" x14ac:dyDescent="0.25">
      <c r="A82" s="72" t="s">
        <v>926</v>
      </c>
      <c r="B82" s="73">
        <v>439</v>
      </c>
      <c r="C82" s="192">
        <v>683.41230068337131</v>
      </c>
      <c r="D82" s="31"/>
      <c r="E82" s="31"/>
      <c r="F82" s="31"/>
      <c r="G82" s="31"/>
      <c r="H82" s="31"/>
      <c r="I82" s="31"/>
      <c r="J82" s="31"/>
      <c r="K82" s="31"/>
      <c r="L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row>
    <row r="83" spans="1:56" x14ac:dyDescent="0.25">
      <c r="A83" s="195" t="s">
        <v>765</v>
      </c>
      <c r="B83" s="194">
        <v>643</v>
      </c>
      <c r="C83" s="193">
        <v>407.84292379471231</v>
      </c>
      <c r="D83" s="31"/>
      <c r="E83" s="31"/>
      <c r="F83" s="31"/>
      <c r="G83" s="31"/>
      <c r="H83" s="31"/>
      <c r="I83" s="31"/>
      <c r="J83" s="31"/>
      <c r="K83" s="31"/>
      <c r="L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row>
    <row r="84" spans="1:56" x14ac:dyDescent="0.25">
      <c r="A84" s="72" t="s">
        <v>87</v>
      </c>
      <c r="B84" s="73">
        <v>374</v>
      </c>
      <c r="C84" s="192">
        <v>309.58288770053474</v>
      </c>
      <c r="D84" s="31"/>
      <c r="E84" s="31"/>
      <c r="F84" s="31"/>
      <c r="G84" s="31"/>
      <c r="H84" s="31"/>
      <c r="I84" s="31"/>
      <c r="J84" s="31"/>
      <c r="K84" s="31"/>
      <c r="L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row>
    <row r="85" spans="1:56" x14ac:dyDescent="0.25">
      <c r="A85" s="72" t="s">
        <v>748</v>
      </c>
      <c r="B85" s="73">
        <v>180</v>
      </c>
      <c r="C85" s="192">
        <v>503.1611111111111</v>
      </c>
      <c r="D85" s="31"/>
      <c r="E85" s="31"/>
      <c r="F85" s="31"/>
      <c r="G85" s="31"/>
      <c r="H85" s="31"/>
      <c r="I85" s="31"/>
      <c r="J85" s="31"/>
      <c r="K85" s="31"/>
      <c r="L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row>
    <row r="86" spans="1:56" x14ac:dyDescent="0.25">
      <c r="A86" s="72" t="s">
        <v>926</v>
      </c>
      <c r="B86" s="73">
        <v>89</v>
      </c>
      <c r="C86" s="192">
        <v>627.97752808988764</v>
      </c>
      <c r="D86" s="31"/>
      <c r="E86" s="31"/>
      <c r="F86" s="31"/>
      <c r="G86" s="31"/>
      <c r="H86" s="31"/>
      <c r="I86" s="31"/>
      <c r="J86" s="31"/>
      <c r="K86" s="31"/>
      <c r="L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row>
    <row r="87" spans="1:56" x14ac:dyDescent="0.25">
      <c r="A87" s="195" t="s">
        <v>766</v>
      </c>
      <c r="B87" s="194">
        <v>3011</v>
      </c>
      <c r="C87" s="193">
        <v>837.59581534373967</v>
      </c>
      <c r="D87" s="31"/>
      <c r="E87" s="31"/>
      <c r="F87" s="31"/>
      <c r="G87" s="31"/>
      <c r="H87" s="31"/>
      <c r="I87" s="31"/>
      <c r="J87" s="31"/>
      <c r="K87" s="31"/>
      <c r="L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row>
    <row r="88" spans="1:56" x14ac:dyDescent="0.25">
      <c r="A88" s="72" t="s">
        <v>87</v>
      </c>
      <c r="B88" s="73">
        <v>303</v>
      </c>
      <c r="C88" s="192">
        <v>410.2772277227723</v>
      </c>
      <c r="D88" s="31"/>
      <c r="E88" s="31"/>
      <c r="F88" s="31"/>
      <c r="G88" s="31"/>
      <c r="H88" s="31"/>
      <c r="I88" s="31"/>
      <c r="J88" s="31"/>
      <c r="K88" s="31"/>
      <c r="L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row>
    <row r="89" spans="1:56" x14ac:dyDescent="0.25">
      <c r="A89" s="72" t="s">
        <v>748</v>
      </c>
      <c r="B89" s="73">
        <v>1954</v>
      </c>
      <c r="C89" s="192">
        <v>789.05680655066533</v>
      </c>
      <c r="D89" s="31"/>
      <c r="E89" s="31"/>
      <c r="F89" s="31"/>
      <c r="G89" s="31"/>
      <c r="H89" s="31"/>
      <c r="I89" s="31"/>
      <c r="J89" s="31"/>
      <c r="K89" s="31"/>
      <c r="L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row>
    <row r="90" spans="1:56" x14ac:dyDescent="0.25">
      <c r="A90" s="72" t="s">
        <v>926</v>
      </c>
      <c r="B90" s="73">
        <v>754</v>
      </c>
      <c r="C90" s="192">
        <v>1135.106100795756</v>
      </c>
      <c r="D90" s="31"/>
      <c r="E90" s="31"/>
      <c r="F90" s="31"/>
      <c r="G90" s="31"/>
      <c r="H90" s="31"/>
      <c r="I90" s="31"/>
      <c r="J90" s="31"/>
      <c r="K90" s="31"/>
      <c r="L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row>
    <row r="91" spans="1:56" x14ac:dyDescent="0.25">
      <c r="A91" s="195" t="s">
        <v>767</v>
      </c>
      <c r="B91" s="194">
        <v>1272</v>
      </c>
      <c r="C91" s="193">
        <v>529.26965408805029</v>
      </c>
      <c r="D91" s="31"/>
      <c r="E91" s="31"/>
      <c r="F91" s="31"/>
      <c r="G91" s="31"/>
      <c r="H91" s="31"/>
      <c r="I91" s="31"/>
      <c r="J91" s="31"/>
      <c r="K91" s="31"/>
      <c r="L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row>
    <row r="92" spans="1:56" x14ac:dyDescent="0.25">
      <c r="A92" s="72" t="s">
        <v>87</v>
      </c>
      <c r="B92" s="73">
        <v>590</v>
      </c>
      <c r="C92" s="192">
        <v>294.05762711864406</v>
      </c>
      <c r="D92" s="31"/>
      <c r="E92" s="31"/>
      <c r="F92" s="31"/>
      <c r="G92" s="31"/>
      <c r="H92" s="31"/>
      <c r="I92" s="31"/>
      <c r="J92" s="31"/>
      <c r="K92" s="31"/>
      <c r="L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row>
    <row r="93" spans="1:56" x14ac:dyDescent="0.25">
      <c r="A93" s="72" t="s">
        <v>748</v>
      </c>
      <c r="B93" s="73">
        <v>221</v>
      </c>
      <c r="C93" s="192">
        <v>679.1447963800905</v>
      </c>
      <c r="D93" s="31"/>
      <c r="E93" s="31"/>
      <c r="F93" s="31"/>
      <c r="G93" s="31"/>
      <c r="H93" s="31"/>
      <c r="I93" s="31"/>
      <c r="J93" s="31"/>
      <c r="K93" s="31"/>
      <c r="L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row>
    <row r="94" spans="1:56" x14ac:dyDescent="0.25">
      <c r="A94" s="72" t="s">
        <v>926</v>
      </c>
      <c r="B94" s="73">
        <v>461</v>
      </c>
      <c r="C94" s="192">
        <v>758.45119305856838</v>
      </c>
      <c r="D94" s="31"/>
      <c r="E94" s="31"/>
      <c r="F94" s="31"/>
      <c r="G94" s="31"/>
      <c r="H94" s="31"/>
      <c r="I94" s="31"/>
      <c r="J94" s="31"/>
      <c r="K94" s="31"/>
      <c r="L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row>
    <row r="95" spans="1:56" x14ac:dyDescent="0.25">
      <c r="A95" s="195" t="s">
        <v>768</v>
      </c>
      <c r="B95" s="194">
        <v>2520</v>
      </c>
      <c r="C95" s="193">
        <v>836.13174603174605</v>
      </c>
      <c r="D95" s="31"/>
      <c r="E95" s="31"/>
      <c r="F95" s="31"/>
      <c r="G95" s="31"/>
      <c r="H95" s="31"/>
      <c r="I95" s="31"/>
      <c r="J95" s="31"/>
      <c r="K95" s="31"/>
      <c r="L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row>
    <row r="96" spans="1:56" x14ac:dyDescent="0.25">
      <c r="A96" s="72" t="s">
        <v>87</v>
      </c>
      <c r="B96" s="73">
        <v>748</v>
      </c>
      <c r="C96" s="192">
        <v>523.07620320855619</v>
      </c>
      <c r="D96" s="31"/>
      <c r="E96" s="31"/>
      <c r="F96" s="31"/>
      <c r="G96" s="31"/>
      <c r="H96" s="31"/>
      <c r="I96" s="31"/>
      <c r="J96" s="31"/>
      <c r="K96" s="31"/>
      <c r="L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row>
    <row r="97" spans="1:56" x14ac:dyDescent="0.25">
      <c r="A97" s="72" t="s">
        <v>748</v>
      </c>
      <c r="B97" s="73">
        <v>833</v>
      </c>
      <c r="C97" s="192">
        <v>769.11764705882354</v>
      </c>
      <c r="D97" s="31"/>
      <c r="E97" s="31"/>
      <c r="F97" s="31"/>
      <c r="G97" s="31"/>
      <c r="H97" s="31"/>
      <c r="I97" s="31"/>
      <c r="J97" s="31"/>
      <c r="K97" s="31"/>
      <c r="L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row>
    <row r="98" spans="1:56" x14ac:dyDescent="0.25">
      <c r="A98" s="72" t="s">
        <v>926</v>
      </c>
      <c r="B98" s="73">
        <v>939</v>
      </c>
      <c r="C98" s="192">
        <v>1144.9584664536742</v>
      </c>
      <c r="D98" s="31"/>
      <c r="E98" s="31"/>
      <c r="F98" s="31"/>
      <c r="G98" s="31"/>
      <c r="H98" s="31"/>
      <c r="I98" s="31"/>
      <c r="J98" s="31"/>
      <c r="K98" s="31"/>
      <c r="L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row>
    <row r="99" spans="1:56" x14ac:dyDescent="0.25">
      <c r="A99" s="195" t="s">
        <v>769</v>
      </c>
      <c r="B99" s="194">
        <v>11285</v>
      </c>
      <c r="C99" s="193">
        <v>866.77208684093932</v>
      </c>
      <c r="D99" s="31"/>
      <c r="E99" s="31"/>
      <c r="F99" s="31"/>
      <c r="G99" s="31"/>
      <c r="H99" s="31"/>
      <c r="I99" s="31"/>
      <c r="J99" s="31"/>
      <c r="K99" s="31"/>
      <c r="L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row>
    <row r="100" spans="1:56" x14ac:dyDescent="0.25">
      <c r="A100" s="72" t="s">
        <v>87</v>
      </c>
      <c r="B100" s="73">
        <v>4518</v>
      </c>
      <c r="C100" s="192">
        <v>453.05887560867643</v>
      </c>
      <c r="D100" s="31"/>
      <c r="E100" s="31"/>
      <c r="F100" s="31"/>
      <c r="G100" s="31"/>
      <c r="H100" s="31"/>
      <c r="I100" s="31"/>
      <c r="J100" s="31"/>
      <c r="K100" s="31"/>
      <c r="L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row>
    <row r="101" spans="1:56" x14ac:dyDescent="0.25">
      <c r="A101" s="72" t="s">
        <v>748</v>
      </c>
      <c r="B101" s="73">
        <v>1170</v>
      </c>
      <c r="C101" s="192">
        <v>766.41196581196584</v>
      </c>
      <c r="D101" s="31"/>
      <c r="E101" s="31"/>
      <c r="F101" s="31"/>
      <c r="G101" s="31"/>
      <c r="H101" s="31"/>
      <c r="I101" s="31"/>
      <c r="J101" s="31"/>
      <c r="K101" s="31"/>
      <c r="L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row>
    <row r="102" spans="1:56" x14ac:dyDescent="0.25">
      <c r="A102" s="72" t="s">
        <v>926</v>
      </c>
      <c r="B102" s="73">
        <v>5597</v>
      </c>
      <c r="C102" s="192">
        <v>1221.7082365552974</v>
      </c>
      <c r="D102" s="31"/>
      <c r="E102" s="31"/>
      <c r="F102" s="31"/>
      <c r="G102" s="31"/>
      <c r="H102" s="31"/>
      <c r="I102" s="31"/>
      <c r="J102" s="31"/>
      <c r="K102" s="31"/>
      <c r="L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row>
    <row r="103" spans="1:56" x14ac:dyDescent="0.25">
      <c r="A103" s="195" t="s">
        <v>770</v>
      </c>
      <c r="B103" s="194">
        <v>3744</v>
      </c>
      <c r="C103" s="193">
        <v>814.21314102564099</v>
      </c>
      <c r="D103" s="31"/>
      <c r="E103" s="31"/>
      <c r="F103" s="31"/>
      <c r="G103" s="31"/>
      <c r="H103" s="31"/>
      <c r="I103" s="31"/>
      <c r="J103" s="31"/>
      <c r="K103" s="31"/>
      <c r="L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row>
    <row r="104" spans="1:56" x14ac:dyDescent="0.25">
      <c r="A104" s="72" t="s">
        <v>87</v>
      </c>
      <c r="B104" s="73">
        <v>957</v>
      </c>
      <c r="C104" s="192">
        <v>431.25496342737722</v>
      </c>
      <c r="D104" s="31"/>
      <c r="E104" s="31"/>
      <c r="F104" s="31"/>
      <c r="G104" s="31"/>
      <c r="H104" s="31"/>
      <c r="I104" s="31"/>
      <c r="J104" s="31"/>
      <c r="K104" s="31"/>
      <c r="L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row>
    <row r="105" spans="1:56" x14ac:dyDescent="0.25">
      <c r="A105" s="72" t="s">
        <v>748</v>
      </c>
      <c r="B105" s="73">
        <v>1139</v>
      </c>
      <c r="C105" s="192">
        <v>707.68305531167687</v>
      </c>
      <c r="D105" s="31"/>
      <c r="E105" s="31"/>
      <c r="F105" s="31"/>
      <c r="G105" s="31"/>
      <c r="H105" s="31"/>
      <c r="I105" s="31"/>
      <c r="J105" s="31"/>
      <c r="K105" s="31"/>
      <c r="L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row>
    <row r="106" spans="1:56" x14ac:dyDescent="0.25">
      <c r="A106" s="72" t="s">
        <v>926</v>
      </c>
      <c r="B106" s="73">
        <v>1648</v>
      </c>
      <c r="C106" s="192">
        <v>1110.2257281553398</v>
      </c>
      <c r="D106" s="31"/>
      <c r="E106" s="31"/>
      <c r="F106" s="31"/>
      <c r="G106" s="31"/>
      <c r="H106" s="31"/>
      <c r="I106" s="31"/>
      <c r="J106" s="31"/>
      <c r="K106" s="31"/>
      <c r="L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row>
    <row r="107" spans="1:56" x14ac:dyDescent="0.25">
      <c r="A107" s="195" t="s">
        <v>771</v>
      </c>
      <c r="B107" s="194">
        <v>2287</v>
      </c>
      <c r="C107" s="193">
        <v>998.66856143419329</v>
      </c>
      <c r="D107" s="31"/>
      <c r="E107" s="31"/>
      <c r="F107" s="31"/>
      <c r="G107" s="31"/>
      <c r="H107" s="31"/>
      <c r="I107" s="31"/>
      <c r="J107" s="31"/>
      <c r="K107" s="31"/>
      <c r="L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row>
    <row r="108" spans="1:56" x14ac:dyDescent="0.25">
      <c r="A108" s="72" t="s">
        <v>87</v>
      </c>
      <c r="B108" s="73">
        <v>335</v>
      </c>
      <c r="C108" s="192">
        <v>451.03283582089551</v>
      </c>
      <c r="D108" s="31"/>
      <c r="E108" s="31"/>
      <c r="F108" s="31"/>
      <c r="G108" s="31"/>
      <c r="H108" s="31"/>
      <c r="I108" s="31"/>
      <c r="J108" s="31"/>
      <c r="K108" s="31"/>
      <c r="L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row>
    <row r="109" spans="1:56" x14ac:dyDescent="0.25">
      <c r="A109" s="72" t="s">
        <v>748</v>
      </c>
      <c r="B109" s="73">
        <v>912</v>
      </c>
      <c r="C109" s="192">
        <v>785.77192982456143</v>
      </c>
      <c r="D109" s="31"/>
      <c r="E109" s="31"/>
      <c r="F109" s="31"/>
      <c r="G109" s="31"/>
      <c r="H109" s="31"/>
      <c r="I109" s="31"/>
      <c r="J109" s="31"/>
      <c r="K109" s="31"/>
      <c r="L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row>
    <row r="110" spans="1:56" x14ac:dyDescent="0.25">
      <c r="A110" s="72" t="s">
        <v>926</v>
      </c>
      <c r="B110" s="73">
        <v>1040</v>
      </c>
      <c r="C110" s="192">
        <v>1361.7644230769231</v>
      </c>
      <c r="D110" s="31"/>
      <c r="E110" s="31"/>
      <c r="F110" s="31"/>
      <c r="G110" s="31"/>
      <c r="H110" s="31"/>
      <c r="I110" s="31"/>
      <c r="J110" s="31"/>
      <c r="K110" s="31"/>
      <c r="L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row>
    <row r="111" spans="1:56" x14ac:dyDescent="0.25">
      <c r="A111" s="195" t="s">
        <v>927</v>
      </c>
      <c r="B111" s="194">
        <v>2685</v>
      </c>
      <c r="C111" s="193">
        <v>444.88789571694599</v>
      </c>
      <c r="D111" s="31"/>
      <c r="E111" s="31"/>
      <c r="F111" s="31"/>
      <c r="G111" s="31"/>
      <c r="H111" s="31"/>
      <c r="I111" s="31"/>
      <c r="J111" s="31"/>
      <c r="K111" s="31"/>
      <c r="L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row>
    <row r="112" spans="1:56" x14ac:dyDescent="0.25">
      <c r="A112" s="72" t="s">
        <v>87</v>
      </c>
      <c r="B112" s="73">
        <v>1327</v>
      </c>
      <c r="C112" s="192">
        <v>356.14920874152222</v>
      </c>
      <c r="D112" s="31"/>
      <c r="E112" s="31"/>
      <c r="F112" s="31"/>
      <c r="G112" s="31"/>
      <c r="H112" s="31"/>
      <c r="I112" s="31"/>
      <c r="J112" s="31"/>
      <c r="K112" s="31"/>
      <c r="L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row>
    <row r="113" spans="1:56" x14ac:dyDescent="0.25">
      <c r="A113" s="72" t="s">
        <v>748</v>
      </c>
      <c r="B113" s="73">
        <v>881</v>
      </c>
      <c r="C113" s="192">
        <v>489.93416572077183</v>
      </c>
      <c r="D113" s="31"/>
      <c r="E113" s="31"/>
      <c r="F113" s="31"/>
      <c r="G113" s="31"/>
      <c r="H113" s="31"/>
      <c r="I113" s="31"/>
      <c r="J113" s="31"/>
      <c r="K113" s="31"/>
      <c r="L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row>
    <row r="114" spans="1:56" x14ac:dyDescent="0.25">
      <c r="A114" s="72" t="s">
        <v>926</v>
      </c>
      <c r="B114" s="73">
        <v>477</v>
      </c>
      <c r="C114" s="192">
        <v>608.55765199161431</v>
      </c>
      <c r="M114"/>
    </row>
    <row r="115" spans="1:56" hidden="1" x14ac:dyDescent="0.25"/>
    <row r="116" spans="1:56" x14ac:dyDescent="0.25"/>
  </sheetData>
  <sheetProtection algorithmName="SHA-512" hashValue="IymHHr+F9kTx8QBynx121DG+ORzQjWajFtbOU+9WZGJf51GqUlm4OVp+8mpa/fFNhOnLT6bWCo2HnwL7EIHtiA==" saltValue="tifCQZWQVHxmLk3MwUJAGA==" spinCount="100000" sheet="1" objects="1" scenarios="1" selectLockedCells="1" selectUnlockedCells="1"/>
  <mergeCells count="9">
    <mergeCell ref="A16:C16"/>
    <mergeCell ref="A15:C15"/>
    <mergeCell ref="A4:D4"/>
    <mergeCell ref="A1:D1"/>
    <mergeCell ref="A2:D2"/>
    <mergeCell ref="A5:C5"/>
    <mergeCell ref="A12:C12"/>
    <mergeCell ref="A13:C13"/>
    <mergeCell ref="A14:C14"/>
  </mergeCells>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05"/>
  <sheetViews>
    <sheetView showGridLines="0" zoomScaleNormal="100" zoomScalePageLayoutView="90" workbookViewId="0">
      <selection activeCell="A18" sqref="A18:F18"/>
    </sheetView>
  </sheetViews>
  <sheetFormatPr defaultRowHeight="15" x14ac:dyDescent="0.25"/>
  <cols>
    <col min="1" max="1" width="36.42578125" customWidth="1"/>
    <col min="2" max="2" width="11.140625"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7.5703125" bestFit="1" customWidth="1"/>
    <col min="13" max="13" width="9" bestFit="1" customWidth="1"/>
    <col min="14" max="14" width="13.5703125" customWidth="1"/>
    <col min="15" max="15" width="17.140625" customWidth="1"/>
    <col min="16" max="16" width="10.42578125" customWidth="1"/>
    <col min="27" max="27" width="10.5703125" bestFit="1" customWidth="1"/>
  </cols>
  <sheetData>
    <row r="1" spans="1:50" s="8" customFormat="1" ht="27.75" customHeight="1" x14ac:dyDescent="0.2">
      <c r="A1" s="203" t="s">
        <v>58</v>
      </c>
      <c r="B1" s="203"/>
      <c r="C1" s="203"/>
      <c r="D1" s="203"/>
      <c r="U1" s="5"/>
    </row>
    <row r="2" spans="1:50" s="1" customFormat="1" ht="45.75" customHeight="1" x14ac:dyDescent="0.2">
      <c r="A2" s="204" t="s">
        <v>59</v>
      </c>
      <c r="B2" s="204"/>
      <c r="C2" s="204"/>
      <c r="D2" s="204"/>
      <c r="E2" s="204"/>
      <c r="F2" s="204"/>
      <c r="G2" s="204"/>
      <c r="H2" s="204"/>
      <c r="I2" s="208"/>
      <c r="J2" s="208"/>
      <c r="K2" s="208"/>
      <c r="L2" s="208"/>
      <c r="M2" s="208"/>
      <c r="N2" s="208"/>
      <c r="O2" s="208"/>
      <c r="P2" s="208"/>
      <c r="Q2" s="66"/>
      <c r="R2" s="66"/>
      <c r="S2" s="66"/>
      <c r="T2" s="66"/>
      <c r="U2" s="66"/>
      <c r="V2" s="65"/>
    </row>
    <row r="3" spans="1:50" ht="31.5" customHeight="1" x14ac:dyDescent="0.25">
      <c r="A3" s="202" t="s">
        <v>779</v>
      </c>
      <c r="B3" s="202"/>
      <c r="C3" s="202"/>
      <c r="D3" s="202"/>
      <c r="E3" s="63"/>
      <c r="F3" s="63"/>
      <c r="G3" s="63"/>
      <c r="H3" s="63"/>
      <c r="I3" s="67"/>
      <c r="J3" s="67"/>
      <c r="K3" s="67"/>
      <c r="L3" s="67"/>
      <c r="M3" s="67"/>
      <c r="N3" s="67"/>
      <c r="O3" s="67"/>
      <c r="P3" s="67"/>
      <c r="Q3" s="67"/>
      <c r="R3" s="67"/>
      <c r="S3" s="67"/>
      <c r="T3" s="67"/>
      <c r="U3" s="67"/>
      <c r="V3" s="63"/>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0" s="8" customFormat="1" ht="30.75" customHeight="1" x14ac:dyDescent="0.2">
      <c r="A4" s="207"/>
      <c r="B4" s="207"/>
      <c r="C4" s="207"/>
      <c r="D4" s="207"/>
      <c r="E4" s="207"/>
      <c r="F4" s="207"/>
      <c r="G4" s="207"/>
      <c r="H4" s="207"/>
      <c r="I4" s="207"/>
      <c r="J4" s="207"/>
      <c r="K4" s="207"/>
      <c r="L4" s="207"/>
      <c r="M4" s="207"/>
      <c r="N4" s="207"/>
      <c r="O4" s="207"/>
      <c r="P4" s="207"/>
      <c r="Q4" s="207"/>
      <c r="R4" s="207"/>
      <c r="S4" s="207"/>
      <c r="T4" s="207"/>
      <c r="U4" s="207"/>
      <c r="V4" s="207"/>
      <c r="W4" s="10"/>
      <c r="X4" s="10"/>
      <c r="Y4" s="10"/>
      <c r="Z4" s="10"/>
    </row>
    <row r="5" spans="1:50" s="1" customFormat="1" ht="7.5" customHeight="1" thickBot="1" x14ac:dyDescent="0.25">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2">
      <c r="A6" s="213"/>
      <c r="B6" s="214"/>
      <c r="C6" s="214"/>
      <c r="D6" s="214"/>
      <c r="E6" s="214"/>
      <c r="F6" s="214"/>
      <c r="G6" s="214"/>
      <c r="H6" s="214"/>
      <c r="I6" s="214"/>
      <c r="J6" s="214"/>
      <c r="K6" s="214"/>
      <c r="L6" s="214"/>
      <c r="M6" s="214"/>
      <c r="N6" s="214"/>
      <c r="O6" s="214"/>
      <c r="P6" s="214"/>
      <c r="Q6" s="214"/>
      <c r="R6" s="214"/>
      <c r="S6" s="214"/>
      <c r="T6" s="214"/>
      <c r="U6" s="214"/>
      <c r="V6" s="215"/>
      <c r="W6" s="2"/>
      <c r="X6" s="2"/>
      <c r="Y6" s="2"/>
      <c r="Z6" s="2"/>
    </row>
    <row r="7" spans="1:50" s="8" customFormat="1" ht="16.5" customHeight="1" x14ac:dyDescent="0.2">
      <c r="A7" s="92"/>
      <c r="B7" s="41"/>
      <c r="C7" s="41"/>
      <c r="D7" s="41"/>
      <c r="E7" s="41"/>
      <c r="F7" s="41"/>
      <c r="G7" s="41"/>
      <c r="H7" s="41"/>
      <c r="I7" s="5"/>
      <c r="J7" s="79"/>
      <c r="K7" s="79"/>
      <c r="L7" s="79"/>
      <c r="M7" s="5"/>
      <c r="N7" s="41"/>
      <c r="O7" s="41"/>
      <c r="P7" s="41"/>
      <c r="Q7" s="41"/>
      <c r="R7" s="41"/>
      <c r="S7" s="41"/>
      <c r="T7" s="41"/>
      <c r="U7" s="41"/>
      <c r="V7" s="42"/>
      <c r="W7" s="43"/>
      <c r="X7" s="43"/>
      <c r="Y7" s="43"/>
      <c r="Z7" s="43"/>
    </row>
    <row r="8" spans="1:50" s="81" customFormat="1" ht="30.6" customHeight="1" x14ac:dyDescent="0.2">
      <c r="A8" s="216" t="s">
        <v>847</v>
      </c>
      <c r="B8" s="217"/>
      <c r="C8" s="217"/>
      <c r="D8" s="217"/>
      <c r="E8" s="80"/>
      <c r="F8" s="80"/>
      <c r="G8" s="217" t="s">
        <v>822</v>
      </c>
      <c r="H8" s="217"/>
      <c r="I8" s="217"/>
      <c r="J8" s="217"/>
      <c r="K8" s="217"/>
      <c r="L8" s="93"/>
      <c r="M8" s="217" t="s">
        <v>849</v>
      </c>
      <c r="N8" s="217"/>
      <c r="O8" s="217"/>
      <c r="P8" s="217"/>
      <c r="Q8" s="217"/>
      <c r="R8" s="93"/>
      <c r="S8" s="93"/>
      <c r="T8" s="148"/>
      <c r="U8" s="148"/>
      <c r="V8" s="149"/>
      <c r="W8" s="82"/>
      <c r="X8" s="82"/>
      <c r="Y8" s="82"/>
      <c r="Z8" s="82"/>
    </row>
    <row r="9" spans="1:50" s="8" customFormat="1" ht="28.35" customHeight="1" x14ac:dyDescent="0.2">
      <c r="A9" s="38" t="s">
        <v>817</v>
      </c>
      <c r="B9" s="108" t="s">
        <v>133</v>
      </c>
      <c r="C9" s="108" t="s">
        <v>134</v>
      </c>
      <c r="D9" s="108" t="s">
        <v>1</v>
      </c>
      <c r="E9" s="41"/>
      <c r="F9" s="41"/>
      <c r="G9" s="212" t="s">
        <v>135</v>
      </c>
      <c r="H9" s="212"/>
      <c r="I9" s="88" t="s">
        <v>133</v>
      </c>
      <c r="J9" s="88" t="s">
        <v>134</v>
      </c>
      <c r="K9" s="88" t="s">
        <v>1</v>
      </c>
      <c r="L9" s="5"/>
      <c r="M9" s="212" t="s">
        <v>131</v>
      </c>
      <c r="N9" s="212"/>
      <c r="O9" s="212" t="s">
        <v>132</v>
      </c>
      <c r="P9" s="212"/>
      <c r="Q9" s="212"/>
      <c r="R9" s="41"/>
      <c r="S9" s="41"/>
      <c r="T9" s="41"/>
      <c r="U9" s="49"/>
      <c r="V9" s="47"/>
      <c r="W9" s="43"/>
      <c r="X9" s="43"/>
    </row>
    <row r="10" spans="1:50" s="8" customFormat="1" ht="16.5" customHeight="1" thickBot="1" x14ac:dyDescent="0.25">
      <c r="A10" s="94" t="s">
        <v>1</v>
      </c>
      <c r="B10" s="109">
        <v>222</v>
      </c>
      <c r="C10" s="109">
        <v>20785</v>
      </c>
      <c r="D10" s="109">
        <v>21007</v>
      </c>
      <c r="E10" s="41"/>
      <c r="F10" s="41"/>
      <c r="G10" s="218" t="s">
        <v>136</v>
      </c>
      <c r="H10" s="218"/>
      <c r="I10" s="44">
        <v>11.71</v>
      </c>
      <c r="J10" s="44">
        <v>139.77000000000001</v>
      </c>
      <c r="K10" s="44">
        <v>136.27000000000001</v>
      </c>
      <c r="L10" s="5"/>
      <c r="M10" s="223" t="s">
        <v>1</v>
      </c>
      <c r="N10" s="223"/>
      <c r="O10" s="226">
        <v>3102</v>
      </c>
      <c r="P10" s="226"/>
      <c r="Q10" s="226"/>
      <c r="R10" s="41"/>
      <c r="S10" s="41"/>
      <c r="T10" s="41"/>
      <c r="U10" s="154"/>
      <c r="V10" s="166"/>
      <c r="W10" s="43"/>
      <c r="X10" s="43"/>
      <c r="Z10" s="150"/>
      <c r="AA10" s="150"/>
    </row>
    <row r="11" spans="1:50" s="8" customFormat="1" ht="13.35" customHeight="1" thickTop="1" x14ac:dyDescent="0.2">
      <c r="A11" s="95" t="s">
        <v>141</v>
      </c>
      <c r="B11" s="110">
        <v>216</v>
      </c>
      <c r="C11" s="110">
        <v>4992</v>
      </c>
      <c r="D11" s="110">
        <v>5208</v>
      </c>
      <c r="E11" s="41"/>
      <c r="F11" s="41"/>
      <c r="G11" s="219"/>
      <c r="H11" s="219"/>
      <c r="I11" s="87"/>
      <c r="J11" s="87"/>
      <c r="K11" s="87"/>
      <c r="L11" s="5"/>
      <c r="M11" s="224" t="s">
        <v>133</v>
      </c>
      <c r="N11" s="224"/>
      <c r="O11" s="258">
        <v>24</v>
      </c>
      <c r="P11" s="258"/>
      <c r="Q11" s="258"/>
      <c r="R11" s="41"/>
      <c r="S11" s="41"/>
      <c r="T11" s="41"/>
      <c r="U11" s="154"/>
      <c r="V11" s="166"/>
      <c r="W11" s="43"/>
      <c r="X11" s="43"/>
      <c r="Z11" s="150"/>
      <c r="AA11" s="150"/>
    </row>
    <row r="12" spans="1:50" s="8" customFormat="1" ht="13.35" customHeight="1" x14ac:dyDescent="0.2">
      <c r="A12" s="96" t="s">
        <v>142</v>
      </c>
      <c r="B12" s="111">
        <v>2</v>
      </c>
      <c r="C12" s="111">
        <v>11564</v>
      </c>
      <c r="D12" s="111">
        <v>11566</v>
      </c>
      <c r="E12" s="41"/>
      <c r="F12" s="41"/>
      <c r="G12" s="5"/>
      <c r="H12" s="5"/>
      <c r="I12" s="5"/>
      <c r="J12" s="5"/>
      <c r="K12" s="5"/>
      <c r="L12" s="5"/>
      <c r="M12" s="225" t="s">
        <v>134</v>
      </c>
      <c r="N12" s="225"/>
      <c r="O12" s="254">
        <v>3078</v>
      </c>
      <c r="P12" s="254"/>
      <c r="Q12" s="254"/>
      <c r="R12" s="41"/>
      <c r="S12" s="41"/>
      <c r="T12" s="41"/>
      <c r="U12" s="154"/>
      <c r="V12" s="166"/>
      <c r="W12" s="43"/>
      <c r="X12" s="43"/>
      <c r="Z12" s="150"/>
      <c r="AA12" s="150"/>
    </row>
    <row r="13" spans="1:50" s="8" customFormat="1" ht="13.35" customHeight="1" x14ac:dyDescent="0.2">
      <c r="A13" s="96" t="s">
        <v>143</v>
      </c>
      <c r="B13" s="111">
        <v>2</v>
      </c>
      <c r="C13" s="111">
        <v>3105</v>
      </c>
      <c r="D13" s="111">
        <v>3107</v>
      </c>
      <c r="E13" s="41"/>
      <c r="F13" s="41"/>
      <c r="G13" s="41"/>
      <c r="H13" s="41"/>
      <c r="I13" s="41"/>
      <c r="J13" s="41"/>
      <c r="K13" s="41"/>
      <c r="L13" s="5"/>
      <c r="M13" s="5"/>
      <c r="N13" s="5"/>
      <c r="O13" s="5"/>
      <c r="P13" s="5"/>
      <c r="Q13" s="5"/>
      <c r="R13" s="41"/>
      <c r="S13" s="41"/>
      <c r="T13" s="41"/>
      <c r="U13" s="154"/>
      <c r="V13" s="166"/>
      <c r="W13" s="43"/>
      <c r="X13" s="43"/>
      <c r="Z13" s="150"/>
      <c r="AA13" s="150"/>
    </row>
    <row r="14" spans="1:50" s="8" customFormat="1" ht="13.35" customHeight="1" x14ac:dyDescent="0.2">
      <c r="A14" s="96" t="s">
        <v>0</v>
      </c>
      <c r="B14" s="111">
        <v>2</v>
      </c>
      <c r="C14" s="111">
        <v>1124</v>
      </c>
      <c r="D14" s="111">
        <v>1126</v>
      </c>
      <c r="E14" s="41"/>
      <c r="F14" s="41"/>
      <c r="G14" s="41"/>
      <c r="H14" s="41"/>
      <c r="I14" s="41"/>
      <c r="J14" s="41"/>
      <c r="K14" s="41"/>
      <c r="L14" s="41"/>
      <c r="M14" s="41"/>
      <c r="N14" s="41"/>
      <c r="O14" s="41"/>
      <c r="P14" s="41"/>
      <c r="Q14" s="41"/>
      <c r="R14" s="41"/>
      <c r="S14" s="41"/>
      <c r="T14" s="41"/>
      <c r="U14" s="154"/>
      <c r="V14" s="166"/>
      <c r="W14" s="43"/>
      <c r="X14" s="43"/>
      <c r="Z14" s="150"/>
      <c r="AA14" s="150"/>
    </row>
    <row r="15" spans="1:50" s="8" customFormat="1" ht="16.5" customHeight="1" x14ac:dyDescent="0.2">
      <c r="A15" s="97"/>
      <c r="B15" s="45"/>
      <c r="C15" s="45"/>
      <c r="D15" s="45"/>
      <c r="E15" s="45"/>
      <c r="F15" s="45"/>
      <c r="G15" s="41"/>
      <c r="H15" s="41"/>
      <c r="I15" s="41"/>
      <c r="J15" s="41"/>
      <c r="K15" s="41"/>
      <c r="L15" s="41"/>
      <c r="M15" s="41"/>
      <c r="N15" s="41"/>
      <c r="O15" s="41"/>
      <c r="P15" s="41"/>
      <c r="Q15" s="41"/>
      <c r="R15" s="41"/>
      <c r="S15" s="41"/>
      <c r="T15" s="41"/>
      <c r="U15" s="41"/>
      <c r="V15" s="42"/>
      <c r="W15" s="43"/>
      <c r="X15" s="43"/>
      <c r="Y15" s="43"/>
      <c r="Z15" s="43"/>
    </row>
    <row r="16" spans="1:50" s="8" customFormat="1" ht="16.5" customHeight="1" x14ac:dyDescent="0.2">
      <c r="A16" s="220"/>
      <c r="B16" s="221"/>
      <c r="C16" s="221"/>
      <c r="D16" s="221"/>
      <c r="E16" s="221"/>
      <c r="F16" s="221"/>
      <c r="G16" s="221"/>
      <c r="H16" s="221"/>
      <c r="I16" s="221"/>
      <c r="J16" s="221"/>
      <c r="K16" s="221"/>
      <c r="L16" s="221"/>
      <c r="M16" s="221"/>
      <c r="N16" s="221"/>
      <c r="O16" s="221"/>
      <c r="P16" s="221"/>
      <c r="Q16" s="221"/>
      <c r="R16" s="221"/>
      <c r="S16" s="221"/>
      <c r="T16" s="221"/>
      <c r="U16" s="221"/>
      <c r="V16" s="222"/>
      <c r="W16" s="43"/>
      <c r="X16" s="43"/>
      <c r="Y16" s="43"/>
      <c r="Z16" s="43"/>
    </row>
    <row r="17" spans="1:26" s="8" customFormat="1" ht="16.5" customHeight="1" x14ac:dyDescent="0.2">
      <c r="A17" s="92"/>
      <c r="B17" s="41"/>
      <c r="C17" s="41"/>
      <c r="D17" s="41"/>
      <c r="E17" s="41"/>
      <c r="F17" s="41"/>
      <c r="G17" s="41"/>
      <c r="H17" s="41"/>
      <c r="I17" s="41"/>
      <c r="J17" s="41"/>
      <c r="K17" s="41"/>
      <c r="L17" s="41"/>
      <c r="M17" s="41"/>
      <c r="N17" s="41"/>
      <c r="O17" s="41"/>
      <c r="P17" s="41"/>
      <c r="Q17" s="41"/>
      <c r="R17" s="41"/>
      <c r="S17" s="41"/>
      <c r="T17" s="41"/>
      <c r="U17" s="41"/>
      <c r="V17" s="42"/>
      <c r="W17" s="43"/>
      <c r="X17" s="43"/>
      <c r="Y17" s="43"/>
      <c r="Z17" s="43"/>
    </row>
    <row r="18" spans="1:26" s="9" customFormat="1" ht="27.6" customHeight="1" x14ac:dyDescent="0.2">
      <c r="A18" s="216" t="s">
        <v>848</v>
      </c>
      <c r="B18" s="217"/>
      <c r="C18" s="217"/>
      <c r="D18" s="217"/>
      <c r="E18" s="217"/>
      <c r="F18" s="217"/>
      <c r="G18" s="98"/>
      <c r="H18" s="98"/>
      <c r="I18" s="244" t="s">
        <v>144</v>
      </c>
      <c r="J18" s="244"/>
      <c r="K18" s="244"/>
      <c r="L18" s="244"/>
      <c r="M18" s="244"/>
      <c r="N18" s="244"/>
      <c r="O18" s="244"/>
      <c r="P18" s="244"/>
      <c r="Q18" s="244"/>
      <c r="R18" s="244"/>
      <c r="S18" s="244"/>
      <c r="T18" s="244"/>
      <c r="U18" s="244"/>
      <c r="V18" s="245"/>
      <c r="W18" s="46"/>
      <c r="X18" s="46"/>
      <c r="Y18" s="46"/>
      <c r="Z18" s="46"/>
    </row>
    <row r="19" spans="1:26" s="1" customFormat="1" ht="28.7" customHeight="1" x14ac:dyDescent="0.2">
      <c r="A19" s="108" t="s">
        <v>137</v>
      </c>
      <c r="B19" s="108" t="s">
        <v>91</v>
      </c>
      <c r="C19" s="108" t="s">
        <v>138</v>
      </c>
      <c r="D19" s="108" t="s">
        <v>73</v>
      </c>
      <c r="E19" s="108" t="s">
        <v>139</v>
      </c>
      <c r="F19" s="108" t="s">
        <v>1</v>
      </c>
      <c r="G19" s="6"/>
      <c r="H19" s="6"/>
      <c r="I19" s="108" t="s">
        <v>145</v>
      </c>
      <c r="J19" s="108" t="s">
        <v>146</v>
      </c>
      <c r="K19" s="108" t="s">
        <v>147</v>
      </c>
      <c r="L19" s="108" t="s">
        <v>148</v>
      </c>
      <c r="M19" s="108" t="s">
        <v>149</v>
      </c>
      <c r="N19" s="108" t="s">
        <v>150</v>
      </c>
      <c r="O19" s="108" t="s">
        <v>151</v>
      </c>
      <c r="P19" s="108" t="s">
        <v>152</v>
      </c>
      <c r="Q19" s="108" t="s">
        <v>153</v>
      </c>
      <c r="R19" s="108" t="s">
        <v>154</v>
      </c>
      <c r="S19" s="108" t="s">
        <v>157</v>
      </c>
      <c r="T19" s="108" t="s">
        <v>158</v>
      </c>
      <c r="U19" s="108" t="s">
        <v>159</v>
      </c>
      <c r="V19" s="108" t="s">
        <v>1</v>
      </c>
      <c r="W19" s="48"/>
      <c r="X19" s="48"/>
      <c r="Y19" s="48"/>
      <c r="Z19" s="48"/>
    </row>
    <row r="20" spans="1:26" s="1" customFormat="1" ht="18" customHeight="1" thickBot="1" x14ac:dyDescent="0.25">
      <c r="A20" s="94" t="s">
        <v>1</v>
      </c>
      <c r="B20" s="109">
        <v>13597</v>
      </c>
      <c r="C20" s="114">
        <f>B20/F20</f>
        <v>0.64726043699719138</v>
      </c>
      <c r="D20" s="109">
        <v>7410</v>
      </c>
      <c r="E20" s="114">
        <f>D20/F20</f>
        <v>0.35273956300280856</v>
      </c>
      <c r="F20" s="109">
        <v>21007</v>
      </c>
      <c r="G20" s="6"/>
      <c r="H20" s="6"/>
      <c r="I20" s="39" t="s">
        <v>1</v>
      </c>
      <c r="J20" s="115">
        <v>24728</v>
      </c>
      <c r="K20" s="116">
        <v>22369</v>
      </c>
      <c r="L20" s="115">
        <v>23907</v>
      </c>
      <c r="M20" s="116">
        <v>22781</v>
      </c>
      <c r="N20" s="115">
        <v>22688</v>
      </c>
      <c r="O20" s="116">
        <v>19364</v>
      </c>
      <c r="P20" s="115">
        <v>8512</v>
      </c>
      <c r="Q20" s="116">
        <v>7269</v>
      </c>
      <c r="R20" s="115">
        <v>6675</v>
      </c>
      <c r="S20" s="115">
        <v>7532</v>
      </c>
      <c r="T20" s="116">
        <v>3986</v>
      </c>
      <c r="U20" s="115">
        <v>0</v>
      </c>
      <c r="V20" s="120">
        <v>169811</v>
      </c>
      <c r="W20" s="48"/>
      <c r="X20" s="48"/>
      <c r="Y20" s="48"/>
      <c r="Z20" s="48"/>
    </row>
    <row r="21" spans="1:26" s="1" customFormat="1" ht="15" customHeight="1" thickTop="1" x14ac:dyDescent="0.2">
      <c r="A21" s="95" t="s">
        <v>77</v>
      </c>
      <c r="B21" s="110">
        <v>9950</v>
      </c>
      <c r="C21" s="112">
        <f t="shared" ref="C21:C23" si="0">B21/F21</f>
        <v>0.87495603236018293</v>
      </c>
      <c r="D21" s="110">
        <v>1422</v>
      </c>
      <c r="E21" s="112">
        <f t="shared" ref="E21:E23" si="1">D21/F21</f>
        <v>0.12504396763981709</v>
      </c>
      <c r="F21" s="110">
        <v>11372</v>
      </c>
      <c r="G21" s="6"/>
      <c r="H21" s="6"/>
      <c r="I21" s="40" t="s">
        <v>73</v>
      </c>
      <c r="J21" s="117">
        <v>13303</v>
      </c>
      <c r="K21" s="117">
        <v>12643</v>
      </c>
      <c r="L21" s="117">
        <v>14007</v>
      </c>
      <c r="M21" s="117">
        <v>10868</v>
      </c>
      <c r="N21" s="117">
        <v>11197</v>
      </c>
      <c r="O21" s="117">
        <v>9211</v>
      </c>
      <c r="P21" s="117">
        <v>2904</v>
      </c>
      <c r="Q21" s="117">
        <v>1883</v>
      </c>
      <c r="R21" s="117">
        <v>1585</v>
      </c>
      <c r="S21" s="117">
        <v>1687</v>
      </c>
      <c r="T21" s="117">
        <v>736</v>
      </c>
      <c r="U21" s="117">
        <v>0</v>
      </c>
      <c r="V21" s="119">
        <v>80024</v>
      </c>
      <c r="W21" s="48"/>
      <c r="X21" s="48"/>
      <c r="Y21" s="48"/>
      <c r="Z21" s="48"/>
    </row>
    <row r="22" spans="1:26" s="1" customFormat="1" ht="15" customHeight="1" x14ac:dyDescent="0.2">
      <c r="A22" s="96" t="s">
        <v>110</v>
      </c>
      <c r="B22" s="111">
        <v>2915</v>
      </c>
      <c r="C22" s="113">
        <f t="shared" si="0"/>
        <v>0.91465327894571702</v>
      </c>
      <c r="D22" s="111">
        <v>272</v>
      </c>
      <c r="E22" s="113">
        <f t="shared" si="1"/>
        <v>8.5346721054283023E-2</v>
      </c>
      <c r="F22" s="111">
        <v>3187</v>
      </c>
      <c r="G22" s="6"/>
      <c r="H22" s="6"/>
      <c r="I22" s="75" t="s">
        <v>836</v>
      </c>
      <c r="J22" s="118">
        <v>11425</v>
      </c>
      <c r="K22" s="118">
        <v>9726</v>
      </c>
      <c r="L22" s="118">
        <v>9900</v>
      </c>
      <c r="M22" s="118">
        <v>11913</v>
      </c>
      <c r="N22" s="118">
        <v>11491</v>
      </c>
      <c r="O22" s="118">
        <v>10153</v>
      </c>
      <c r="P22" s="118">
        <v>5608</v>
      </c>
      <c r="Q22" s="118">
        <v>5386</v>
      </c>
      <c r="R22" s="118">
        <v>5090</v>
      </c>
      <c r="S22" s="118">
        <v>5845</v>
      </c>
      <c r="T22" s="118">
        <v>3250</v>
      </c>
      <c r="U22" s="118">
        <v>0</v>
      </c>
      <c r="V22" s="118">
        <v>89787</v>
      </c>
      <c r="W22" s="48"/>
      <c r="X22" s="48"/>
      <c r="Y22" s="48"/>
      <c r="Z22" s="48"/>
    </row>
    <row r="23" spans="1:26" s="1" customFormat="1" ht="15" customHeight="1" x14ac:dyDescent="0.2">
      <c r="A23" s="96" t="s">
        <v>140</v>
      </c>
      <c r="B23" s="111">
        <v>732</v>
      </c>
      <c r="C23" s="113">
        <f t="shared" si="0"/>
        <v>0.11352357320099256</v>
      </c>
      <c r="D23" s="111">
        <v>5716</v>
      </c>
      <c r="E23" s="113">
        <f t="shared" si="1"/>
        <v>0.8864764267990074</v>
      </c>
      <c r="F23" s="111">
        <v>6448</v>
      </c>
      <c r="G23" s="6"/>
      <c r="H23" s="6"/>
      <c r="I23" s="6"/>
      <c r="J23" s="6"/>
      <c r="K23" s="6"/>
      <c r="L23" s="6"/>
      <c r="M23" s="6"/>
      <c r="N23" s="6"/>
      <c r="O23" s="6"/>
      <c r="P23" s="6"/>
      <c r="Q23" s="6"/>
      <c r="R23" s="6"/>
      <c r="S23" s="6"/>
      <c r="T23" s="49"/>
      <c r="U23" s="49"/>
      <c r="V23" s="47"/>
      <c r="W23" s="48"/>
      <c r="X23" s="48"/>
      <c r="Y23" s="48"/>
      <c r="Z23" s="48"/>
    </row>
    <row r="24" spans="1:26" s="1" customFormat="1" ht="12" x14ac:dyDescent="0.2">
      <c r="A24" s="99"/>
      <c r="B24" s="6"/>
      <c r="C24" s="6"/>
      <c r="D24" s="6"/>
      <c r="E24" s="6"/>
      <c r="F24" s="6"/>
      <c r="G24" s="6"/>
      <c r="H24" s="6"/>
      <c r="I24" s="6"/>
      <c r="J24" s="6"/>
      <c r="K24" s="6"/>
      <c r="L24" s="6"/>
      <c r="M24" s="6"/>
      <c r="N24" s="6"/>
      <c r="O24" s="6"/>
      <c r="P24" s="6"/>
      <c r="Q24" s="6"/>
      <c r="R24" s="6"/>
      <c r="S24" s="6"/>
      <c r="T24" s="49"/>
      <c r="U24" s="49"/>
      <c r="V24" s="47"/>
      <c r="W24" s="48"/>
      <c r="X24" s="48"/>
      <c r="Y24" s="48"/>
      <c r="Z24" s="48"/>
    </row>
    <row r="25" spans="1:26" s="8" customFormat="1" ht="16.5" customHeight="1" x14ac:dyDescent="0.2">
      <c r="A25" s="220"/>
      <c r="B25" s="221"/>
      <c r="C25" s="221"/>
      <c r="D25" s="221"/>
      <c r="E25" s="221"/>
      <c r="F25" s="221"/>
      <c r="G25" s="221"/>
      <c r="H25" s="221"/>
      <c r="I25" s="221"/>
      <c r="J25" s="221"/>
      <c r="K25" s="221"/>
      <c r="L25" s="221"/>
      <c r="M25" s="221"/>
      <c r="N25" s="221"/>
      <c r="O25" s="221"/>
      <c r="P25" s="221"/>
      <c r="Q25" s="221"/>
      <c r="R25" s="221"/>
      <c r="S25" s="221"/>
      <c r="T25" s="221"/>
      <c r="U25" s="221"/>
      <c r="V25" s="222"/>
      <c r="W25" s="43"/>
      <c r="X25" s="43"/>
      <c r="Y25" s="43"/>
      <c r="Z25" s="43"/>
    </row>
    <row r="26" spans="1:26" s="1" customFormat="1" ht="12" x14ac:dyDescent="0.2">
      <c r="A26" s="99"/>
      <c r="B26" s="6"/>
      <c r="C26" s="6"/>
      <c r="D26" s="6"/>
      <c r="E26" s="6"/>
      <c r="F26" s="6"/>
      <c r="G26" s="6"/>
      <c r="H26" s="6"/>
      <c r="I26" s="6"/>
      <c r="J26" s="6"/>
      <c r="K26" s="6"/>
      <c r="L26" s="6"/>
      <c r="M26" s="6"/>
      <c r="N26" s="6"/>
      <c r="O26" s="6"/>
      <c r="P26" s="6"/>
      <c r="Q26" s="6"/>
      <c r="R26" s="6"/>
      <c r="S26" s="6"/>
      <c r="T26" s="49"/>
      <c r="U26" s="49"/>
      <c r="V26" s="47"/>
      <c r="W26" s="48"/>
      <c r="X26" s="48"/>
      <c r="Y26" s="48"/>
      <c r="Z26" s="48"/>
    </row>
    <row r="27" spans="1:26" s="84" customFormat="1" ht="21.6" customHeight="1" x14ac:dyDescent="0.2">
      <c r="A27" s="246" t="s">
        <v>818</v>
      </c>
      <c r="B27" s="247"/>
      <c r="C27" s="247"/>
      <c r="D27" s="247"/>
      <c r="E27" s="247"/>
      <c r="F27" s="76"/>
      <c r="G27" s="83"/>
      <c r="H27" s="247" t="s">
        <v>161</v>
      </c>
      <c r="I27" s="247"/>
      <c r="J27" s="247"/>
      <c r="K27" s="247"/>
      <c r="L27" s="247"/>
      <c r="M27" s="76"/>
      <c r="N27" s="247" t="s">
        <v>155</v>
      </c>
      <c r="O27" s="247"/>
      <c r="P27" s="247"/>
      <c r="Q27" s="247"/>
      <c r="R27" s="247"/>
      <c r="S27" s="76"/>
      <c r="T27" s="83"/>
      <c r="U27" s="83"/>
      <c r="V27" s="85"/>
      <c r="W27" s="86"/>
      <c r="X27" s="86"/>
      <c r="Y27" s="86"/>
      <c r="Z27" s="86"/>
    </row>
    <row r="28" spans="1:26" s="1" customFormat="1" ht="37.5" customHeight="1" x14ac:dyDescent="0.2">
      <c r="A28" s="38" t="s">
        <v>162</v>
      </c>
      <c r="B28" s="108" t="s">
        <v>77</v>
      </c>
      <c r="C28" s="108" t="s">
        <v>110</v>
      </c>
      <c r="D28" s="108" t="s">
        <v>140</v>
      </c>
      <c r="E28" s="108" t="s">
        <v>1</v>
      </c>
      <c r="F28" s="6"/>
      <c r="G28" s="6"/>
      <c r="H28" s="212" t="s">
        <v>162</v>
      </c>
      <c r="I28" s="212"/>
      <c r="J28" s="212" t="s">
        <v>1</v>
      </c>
      <c r="K28" s="212"/>
      <c r="L28" s="212"/>
      <c r="M28" s="49"/>
      <c r="N28" s="231"/>
      <c r="O28" s="232"/>
      <c r="P28" s="231" t="s">
        <v>156</v>
      </c>
      <c r="Q28" s="233"/>
      <c r="R28" s="232"/>
      <c r="S28" s="6"/>
      <c r="T28" s="6"/>
      <c r="U28" s="49"/>
      <c r="V28" s="100"/>
      <c r="W28" s="48"/>
      <c r="X28" s="48"/>
      <c r="Y28" s="48"/>
    </row>
    <row r="29" spans="1:26" s="1" customFormat="1" ht="15" customHeight="1" thickBot="1" x14ac:dyDescent="0.25">
      <c r="A29" s="94" t="s">
        <v>1</v>
      </c>
      <c r="B29" s="121">
        <v>88397</v>
      </c>
      <c r="C29" s="125">
        <v>21720</v>
      </c>
      <c r="D29" s="121">
        <v>59694</v>
      </c>
      <c r="E29" s="123">
        <v>169811</v>
      </c>
      <c r="F29" s="6"/>
      <c r="G29" s="6"/>
      <c r="H29" s="223" t="s">
        <v>1</v>
      </c>
      <c r="I29" s="223"/>
      <c r="J29" s="255">
        <v>58638</v>
      </c>
      <c r="K29" s="256"/>
      <c r="L29" s="257"/>
      <c r="M29" s="49"/>
      <c r="N29" s="234" t="s">
        <v>1</v>
      </c>
      <c r="O29" s="235"/>
      <c r="P29" s="238">
        <v>173538</v>
      </c>
      <c r="Q29" s="239"/>
      <c r="R29" s="240"/>
      <c r="S29" s="6"/>
      <c r="T29" s="6"/>
      <c r="U29" s="49"/>
      <c r="V29" s="100"/>
      <c r="W29" s="48"/>
      <c r="X29" s="48"/>
      <c r="Y29" s="48"/>
    </row>
    <row r="30" spans="1:26" s="1" customFormat="1" ht="12.75" thickTop="1" x14ac:dyDescent="0.2">
      <c r="A30" s="95" t="s">
        <v>134</v>
      </c>
      <c r="B30" s="143">
        <v>88382</v>
      </c>
      <c r="C30" s="143">
        <v>21714</v>
      </c>
      <c r="D30" s="143">
        <v>57931</v>
      </c>
      <c r="E30" s="143">
        <v>168027</v>
      </c>
      <c r="F30" s="5"/>
      <c r="G30" s="5"/>
      <c r="H30" s="224" t="s">
        <v>133</v>
      </c>
      <c r="I30" s="224"/>
      <c r="J30" s="248">
        <v>5043</v>
      </c>
      <c r="K30" s="249"/>
      <c r="L30" s="250"/>
      <c r="M30" s="49"/>
      <c r="N30" s="236" t="s">
        <v>819</v>
      </c>
      <c r="O30" s="237"/>
      <c r="P30" s="248">
        <v>3134</v>
      </c>
      <c r="Q30" s="249"/>
      <c r="R30" s="250"/>
      <c r="S30" s="6"/>
      <c r="T30" s="6"/>
      <c r="U30" s="49"/>
      <c r="V30" s="100"/>
      <c r="W30" s="48"/>
      <c r="X30" s="48"/>
      <c r="Y30" s="48"/>
    </row>
    <row r="31" spans="1:26" s="1" customFormat="1" ht="12" x14ac:dyDescent="0.2">
      <c r="A31" s="96" t="s">
        <v>133</v>
      </c>
      <c r="B31" s="122">
        <v>15</v>
      </c>
      <c r="C31" s="122">
        <v>6</v>
      </c>
      <c r="D31" s="122">
        <v>1763</v>
      </c>
      <c r="E31" s="122">
        <v>1784</v>
      </c>
      <c r="F31" s="5"/>
      <c r="G31" s="5"/>
      <c r="H31" s="225" t="s">
        <v>134</v>
      </c>
      <c r="I31" s="225"/>
      <c r="J31" s="251">
        <v>53595</v>
      </c>
      <c r="K31" s="252"/>
      <c r="L31" s="253"/>
      <c r="M31" s="49"/>
      <c r="N31" s="49"/>
      <c r="O31" s="49"/>
      <c r="P31" s="49"/>
      <c r="Q31" s="49"/>
      <c r="R31" s="49"/>
      <c r="S31" s="6"/>
      <c r="T31" s="6"/>
      <c r="U31" s="49"/>
      <c r="V31" s="100"/>
      <c r="W31" s="48"/>
      <c r="X31" s="48"/>
      <c r="Y31" s="48"/>
    </row>
    <row r="32" spans="1:26" s="1" customFormat="1" ht="12" x14ac:dyDescent="0.2">
      <c r="A32" s="99"/>
      <c r="F32" s="5"/>
      <c r="G32" s="5"/>
      <c r="H32" s="5"/>
      <c r="I32" s="6"/>
      <c r="J32" s="6"/>
      <c r="K32" s="5"/>
      <c r="L32" s="49"/>
      <c r="M32" s="49"/>
      <c r="N32" s="49"/>
      <c r="O32" s="49"/>
      <c r="P32" s="49"/>
      <c r="Q32" s="49"/>
      <c r="R32" s="49"/>
      <c r="S32" s="49"/>
      <c r="T32" s="49"/>
      <c r="U32" s="49"/>
      <c r="V32" s="47"/>
      <c r="W32" s="48"/>
      <c r="X32" s="48"/>
      <c r="Y32" s="48"/>
      <c r="Z32" s="48"/>
    </row>
    <row r="33" spans="1:26" s="8" customFormat="1" ht="16.5" customHeight="1" x14ac:dyDescent="0.2">
      <c r="A33" s="220"/>
      <c r="B33" s="221"/>
      <c r="C33" s="221"/>
      <c r="D33" s="221"/>
      <c r="E33" s="221"/>
      <c r="F33" s="221"/>
      <c r="G33" s="221"/>
      <c r="H33" s="221"/>
      <c r="I33" s="221"/>
      <c r="J33" s="221"/>
      <c r="K33" s="221"/>
      <c r="L33" s="221"/>
      <c r="M33" s="221"/>
      <c r="N33" s="221"/>
      <c r="O33" s="221"/>
      <c r="P33" s="221"/>
      <c r="Q33" s="221"/>
      <c r="R33" s="221"/>
      <c r="S33" s="221"/>
      <c r="T33" s="221"/>
      <c r="U33" s="221"/>
      <c r="V33" s="222"/>
      <c r="W33" s="43"/>
      <c r="X33" s="43"/>
      <c r="Y33" s="43"/>
      <c r="Z33" s="43"/>
    </row>
    <row r="34" spans="1:26" s="1" customFormat="1" ht="12" x14ac:dyDescent="0.2">
      <c r="A34" s="99"/>
      <c r="B34" s="6"/>
      <c r="C34" s="6"/>
      <c r="D34" s="6"/>
      <c r="E34" s="6"/>
      <c r="F34" s="5"/>
      <c r="G34" s="5"/>
      <c r="H34" s="5"/>
      <c r="I34" s="6"/>
      <c r="J34" s="6"/>
      <c r="K34" s="5"/>
      <c r="L34" s="49"/>
      <c r="M34" s="49"/>
      <c r="N34" s="49"/>
      <c r="O34" s="49"/>
      <c r="P34" s="49"/>
      <c r="Q34" s="49"/>
      <c r="R34" s="49"/>
      <c r="S34" s="49"/>
      <c r="T34" s="49"/>
      <c r="U34" s="49"/>
      <c r="V34" s="47"/>
      <c r="W34" s="48"/>
      <c r="X34" s="48"/>
      <c r="Y34" s="48"/>
      <c r="Z34" s="48"/>
    </row>
    <row r="35" spans="1:26" s="1" customFormat="1" ht="12" x14ac:dyDescent="0.2">
      <c r="A35" s="99"/>
      <c r="B35" s="6"/>
      <c r="C35" s="6"/>
      <c r="D35" s="6"/>
      <c r="E35" s="6"/>
      <c r="F35" s="5"/>
      <c r="G35" s="5"/>
      <c r="H35" s="5"/>
      <c r="I35" s="6"/>
      <c r="J35" s="6"/>
      <c r="K35" s="5"/>
      <c r="L35" s="49"/>
      <c r="M35" s="49"/>
      <c r="N35" s="49"/>
      <c r="O35" s="49"/>
      <c r="P35" s="49"/>
      <c r="Q35" s="49"/>
      <c r="R35" s="49"/>
      <c r="S35" s="49"/>
      <c r="T35" s="49"/>
      <c r="U35" s="49"/>
      <c r="V35" s="47"/>
      <c r="W35" s="48"/>
      <c r="X35" s="48"/>
      <c r="Y35" s="48"/>
      <c r="Z35" s="48"/>
    </row>
    <row r="36" spans="1:26" s="1" customFormat="1" ht="22.5" customHeight="1" x14ac:dyDescent="0.2">
      <c r="A36" s="216" t="s">
        <v>788</v>
      </c>
      <c r="B36" s="217"/>
      <c r="C36" s="217"/>
      <c r="D36" s="217"/>
      <c r="E36" s="217"/>
      <c r="F36" s="76"/>
      <c r="G36" s="5"/>
      <c r="H36" s="152"/>
      <c r="I36" s="153"/>
      <c r="J36" s="153"/>
      <c r="K36" s="153"/>
      <c r="L36" s="153"/>
      <c r="M36" s="153"/>
      <c r="N36" s="153"/>
      <c r="O36" s="153"/>
      <c r="P36" s="153"/>
      <c r="Q36" s="153"/>
      <c r="R36" s="153"/>
      <c r="S36" s="6"/>
      <c r="T36" s="49"/>
      <c r="U36" s="49"/>
      <c r="V36" s="47"/>
      <c r="W36" s="48"/>
      <c r="X36" s="48"/>
      <c r="Y36" s="48"/>
      <c r="Z36" s="48"/>
    </row>
    <row r="37" spans="1:26" s="1" customFormat="1" ht="38.450000000000003" customHeight="1" x14ac:dyDescent="0.2">
      <c r="A37" s="101" t="s">
        <v>160</v>
      </c>
      <c r="B37" s="77" t="s">
        <v>77</v>
      </c>
      <c r="C37" s="77" t="s">
        <v>110</v>
      </c>
      <c r="D37" s="77" t="s">
        <v>140</v>
      </c>
      <c r="E37" s="77" t="s">
        <v>1</v>
      </c>
      <c r="F37" s="5"/>
      <c r="G37" s="6"/>
      <c r="H37" s="147"/>
      <c r="I37" s="147"/>
      <c r="J37" s="147"/>
      <c r="K37" s="147"/>
      <c r="L37" s="6"/>
      <c r="M37" s="6"/>
      <c r="N37" s="6"/>
      <c r="O37" s="6"/>
      <c r="P37" s="6"/>
      <c r="Q37" s="6"/>
      <c r="R37" s="49"/>
      <c r="S37" s="49"/>
      <c r="T37" s="49"/>
      <c r="U37" s="91"/>
      <c r="V37" s="100"/>
      <c r="W37" s="48"/>
      <c r="X37" s="48"/>
    </row>
    <row r="38" spans="1:26" s="1" customFormat="1" ht="15.75" customHeight="1" thickBot="1" x14ac:dyDescent="0.25">
      <c r="A38" s="102" t="s">
        <v>1</v>
      </c>
      <c r="B38" s="125">
        <v>11000</v>
      </c>
      <c r="C38" s="128">
        <v>8361</v>
      </c>
      <c r="D38" s="125">
        <v>39277</v>
      </c>
      <c r="E38" s="125">
        <v>58638</v>
      </c>
      <c r="F38" s="5"/>
      <c r="G38" s="6"/>
      <c r="H38" s="147"/>
      <c r="I38" s="147"/>
      <c r="J38" s="147"/>
      <c r="K38" s="147"/>
      <c r="L38" s="147"/>
      <c r="M38" s="147"/>
      <c r="N38" s="147"/>
      <c r="O38" s="147"/>
      <c r="P38" s="147"/>
      <c r="Q38" s="147"/>
      <c r="R38" s="154"/>
      <c r="S38" s="154"/>
      <c r="T38" s="49"/>
      <c r="U38" s="91"/>
      <c r="V38" s="100"/>
      <c r="W38" s="48"/>
      <c r="X38" s="48"/>
    </row>
    <row r="39" spans="1:26" s="1" customFormat="1" ht="12.75" thickTop="1" x14ac:dyDescent="0.2">
      <c r="A39" s="96" t="s">
        <v>782</v>
      </c>
      <c r="B39" s="126">
        <f>SUM(B40:B41)</f>
        <v>6435</v>
      </c>
      <c r="C39" s="126">
        <f t="shared" ref="C39:E39" si="2">SUM(C40:C41)</f>
        <v>6110</v>
      </c>
      <c r="D39" s="126">
        <f t="shared" si="2"/>
        <v>15670</v>
      </c>
      <c r="E39" s="124">
        <f t="shared" si="2"/>
        <v>28215</v>
      </c>
      <c r="F39" s="5"/>
      <c r="G39" s="6"/>
      <c r="H39" s="147"/>
      <c r="I39" s="147"/>
      <c r="J39" s="147"/>
      <c r="K39" s="147"/>
      <c r="L39" s="147"/>
      <c r="M39" s="147"/>
      <c r="N39" s="147"/>
      <c r="O39" s="147"/>
      <c r="P39" s="147"/>
      <c r="Q39" s="147"/>
      <c r="R39" s="49"/>
      <c r="S39" s="154"/>
      <c r="T39" s="49"/>
      <c r="U39" s="91"/>
      <c r="V39" s="100"/>
      <c r="W39" s="48"/>
      <c r="X39" s="48"/>
    </row>
    <row r="40" spans="1:26" s="1" customFormat="1" ht="12" x14ac:dyDescent="0.2">
      <c r="A40" s="103" t="s">
        <v>783</v>
      </c>
      <c r="B40" s="167">
        <v>1075</v>
      </c>
      <c r="C40" s="167">
        <v>1504</v>
      </c>
      <c r="D40" s="167">
        <v>1911</v>
      </c>
      <c r="E40" s="168">
        <v>4490</v>
      </c>
      <c r="F40" s="5"/>
      <c r="G40" s="6"/>
      <c r="H40" s="147"/>
      <c r="I40" s="147"/>
      <c r="J40" s="147"/>
      <c r="K40" s="147"/>
      <c r="L40" s="147"/>
      <c r="M40" s="147"/>
      <c r="N40" s="147"/>
      <c r="O40" s="147"/>
      <c r="P40" s="147"/>
      <c r="Q40" s="147"/>
      <c r="R40" s="154"/>
      <c r="S40" s="154"/>
      <c r="T40" s="49"/>
      <c r="U40" s="91"/>
      <c r="V40" s="100"/>
      <c r="W40" s="48"/>
      <c r="X40" s="48"/>
    </row>
    <row r="41" spans="1:26" s="1" customFormat="1" ht="12" x14ac:dyDescent="0.2">
      <c r="A41" s="103" t="s">
        <v>784</v>
      </c>
      <c r="B41" s="167">
        <v>5360</v>
      </c>
      <c r="C41" s="167">
        <v>4606</v>
      </c>
      <c r="D41" s="167">
        <v>13759</v>
      </c>
      <c r="E41" s="169">
        <v>23725</v>
      </c>
      <c r="F41" s="5"/>
      <c r="G41" s="6"/>
      <c r="H41" s="6"/>
      <c r="I41" s="147"/>
      <c r="J41" s="147"/>
      <c r="K41" s="147"/>
      <c r="L41" s="147"/>
      <c r="M41" s="6"/>
      <c r="N41" s="6"/>
      <c r="O41" s="6"/>
      <c r="P41" s="6"/>
      <c r="Q41" s="6"/>
      <c r="R41" s="49"/>
      <c r="S41" s="49"/>
      <c r="T41" s="49"/>
      <c r="U41" s="91"/>
      <c r="V41" s="100"/>
      <c r="W41" s="48"/>
      <c r="X41" s="48"/>
    </row>
    <row r="42" spans="1:26" s="1" customFormat="1" ht="12" x14ac:dyDescent="0.2">
      <c r="A42" s="96" t="s">
        <v>2</v>
      </c>
      <c r="B42" s="127">
        <v>1687</v>
      </c>
      <c r="C42" s="127">
        <v>1653</v>
      </c>
      <c r="D42" s="127">
        <v>10058</v>
      </c>
      <c r="E42" s="90">
        <v>13398</v>
      </c>
      <c r="F42" s="5"/>
      <c r="G42" s="6"/>
      <c r="H42" s="6"/>
      <c r="I42" s="147"/>
      <c r="J42" s="6"/>
      <c r="K42" s="147"/>
      <c r="L42" s="147"/>
      <c r="M42" s="6"/>
      <c r="N42" s="6"/>
      <c r="O42" s="6"/>
      <c r="P42" s="6"/>
      <c r="Q42" s="6"/>
      <c r="R42" s="49"/>
      <c r="S42" s="49"/>
      <c r="T42" s="49"/>
      <c r="U42" s="91"/>
      <c r="V42" s="100"/>
      <c r="W42" s="48"/>
      <c r="X42" s="48"/>
    </row>
    <row r="43" spans="1:26" s="1" customFormat="1" ht="12" x14ac:dyDescent="0.2">
      <c r="A43" s="96" t="s">
        <v>785</v>
      </c>
      <c r="B43" s="127">
        <v>2626</v>
      </c>
      <c r="C43" s="127">
        <v>461</v>
      </c>
      <c r="D43" s="127">
        <v>3052</v>
      </c>
      <c r="E43" s="90">
        <v>6139</v>
      </c>
      <c r="F43" s="5"/>
      <c r="G43" s="6"/>
      <c r="H43" s="6"/>
      <c r="I43" s="6"/>
      <c r="J43" s="6"/>
      <c r="K43" s="147"/>
      <c r="L43" s="147"/>
      <c r="M43" s="6"/>
      <c r="N43" s="6"/>
      <c r="O43" s="6"/>
      <c r="P43" s="6"/>
      <c r="Q43" s="6"/>
      <c r="R43" s="49"/>
      <c r="S43" s="49"/>
      <c r="T43" s="49"/>
      <c r="U43" s="91"/>
      <c r="V43" s="100"/>
      <c r="W43" s="48"/>
      <c r="X43" s="48"/>
    </row>
    <row r="44" spans="1:26" s="1" customFormat="1" ht="12" x14ac:dyDescent="0.2">
      <c r="A44" s="96" t="s">
        <v>786</v>
      </c>
      <c r="B44" s="127">
        <v>250</v>
      </c>
      <c r="C44" s="127">
        <v>136</v>
      </c>
      <c r="D44" s="127">
        <v>10496</v>
      </c>
      <c r="E44" s="90">
        <v>10882</v>
      </c>
      <c r="F44" s="5"/>
      <c r="G44" s="6"/>
      <c r="H44" s="6"/>
      <c r="I44" s="6"/>
      <c r="J44" s="6"/>
      <c r="K44" s="6"/>
      <c r="L44" s="6"/>
      <c r="M44" s="6"/>
      <c r="N44" s="6"/>
      <c r="O44" s="6"/>
      <c r="P44" s="6"/>
      <c r="Q44" s="6"/>
      <c r="R44" s="49"/>
      <c r="S44" s="49"/>
      <c r="T44" s="49"/>
      <c r="U44" s="91"/>
      <c r="V44" s="100"/>
      <c r="W44" s="48"/>
      <c r="X44" s="48"/>
    </row>
    <row r="45" spans="1:26" s="1" customFormat="1" ht="12" x14ac:dyDescent="0.2">
      <c r="A45" s="96" t="s">
        <v>787</v>
      </c>
      <c r="B45" s="127">
        <v>2</v>
      </c>
      <c r="C45" s="127">
        <v>1</v>
      </c>
      <c r="D45" s="127">
        <v>1</v>
      </c>
      <c r="E45" s="89">
        <v>4</v>
      </c>
      <c r="F45" s="5"/>
      <c r="G45" s="6"/>
      <c r="H45" s="6"/>
      <c r="I45" s="5"/>
      <c r="J45" s="49"/>
      <c r="K45" s="49"/>
      <c r="L45" s="49"/>
      <c r="M45" s="49"/>
      <c r="N45" s="49"/>
      <c r="O45" s="49"/>
      <c r="P45" s="49"/>
      <c r="Q45" s="49"/>
      <c r="R45" s="49"/>
      <c r="S45" s="49"/>
      <c r="T45" s="49"/>
      <c r="U45" s="91"/>
      <c r="V45" s="100"/>
      <c r="W45" s="48"/>
      <c r="X45" s="48"/>
    </row>
    <row r="46" spans="1:26" s="1" customFormat="1" ht="12" x14ac:dyDescent="0.2">
      <c r="A46" s="99"/>
      <c r="B46" s="6"/>
      <c r="C46" s="6"/>
      <c r="D46" s="6"/>
      <c r="E46" s="5"/>
      <c r="F46" s="5"/>
      <c r="G46" s="5"/>
      <c r="H46" s="6"/>
      <c r="I46" s="6"/>
      <c r="J46" s="5"/>
      <c r="K46" s="49"/>
      <c r="L46" s="49"/>
      <c r="M46" s="49"/>
      <c r="N46" s="49"/>
      <c r="O46" s="49"/>
      <c r="P46" s="49"/>
      <c r="Q46" s="49"/>
      <c r="R46" s="49"/>
      <c r="S46" s="49"/>
      <c r="T46" s="49"/>
      <c r="U46" s="49"/>
      <c r="V46" s="100"/>
      <c r="W46" s="48"/>
      <c r="X46" s="48"/>
      <c r="Y46" s="48"/>
    </row>
    <row r="47" spans="1:26" s="8" customFormat="1" ht="18" customHeight="1" x14ac:dyDescent="0.2">
      <c r="A47" s="209"/>
      <c r="B47" s="210"/>
      <c r="C47" s="210"/>
      <c r="D47" s="210"/>
      <c r="E47" s="210"/>
      <c r="F47" s="210"/>
      <c r="G47" s="210"/>
      <c r="H47" s="210"/>
      <c r="I47" s="210"/>
      <c r="J47" s="210"/>
      <c r="K47" s="210"/>
      <c r="L47" s="210"/>
      <c r="M47" s="210"/>
      <c r="N47" s="210"/>
      <c r="O47" s="210"/>
      <c r="P47" s="210"/>
      <c r="Q47" s="210"/>
      <c r="R47" s="210"/>
      <c r="S47" s="230"/>
      <c r="T47" s="230"/>
      <c r="U47" s="230"/>
      <c r="V47" s="211"/>
      <c r="W47" s="43"/>
      <c r="X47" s="43"/>
      <c r="Y47" s="43"/>
      <c r="Z47" s="43"/>
    </row>
    <row r="48" spans="1:26" s="1" customFormat="1" ht="12" x14ac:dyDescent="0.2">
      <c r="A48" s="99"/>
      <c r="B48" s="6"/>
      <c r="C48" s="6"/>
      <c r="D48" s="6"/>
      <c r="E48" s="6"/>
      <c r="F48" s="5"/>
      <c r="G48" s="5"/>
      <c r="H48" s="5"/>
      <c r="I48" s="6"/>
      <c r="J48" s="6"/>
      <c r="K48" s="5"/>
      <c r="L48" s="49"/>
      <c r="M48" s="49"/>
      <c r="N48" s="49"/>
      <c r="O48" s="49"/>
      <c r="P48" s="49"/>
      <c r="Q48" s="49"/>
      <c r="R48" s="49"/>
      <c r="S48" s="49"/>
      <c r="T48" s="49"/>
      <c r="U48" s="49"/>
      <c r="V48" s="47"/>
      <c r="W48" s="48"/>
      <c r="X48" s="48"/>
      <c r="Y48" s="48"/>
      <c r="Z48" s="48"/>
    </row>
    <row r="49" spans="1:27" s="1" customFormat="1" ht="23.25" customHeight="1" x14ac:dyDescent="0.2">
      <c r="A49" s="241" t="s">
        <v>163</v>
      </c>
      <c r="B49" s="242"/>
      <c r="C49" s="242"/>
      <c r="D49" s="242"/>
      <c r="E49" s="242"/>
      <c r="F49" s="242"/>
      <c r="G49" s="242"/>
      <c r="H49" s="242"/>
      <c r="I49" s="242"/>
      <c r="J49" s="242"/>
      <c r="K49" s="242"/>
      <c r="L49" s="242"/>
      <c r="M49" s="242"/>
      <c r="N49" s="242"/>
      <c r="O49" s="49"/>
      <c r="P49" s="49"/>
      <c r="Q49" s="155"/>
      <c r="R49" s="155"/>
      <c r="S49" s="155"/>
      <c r="T49" s="155"/>
      <c r="U49" s="155"/>
      <c r="V49" s="156"/>
      <c r="W49" s="162"/>
      <c r="X49" s="162"/>
      <c r="Y49" s="162"/>
      <c r="Z49" s="162"/>
      <c r="AA49" s="157"/>
    </row>
    <row r="50" spans="1:27" s="1" customFormat="1" ht="22.5" customHeight="1" x14ac:dyDescent="0.2">
      <c r="A50" s="38" t="s">
        <v>145</v>
      </c>
      <c r="B50" s="108" t="s">
        <v>146</v>
      </c>
      <c r="C50" s="108" t="s">
        <v>147</v>
      </c>
      <c r="D50" s="108" t="s">
        <v>148</v>
      </c>
      <c r="E50" s="108" t="s">
        <v>149</v>
      </c>
      <c r="F50" s="108" t="s">
        <v>150</v>
      </c>
      <c r="G50" s="108" t="s">
        <v>151</v>
      </c>
      <c r="H50" s="108" t="s">
        <v>152</v>
      </c>
      <c r="I50" s="108" t="s">
        <v>153</v>
      </c>
      <c r="J50" s="108" t="s">
        <v>154</v>
      </c>
      <c r="K50" s="108" t="s">
        <v>157</v>
      </c>
      <c r="L50" s="108" t="s">
        <v>158</v>
      </c>
      <c r="M50" s="108" t="s">
        <v>159</v>
      </c>
      <c r="N50" s="108" t="s">
        <v>167</v>
      </c>
      <c r="O50" s="49"/>
      <c r="P50" s="49"/>
      <c r="Q50" s="49"/>
      <c r="R50" s="49"/>
      <c r="S50" s="49"/>
      <c r="T50" s="49"/>
      <c r="U50" s="49"/>
      <c r="V50" s="47"/>
      <c r="W50" s="48"/>
      <c r="X50" s="48"/>
      <c r="Y50" s="48"/>
      <c r="Z50" s="48"/>
    </row>
    <row r="51" spans="1:27" s="1" customFormat="1" ht="12" x14ac:dyDescent="0.2">
      <c r="A51" s="102" t="s">
        <v>164</v>
      </c>
      <c r="B51" s="130">
        <v>31148.09677</v>
      </c>
      <c r="C51" s="131">
        <v>27528.56667</v>
      </c>
      <c r="D51" s="130">
        <v>24442.80645</v>
      </c>
      <c r="E51" s="131">
        <v>22598.70968</v>
      </c>
      <c r="F51" s="130">
        <v>20337.241379999999</v>
      </c>
      <c r="G51" s="131">
        <v>18519.70968</v>
      </c>
      <c r="H51" s="131">
        <v>15030.93333</v>
      </c>
      <c r="I51" s="130">
        <v>12091.06452</v>
      </c>
      <c r="J51" s="131">
        <v>10181.6</v>
      </c>
      <c r="K51" s="130">
        <v>8962.96774</v>
      </c>
      <c r="L51" s="130">
        <v>7887.6</v>
      </c>
      <c r="M51" s="131">
        <v>0</v>
      </c>
      <c r="N51" s="130">
        <v>18565.596880000001</v>
      </c>
      <c r="O51" s="49"/>
      <c r="P51" s="49"/>
      <c r="Q51" s="146"/>
      <c r="R51" s="146"/>
      <c r="S51" s="146"/>
      <c r="T51" s="146"/>
      <c r="U51" s="146"/>
      <c r="V51" s="158"/>
      <c r="W51" s="163"/>
      <c r="X51" s="163"/>
      <c r="Y51" s="163"/>
      <c r="Z51" s="163"/>
      <c r="AA51" s="159"/>
    </row>
    <row r="52" spans="1:27" s="1" customFormat="1" ht="12" x14ac:dyDescent="0.2">
      <c r="A52" s="104" t="s">
        <v>77</v>
      </c>
      <c r="B52" s="129">
        <v>4579.96774</v>
      </c>
      <c r="C52" s="129">
        <v>3837.1666700000001</v>
      </c>
      <c r="D52" s="129">
        <v>3370.4516100000001</v>
      </c>
      <c r="E52" s="129">
        <v>3174.5806499999999</v>
      </c>
      <c r="F52" s="129">
        <v>2861</v>
      </c>
      <c r="G52" s="129">
        <v>2689.6129000000001</v>
      </c>
      <c r="H52" s="129">
        <v>2485.5333300000002</v>
      </c>
      <c r="I52" s="129">
        <v>2197.7741900000001</v>
      </c>
      <c r="J52" s="129">
        <v>1989.9</v>
      </c>
      <c r="K52" s="129">
        <v>1716.1290300000001</v>
      </c>
      <c r="L52" s="129">
        <v>1512.6</v>
      </c>
      <c r="M52" s="129">
        <v>0</v>
      </c>
      <c r="N52" s="129">
        <v>2826.9375</v>
      </c>
      <c r="O52" s="49"/>
      <c r="P52" s="49"/>
      <c r="Q52" s="146"/>
      <c r="R52" s="146"/>
      <c r="S52" s="146"/>
      <c r="T52" s="146"/>
      <c r="U52" s="154"/>
      <c r="V52" s="158"/>
      <c r="W52" s="163"/>
      <c r="X52" s="163"/>
      <c r="Y52" s="163"/>
      <c r="Z52" s="163"/>
      <c r="AA52" s="159"/>
    </row>
    <row r="53" spans="1:27" s="1" customFormat="1" ht="12" x14ac:dyDescent="0.2">
      <c r="A53" s="105" t="s">
        <v>110</v>
      </c>
      <c r="B53" s="129">
        <v>899.87097000000006</v>
      </c>
      <c r="C53" s="129">
        <v>768.66666999999995</v>
      </c>
      <c r="D53" s="129">
        <v>687.77418999999998</v>
      </c>
      <c r="E53" s="129">
        <v>690.16129000000001</v>
      </c>
      <c r="F53" s="129">
        <v>622.93102999999996</v>
      </c>
      <c r="G53" s="129">
        <v>555.22581000000002</v>
      </c>
      <c r="H53" s="129">
        <v>497.76666999999998</v>
      </c>
      <c r="I53" s="129">
        <v>422.58064999999999</v>
      </c>
      <c r="J53" s="129">
        <v>387.43333000000001</v>
      </c>
      <c r="K53" s="129">
        <v>336.51612999999998</v>
      </c>
      <c r="L53" s="129">
        <v>291.8</v>
      </c>
      <c r="M53" s="129">
        <v>0</v>
      </c>
      <c r="N53" s="129">
        <v>573.16875000000005</v>
      </c>
      <c r="O53" s="49"/>
      <c r="P53" s="155"/>
      <c r="Q53" s="155"/>
      <c r="R53" s="155"/>
      <c r="S53" s="155"/>
      <c r="T53" s="155"/>
      <c r="U53" s="155"/>
      <c r="V53" s="156"/>
      <c r="W53" s="162"/>
      <c r="X53" s="162"/>
      <c r="Y53" s="162"/>
      <c r="Z53" s="162"/>
    </row>
    <row r="54" spans="1:27" s="50" customFormat="1" ht="12" x14ac:dyDescent="0.2">
      <c r="A54" s="105" t="s">
        <v>140</v>
      </c>
      <c r="B54" s="129">
        <v>25668.25806</v>
      </c>
      <c r="C54" s="129">
        <v>22922.733329999999</v>
      </c>
      <c r="D54" s="129">
        <v>20384.58065</v>
      </c>
      <c r="E54" s="129">
        <v>18733.96774</v>
      </c>
      <c r="F54" s="129">
        <v>16853.31034</v>
      </c>
      <c r="G54" s="129">
        <v>15274.87097</v>
      </c>
      <c r="H54" s="129">
        <v>12047.633330000001</v>
      </c>
      <c r="I54" s="129">
        <v>9470.7096799999999</v>
      </c>
      <c r="J54" s="129">
        <v>7804.26667</v>
      </c>
      <c r="K54" s="129">
        <v>6910.32258</v>
      </c>
      <c r="L54" s="129">
        <v>6083.2</v>
      </c>
      <c r="M54" s="129">
        <v>0</v>
      </c>
      <c r="N54" s="129">
        <v>15165.49063</v>
      </c>
      <c r="O54" s="49"/>
      <c r="P54" s="146"/>
      <c r="Q54" s="146"/>
      <c r="R54" s="146"/>
      <c r="S54" s="146"/>
      <c r="T54" s="146"/>
      <c r="U54" s="146"/>
      <c r="V54" s="158"/>
      <c r="W54" s="164"/>
      <c r="X54" s="164"/>
      <c r="Y54" s="164"/>
      <c r="Z54" s="164"/>
      <c r="AA54" s="164"/>
    </row>
    <row r="55" spans="1:27" s="1" customFormat="1" ht="12" x14ac:dyDescent="0.2">
      <c r="A55" s="102" t="s">
        <v>165</v>
      </c>
      <c r="B55" s="130">
        <v>19074.09677</v>
      </c>
      <c r="C55" s="131">
        <v>18647.833330000001</v>
      </c>
      <c r="D55" s="130">
        <v>18312.77419</v>
      </c>
      <c r="E55" s="131">
        <v>18521.35484</v>
      </c>
      <c r="F55" s="130">
        <v>18981.758620000001</v>
      </c>
      <c r="G55" s="131">
        <v>19173.09677</v>
      </c>
      <c r="H55" s="131">
        <v>16797.2</v>
      </c>
      <c r="I55" s="130">
        <v>15101.90323</v>
      </c>
      <c r="J55" s="131">
        <v>14026.03333</v>
      </c>
      <c r="K55" s="130">
        <v>13590.77419</v>
      </c>
      <c r="L55" s="130">
        <v>13703.8</v>
      </c>
      <c r="M55" s="131">
        <v>0</v>
      </c>
      <c r="N55" s="130">
        <v>17053.606250000001</v>
      </c>
      <c r="O55" s="49"/>
      <c r="P55" s="146"/>
      <c r="Q55" s="146"/>
      <c r="R55" s="146"/>
      <c r="S55" s="146"/>
      <c r="T55" s="146"/>
      <c r="U55" s="146"/>
      <c r="V55" s="158"/>
      <c r="W55" s="159"/>
      <c r="X55" s="159"/>
      <c r="Y55" s="159"/>
      <c r="Z55" s="159"/>
      <c r="AA55" s="159"/>
    </row>
    <row r="56" spans="1:27" s="1" customFormat="1" ht="12" x14ac:dyDescent="0.2">
      <c r="A56" s="104" t="s">
        <v>77</v>
      </c>
      <c r="B56" s="129">
        <v>13173.87097</v>
      </c>
      <c r="C56" s="129">
        <v>12763.46667</v>
      </c>
      <c r="D56" s="129">
        <v>12534.35484</v>
      </c>
      <c r="E56" s="129">
        <v>12594.90323</v>
      </c>
      <c r="F56" s="129">
        <v>12740.62069</v>
      </c>
      <c r="G56" s="129">
        <v>12839.77419</v>
      </c>
      <c r="H56" s="129">
        <v>11875.233329999999</v>
      </c>
      <c r="I56" s="129">
        <v>11032.03226</v>
      </c>
      <c r="J56" s="129">
        <v>10297.5</v>
      </c>
      <c r="K56" s="129">
        <v>10014.51613</v>
      </c>
      <c r="L56" s="129">
        <v>10036.93333</v>
      </c>
      <c r="M56" s="129">
        <v>0</v>
      </c>
      <c r="N56" s="129">
        <v>11893.721879999999</v>
      </c>
      <c r="O56" s="49"/>
      <c r="P56" s="146"/>
      <c r="Q56" s="146"/>
      <c r="R56" s="146"/>
      <c r="S56" s="146"/>
      <c r="T56" s="146"/>
      <c r="U56" s="146"/>
      <c r="V56" s="158"/>
      <c r="W56" s="159"/>
      <c r="X56" s="159"/>
      <c r="Y56" s="159"/>
      <c r="Z56" s="159"/>
      <c r="AA56" s="159"/>
    </row>
    <row r="57" spans="1:27" s="1" customFormat="1" ht="12" x14ac:dyDescent="0.2">
      <c r="A57" s="105" t="s">
        <v>110</v>
      </c>
      <c r="B57" s="129">
        <v>3884.4516100000001</v>
      </c>
      <c r="C57" s="129">
        <v>3851.6333300000001</v>
      </c>
      <c r="D57" s="129">
        <v>3840.4516100000001</v>
      </c>
      <c r="E57" s="129">
        <v>3999</v>
      </c>
      <c r="F57" s="129">
        <v>4130.2069000000001</v>
      </c>
      <c r="G57" s="129">
        <v>4206.3870999999999</v>
      </c>
      <c r="H57" s="129">
        <v>3435.3333299999999</v>
      </c>
      <c r="I57" s="129">
        <v>2920.51613</v>
      </c>
      <c r="J57" s="129">
        <v>2754.5</v>
      </c>
      <c r="K57" s="129">
        <v>2745.80645</v>
      </c>
      <c r="L57" s="129">
        <v>2898.0666700000002</v>
      </c>
      <c r="M57" s="129">
        <v>0</v>
      </c>
      <c r="N57" s="129">
        <v>3543.7062500000002</v>
      </c>
      <c r="O57" s="49"/>
      <c r="P57" s="146"/>
      <c r="Q57" s="146"/>
      <c r="R57" s="146"/>
      <c r="S57" s="146"/>
      <c r="T57" s="154"/>
      <c r="U57" s="146"/>
      <c r="V57" s="158"/>
      <c r="W57" s="159"/>
      <c r="X57" s="159"/>
      <c r="Y57" s="159"/>
      <c r="Z57" s="159"/>
      <c r="AA57" s="159"/>
    </row>
    <row r="58" spans="1:27" s="1" customFormat="1" ht="12" x14ac:dyDescent="0.2">
      <c r="A58" s="105" t="s">
        <v>140</v>
      </c>
      <c r="B58" s="129">
        <v>2015.7741900000001</v>
      </c>
      <c r="C58" s="129">
        <v>2032.73333</v>
      </c>
      <c r="D58" s="129">
        <v>1937.96774</v>
      </c>
      <c r="E58" s="129">
        <v>1927.4516100000001</v>
      </c>
      <c r="F58" s="129">
        <v>2110.9310300000002</v>
      </c>
      <c r="G58" s="129">
        <v>2126.9354800000001</v>
      </c>
      <c r="H58" s="129">
        <v>1486.6333299999999</v>
      </c>
      <c r="I58" s="129">
        <v>1149.35484</v>
      </c>
      <c r="J58" s="129">
        <v>974.03332999999998</v>
      </c>
      <c r="K58" s="129">
        <v>830.45160999999996</v>
      </c>
      <c r="L58" s="129">
        <v>768.8</v>
      </c>
      <c r="M58" s="129">
        <v>0</v>
      </c>
      <c r="N58" s="129">
        <v>1616.17813</v>
      </c>
      <c r="O58" s="49"/>
      <c r="P58" s="146"/>
      <c r="Q58" s="146"/>
      <c r="R58" s="146"/>
      <c r="S58" s="146"/>
      <c r="T58" s="146"/>
      <c r="U58" s="146"/>
      <c r="V58" s="158"/>
      <c r="W58" s="159"/>
      <c r="X58" s="159"/>
      <c r="Y58" s="159"/>
      <c r="Z58" s="165"/>
    </row>
    <row r="59" spans="1:27" s="1" customFormat="1" ht="12" x14ac:dyDescent="0.2">
      <c r="A59" s="102" t="s">
        <v>166</v>
      </c>
      <c r="B59" s="130">
        <v>50222.193550000004</v>
      </c>
      <c r="C59" s="131">
        <v>46176.4</v>
      </c>
      <c r="D59" s="130">
        <v>42755.580650000004</v>
      </c>
      <c r="E59" s="131">
        <v>41120.06452</v>
      </c>
      <c r="F59" s="130">
        <v>39319</v>
      </c>
      <c r="G59" s="131">
        <v>37692.806449999996</v>
      </c>
      <c r="H59" s="131">
        <v>31828.133330000001</v>
      </c>
      <c r="I59" s="130">
        <v>27192.96774</v>
      </c>
      <c r="J59" s="131">
        <v>24207.633330000001</v>
      </c>
      <c r="K59" s="130">
        <v>22553.74194</v>
      </c>
      <c r="L59" s="130">
        <v>21591.4</v>
      </c>
      <c r="M59" s="131">
        <v>0</v>
      </c>
      <c r="N59" s="130">
        <v>35619.203130000002</v>
      </c>
      <c r="O59" s="49"/>
      <c r="P59" s="49"/>
      <c r="Q59" s="49"/>
      <c r="R59" s="49"/>
      <c r="S59" s="49"/>
      <c r="T59" s="49"/>
      <c r="U59" s="49"/>
      <c r="V59" s="47"/>
    </row>
    <row r="60" spans="1:27" s="1" customFormat="1" ht="12" x14ac:dyDescent="0.2">
      <c r="A60" s="104" t="s">
        <v>77</v>
      </c>
      <c r="B60" s="129">
        <v>17753.83871</v>
      </c>
      <c r="C60" s="129">
        <v>16600.633330000001</v>
      </c>
      <c r="D60" s="129">
        <v>15904.80645</v>
      </c>
      <c r="E60" s="129">
        <v>15769.48387</v>
      </c>
      <c r="F60" s="129">
        <v>15601.62069</v>
      </c>
      <c r="G60" s="129">
        <v>15529.3871</v>
      </c>
      <c r="H60" s="129">
        <v>14360.766670000001</v>
      </c>
      <c r="I60" s="129">
        <v>13229.80645</v>
      </c>
      <c r="J60" s="129">
        <v>12287.4</v>
      </c>
      <c r="K60" s="129">
        <v>11730.64516</v>
      </c>
      <c r="L60" s="129">
        <v>11549.53333</v>
      </c>
      <c r="M60" s="129">
        <v>0</v>
      </c>
      <c r="N60" s="129">
        <v>14720.659379999999</v>
      </c>
      <c r="O60" s="49"/>
      <c r="P60" s="49"/>
      <c r="Q60" s="49"/>
      <c r="R60" s="49"/>
      <c r="S60" s="49"/>
      <c r="T60" s="49"/>
      <c r="U60" s="49"/>
      <c r="V60" s="47"/>
    </row>
    <row r="61" spans="1:27" s="1" customFormat="1" ht="12" x14ac:dyDescent="0.2">
      <c r="A61" s="105" t="s">
        <v>110</v>
      </c>
      <c r="B61" s="129">
        <v>4784.32258</v>
      </c>
      <c r="C61" s="129">
        <v>4620.3</v>
      </c>
      <c r="D61" s="129">
        <v>4528.2258099999999</v>
      </c>
      <c r="E61" s="129">
        <v>4689.16129</v>
      </c>
      <c r="F61" s="129">
        <v>4753.1379299999999</v>
      </c>
      <c r="G61" s="129">
        <v>4761.6129000000001</v>
      </c>
      <c r="H61" s="129">
        <v>3933.1</v>
      </c>
      <c r="I61" s="129">
        <v>3343.0967700000001</v>
      </c>
      <c r="J61" s="129">
        <v>3141.9333299999998</v>
      </c>
      <c r="K61" s="129">
        <v>3082.32258</v>
      </c>
      <c r="L61" s="129">
        <v>3189.8666699999999</v>
      </c>
      <c r="M61" s="129">
        <v>0</v>
      </c>
      <c r="N61" s="129">
        <v>4116.875</v>
      </c>
      <c r="O61" s="49"/>
      <c r="P61" s="49"/>
      <c r="Q61" s="49"/>
      <c r="R61" s="49"/>
      <c r="S61" s="49"/>
      <c r="T61" s="49"/>
      <c r="U61" s="49"/>
      <c r="V61" s="47"/>
    </row>
    <row r="62" spans="1:27" s="1" customFormat="1" ht="12" x14ac:dyDescent="0.2">
      <c r="A62" s="105" t="s">
        <v>140</v>
      </c>
      <c r="B62" s="129">
        <v>27684.03226</v>
      </c>
      <c r="C62" s="129">
        <v>24955.466670000002</v>
      </c>
      <c r="D62" s="129">
        <v>22322.54839</v>
      </c>
      <c r="E62" s="129">
        <v>20661.41935</v>
      </c>
      <c r="F62" s="129">
        <v>18964.241379999999</v>
      </c>
      <c r="G62" s="129">
        <v>17401.80645</v>
      </c>
      <c r="H62" s="129">
        <v>13534.266670000001</v>
      </c>
      <c r="I62" s="129">
        <v>10620.06452</v>
      </c>
      <c r="J62" s="129">
        <v>8778.2999999999993</v>
      </c>
      <c r="K62" s="129">
        <v>7740.7741900000001</v>
      </c>
      <c r="L62" s="129">
        <v>6852</v>
      </c>
      <c r="M62" s="129">
        <v>0</v>
      </c>
      <c r="N62" s="129">
        <v>16781.668750000001</v>
      </c>
      <c r="O62" s="49"/>
      <c r="P62" s="49"/>
      <c r="Q62" s="49"/>
      <c r="R62" s="49"/>
      <c r="S62" s="49"/>
      <c r="T62" s="49"/>
      <c r="U62" s="49"/>
      <c r="V62" s="47"/>
    </row>
    <row r="63" spans="1:27" s="1" customFormat="1" ht="12" x14ac:dyDescent="0.2">
      <c r="A63" s="99"/>
      <c r="B63" s="6"/>
      <c r="C63" s="6"/>
      <c r="D63" s="6"/>
      <c r="E63" s="6"/>
      <c r="F63" s="5"/>
      <c r="G63" s="5"/>
      <c r="H63" s="5"/>
      <c r="I63" s="5"/>
      <c r="J63" s="5"/>
      <c r="K63" s="5"/>
      <c r="L63" s="49"/>
      <c r="M63" s="49"/>
      <c r="N63" s="49"/>
      <c r="O63" s="49"/>
      <c r="P63" s="49"/>
      <c r="Q63" s="49"/>
      <c r="R63" s="49"/>
      <c r="S63" s="49"/>
      <c r="T63" s="49"/>
      <c r="U63" s="49"/>
      <c r="V63" s="47"/>
    </row>
    <row r="64" spans="1:27" s="1" customFormat="1" ht="12" customHeight="1" x14ac:dyDescent="0.2">
      <c r="A64" s="209"/>
      <c r="B64" s="210"/>
      <c r="C64" s="210"/>
      <c r="D64" s="210"/>
      <c r="E64" s="210"/>
      <c r="F64" s="210"/>
      <c r="G64" s="210"/>
      <c r="H64" s="210"/>
      <c r="I64" s="210"/>
      <c r="J64" s="210"/>
      <c r="K64" s="210"/>
      <c r="L64" s="210"/>
      <c r="M64" s="210"/>
      <c r="N64" s="210"/>
      <c r="O64" s="210"/>
      <c r="P64" s="210"/>
      <c r="Q64" s="210"/>
      <c r="R64" s="210"/>
      <c r="S64" s="210"/>
      <c r="T64" s="210"/>
      <c r="U64" s="210"/>
      <c r="V64" s="211"/>
    </row>
    <row r="65" spans="1:27" s="1" customFormat="1" ht="12" x14ac:dyDescent="0.2">
      <c r="A65" s="99"/>
      <c r="B65" s="6"/>
      <c r="C65" s="6"/>
      <c r="D65" s="6"/>
      <c r="E65" s="6"/>
      <c r="F65" s="5"/>
      <c r="G65" s="5"/>
      <c r="H65" s="5"/>
      <c r="I65" s="5"/>
      <c r="J65" s="5"/>
      <c r="K65" s="5"/>
      <c r="L65" s="49"/>
      <c r="M65" s="49"/>
      <c r="N65" s="49"/>
      <c r="O65" s="49"/>
      <c r="P65" s="49"/>
      <c r="Q65" s="49"/>
      <c r="R65" s="49"/>
      <c r="S65" s="49"/>
      <c r="T65" s="49"/>
      <c r="U65" s="49"/>
      <c r="V65" s="47"/>
    </row>
    <row r="66" spans="1:27" s="1" customFormat="1" ht="24.75" customHeight="1" x14ac:dyDescent="0.2">
      <c r="A66" s="241" t="s">
        <v>168</v>
      </c>
      <c r="B66" s="242"/>
      <c r="C66" s="242"/>
      <c r="D66" s="242"/>
      <c r="E66" s="242"/>
      <c r="F66" s="242"/>
      <c r="G66" s="242"/>
      <c r="H66" s="242"/>
      <c r="I66" s="242"/>
      <c r="J66" s="242"/>
      <c r="K66" s="242"/>
      <c r="L66" s="242"/>
      <c r="M66" s="242"/>
      <c r="N66" s="242"/>
      <c r="O66" s="49"/>
      <c r="P66" s="49"/>
      <c r="Q66" s="155"/>
      <c r="R66" s="155"/>
      <c r="S66" s="155"/>
      <c r="T66" s="155"/>
      <c r="U66" s="155"/>
      <c r="V66" s="156"/>
      <c r="W66" s="157"/>
      <c r="X66" s="157"/>
      <c r="Y66" s="157"/>
      <c r="Z66" s="157"/>
      <c r="AA66" s="157"/>
    </row>
    <row r="67" spans="1:27" s="1" customFormat="1" ht="12" x14ac:dyDescent="0.2">
      <c r="A67" s="38" t="s">
        <v>145</v>
      </c>
      <c r="B67" s="108" t="s">
        <v>146</v>
      </c>
      <c r="C67" s="108" t="s">
        <v>147</v>
      </c>
      <c r="D67" s="108" t="s">
        <v>148</v>
      </c>
      <c r="E67" s="108" t="s">
        <v>149</v>
      </c>
      <c r="F67" s="108" t="s">
        <v>150</v>
      </c>
      <c r="G67" s="108" t="s">
        <v>151</v>
      </c>
      <c r="H67" s="108" t="s">
        <v>152</v>
      </c>
      <c r="I67" s="108" t="s">
        <v>153</v>
      </c>
      <c r="J67" s="108" t="s">
        <v>154</v>
      </c>
      <c r="K67" s="108" t="s">
        <v>157</v>
      </c>
      <c r="L67" s="108" t="s">
        <v>158</v>
      </c>
      <c r="M67" s="108" t="s">
        <v>159</v>
      </c>
      <c r="N67" s="108" t="s">
        <v>167</v>
      </c>
      <c r="O67" s="49"/>
      <c r="P67" s="49"/>
      <c r="Q67" s="49"/>
      <c r="R67" s="49"/>
      <c r="S67" s="49"/>
      <c r="T67" s="49"/>
      <c r="U67" s="49"/>
      <c r="V67" s="47"/>
    </row>
    <row r="68" spans="1:27" s="1" customFormat="1" ht="12.75" customHeight="1" x14ac:dyDescent="0.2">
      <c r="A68" s="102" t="s">
        <v>164</v>
      </c>
      <c r="B68" s="132">
        <v>57.754600000000003</v>
      </c>
      <c r="C68" s="133">
        <v>56.589799999999997</v>
      </c>
      <c r="D68" s="132">
        <v>52.264679999999998</v>
      </c>
      <c r="E68" s="133">
        <v>60.988819999999997</v>
      </c>
      <c r="F68" s="132">
        <v>59.104709999999997</v>
      </c>
      <c r="G68" s="133">
        <v>54.054540000000003</v>
      </c>
      <c r="H68" s="133">
        <v>85.903459999999995</v>
      </c>
      <c r="I68" s="132">
        <v>109.63941</v>
      </c>
      <c r="J68" s="133">
        <v>134.86288999999999</v>
      </c>
      <c r="K68" s="132">
        <v>122.12289</v>
      </c>
      <c r="L68" s="132">
        <v>134.43822</v>
      </c>
      <c r="M68" s="133">
        <v>0</v>
      </c>
      <c r="N68" s="132">
        <v>65.479619999999997</v>
      </c>
      <c r="O68" s="49"/>
      <c r="P68" s="49"/>
      <c r="Q68" s="49"/>
      <c r="R68" s="49"/>
      <c r="S68" s="49"/>
      <c r="T68" s="49"/>
      <c r="U68" s="49"/>
      <c r="V68" s="47"/>
    </row>
    <row r="69" spans="1:27" s="1" customFormat="1" ht="12" x14ac:dyDescent="0.2">
      <c r="A69" s="104" t="s">
        <v>77</v>
      </c>
      <c r="B69" s="134">
        <v>40.120510000000003</v>
      </c>
      <c r="C69" s="134">
        <v>40.207129999999999</v>
      </c>
      <c r="D69" s="134">
        <v>33.537219999999998</v>
      </c>
      <c r="E69" s="134">
        <v>34.505180000000003</v>
      </c>
      <c r="F69" s="134">
        <v>29.762119999999999</v>
      </c>
      <c r="G69" s="134">
        <v>25.312159999999999</v>
      </c>
      <c r="H69" s="134">
        <v>31.80378</v>
      </c>
      <c r="I69" s="134">
        <v>44.400739999999999</v>
      </c>
      <c r="J69" s="134">
        <v>65.631100000000004</v>
      </c>
      <c r="K69" s="134">
        <v>72.587419999999995</v>
      </c>
      <c r="L69" s="134">
        <v>81.514780000000002</v>
      </c>
      <c r="M69" s="134">
        <v>0</v>
      </c>
      <c r="N69" s="134">
        <v>37.294069999999998</v>
      </c>
      <c r="O69" s="49"/>
      <c r="P69" s="49"/>
      <c r="Q69" s="49"/>
      <c r="R69" s="49"/>
      <c r="S69" s="49"/>
      <c r="T69" s="49"/>
      <c r="U69" s="49"/>
      <c r="V69" s="47"/>
    </row>
    <row r="70" spans="1:27" s="1" customFormat="1" ht="12" x14ac:dyDescent="0.2">
      <c r="A70" s="105" t="s">
        <v>110</v>
      </c>
      <c r="B70" s="134">
        <v>56.091230000000003</v>
      </c>
      <c r="C70" s="134">
        <v>48.159869999999998</v>
      </c>
      <c r="D70" s="134">
        <v>56.052970000000002</v>
      </c>
      <c r="E70" s="134">
        <v>56.919910000000002</v>
      </c>
      <c r="F70" s="134">
        <v>51.364890000000003</v>
      </c>
      <c r="G70" s="134">
        <v>46.210230000000003</v>
      </c>
      <c r="H70" s="134">
        <v>74.095479999999995</v>
      </c>
      <c r="I70" s="134">
        <v>103.90678</v>
      </c>
      <c r="J70" s="134">
        <v>143.93204</v>
      </c>
      <c r="K70" s="134">
        <v>123.99074</v>
      </c>
      <c r="L70" s="134">
        <v>142.4</v>
      </c>
      <c r="M70" s="134">
        <v>0</v>
      </c>
      <c r="N70" s="134">
        <v>61.547280000000001</v>
      </c>
      <c r="O70" s="49"/>
      <c r="P70" s="49"/>
      <c r="Q70" s="49"/>
      <c r="R70" s="49"/>
      <c r="S70" s="49"/>
      <c r="T70" s="49"/>
      <c r="U70" s="49"/>
      <c r="V70" s="47"/>
    </row>
    <row r="71" spans="1:27" s="1" customFormat="1" ht="12" x14ac:dyDescent="0.2">
      <c r="A71" s="105" t="s">
        <v>140</v>
      </c>
      <c r="B71" s="134">
        <v>64.009590000000003</v>
      </c>
      <c r="C71" s="134">
        <v>62.502740000000003</v>
      </c>
      <c r="D71" s="134">
        <v>58.342480000000002</v>
      </c>
      <c r="E71" s="134">
        <v>72.450839999999999</v>
      </c>
      <c r="F71" s="134">
        <v>72.876859999999994</v>
      </c>
      <c r="G71" s="134">
        <v>69.177779999999998</v>
      </c>
      <c r="H71" s="134">
        <v>119.77833</v>
      </c>
      <c r="I71" s="134">
        <v>147.84374</v>
      </c>
      <c r="J71" s="134">
        <v>166.52638999999999</v>
      </c>
      <c r="K71" s="134">
        <v>147.79578000000001</v>
      </c>
      <c r="L71" s="134">
        <v>159.33647999999999</v>
      </c>
      <c r="M71" s="134">
        <v>0</v>
      </c>
      <c r="N71" s="134">
        <v>77.314099999999996</v>
      </c>
      <c r="O71" s="49"/>
      <c r="P71" s="155"/>
      <c r="Q71" s="155"/>
      <c r="R71" s="155"/>
      <c r="S71" s="155"/>
      <c r="T71" s="155"/>
      <c r="U71" s="155"/>
      <c r="V71" s="156"/>
      <c r="W71" s="157"/>
      <c r="X71" s="157"/>
      <c r="Y71" s="157"/>
      <c r="Z71" s="157"/>
    </row>
    <row r="72" spans="1:27" s="1" customFormat="1" ht="12" x14ac:dyDescent="0.2">
      <c r="A72" s="102" t="s">
        <v>165</v>
      </c>
      <c r="B72" s="132">
        <v>51.29421</v>
      </c>
      <c r="C72" s="133">
        <v>54.210520000000002</v>
      </c>
      <c r="D72" s="132">
        <v>58.525919999999999</v>
      </c>
      <c r="E72" s="133">
        <v>52.549280000000003</v>
      </c>
      <c r="F72" s="132">
        <v>52.58034</v>
      </c>
      <c r="G72" s="133">
        <v>47.997140000000002</v>
      </c>
      <c r="H72" s="133">
        <v>64.549400000000006</v>
      </c>
      <c r="I72" s="132">
        <v>64.886409999999998</v>
      </c>
      <c r="J72" s="133">
        <v>68.151610000000005</v>
      </c>
      <c r="K72" s="132">
        <v>72.509479999999996</v>
      </c>
      <c r="L72" s="132">
        <v>65.802750000000003</v>
      </c>
      <c r="M72" s="133">
        <v>0</v>
      </c>
      <c r="N72" s="132">
        <v>57.216050000000003</v>
      </c>
      <c r="O72" s="49"/>
      <c r="P72" s="49"/>
      <c r="Q72" s="49"/>
      <c r="R72" s="49"/>
      <c r="S72" s="49"/>
      <c r="T72" s="49"/>
      <c r="U72" s="49"/>
      <c r="V72" s="47"/>
    </row>
    <row r="73" spans="1:27" s="1" customFormat="1" ht="12" x14ac:dyDescent="0.2">
      <c r="A73" s="104" t="s">
        <v>77</v>
      </c>
      <c r="B73" s="134">
        <v>52.877630000000003</v>
      </c>
      <c r="C73" s="134">
        <v>55.664610000000003</v>
      </c>
      <c r="D73" s="134">
        <v>61.337969999999999</v>
      </c>
      <c r="E73" s="134">
        <v>52.66865</v>
      </c>
      <c r="F73" s="134">
        <v>52.986780000000003</v>
      </c>
      <c r="G73" s="134">
        <v>49.19417</v>
      </c>
      <c r="H73" s="134">
        <v>64.539869999999993</v>
      </c>
      <c r="I73" s="134">
        <v>62.01605</v>
      </c>
      <c r="J73" s="134">
        <v>66.976650000000006</v>
      </c>
      <c r="K73" s="134">
        <v>70.720200000000006</v>
      </c>
      <c r="L73" s="134">
        <v>62.840159999999997</v>
      </c>
      <c r="M73" s="134">
        <v>0</v>
      </c>
      <c r="N73" s="134">
        <v>57.827970000000001</v>
      </c>
      <c r="O73" s="49"/>
      <c r="P73" s="49"/>
      <c r="Q73" s="49"/>
      <c r="R73" s="49"/>
      <c r="S73" s="49"/>
      <c r="T73" s="49"/>
      <c r="U73" s="49"/>
      <c r="V73" s="47"/>
    </row>
    <row r="74" spans="1:27" s="1" customFormat="1" ht="12" customHeight="1" x14ac:dyDescent="0.2">
      <c r="A74" s="105" t="s">
        <v>110</v>
      </c>
      <c r="B74" s="134">
        <v>49.407940000000004</v>
      </c>
      <c r="C74" s="134">
        <v>52.07949</v>
      </c>
      <c r="D74" s="134">
        <v>53.575490000000002</v>
      </c>
      <c r="E74" s="134">
        <v>51.008009999999999</v>
      </c>
      <c r="F74" s="134">
        <v>52.453919999999997</v>
      </c>
      <c r="G74" s="134">
        <v>47.708449999999999</v>
      </c>
      <c r="H74" s="134">
        <v>61.240430000000003</v>
      </c>
      <c r="I74" s="134">
        <v>64.362530000000007</v>
      </c>
      <c r="J74" s="134">
        <v>65.544380000000004</v>
      </c>
      <c r="K74" s="134">
        <v>67.260189999999994</v>
      </c>
      <c r="L74" s="134">
        <v>68.727270000000004</v>
      </c>
      <c r="M74" s="134">
        <v>0</v>
      </c>
      <c r="N74" s="134">
        <v>55.087940000000003</v>
      </c>
      <c r="O74" s="49"/>
      <c r="P74" s="49"/>
      <c r="Q74" s="49"/>
      <c r="R74" s="49"/>
      <c r="S74" s="49"/>
      <c r="T74" s="49"/>
      <c r="U74" s="49"/>
      <c r="V74" s="47"/>
    </row>
    <row r="75" spans="1:27" s="1" customFormat="1" ht="12" x14ac:dyDescent="0.2">
      <c r="A75" s="105" t="s">
        <v>140</v>
      </c>
      <c r="B75" s="134">
        <v>44.994349999999997</v>
      </c>
      <c r="C75" s="134">
        <v>49.154589999999999</v>
      </c>
      <c r="D75" s="134">
        <v>50.439149999999998</v>
      </c>
      <c r="E75" s="134">
        <v>54.534379999999999</v>
      </c>
      <c r="F75" s="134">
        <v>50.657609999999998</v>
      </c>
      <c r="G75" s="134">
        <v>42.279350000000001</v>
      </c>
      <c r="H75" s="134">
        <v>72.016829999999999</v>
      </c>
      <c r="I75" s="134">
        <v>101.80049</v>
      </c>
      <c r="J75" s="134">
        <v>90.497309999999999</v>
      </c>
      <c r="K75" s="134">
        <v>114.53354</v>
      </c>
      <c r="L75" s="134">
        <v>89.024039999999999</v>
      </c>
      <c r="M75" s="134">
        <v>0</v>
      </c>
      <c r="N75" s="134">
        <v>57.309379999999997</v>
      </c>
      <c r="O75" s="49"/>
      <c r="P75" s="49"/>
      <c r="Q75" s="49"/>
      <c r="R75" s="49"/>
      <c r="S75" s="49"/>
      <c r="T75" s="49"/>
      <c r="U75" s="49"/>
      <c r="V75" s="47"/>
    </row>
    <row r="76" spans="1:27" s="1" customFormat="1" ht="12" x14ac:dyDescent="0.2">
      <c r="A76" s="102" t="s">
        <v>166</v>
      </c>
      <c r="B76" s="132">
        <v>55.198979999999999</v>
      </c>
      <c r="C76" s="133">
        <v>55.656570000000002</v>
      </c>
      <c r="D76" s="132">
        <v>54.68235</v>
      </c>
      <c r="E76" s="133">
        <v>57.083159999999999</v>
      </c>
      <c r="F76" s="132">
        <v>56.130839999999999</v>
      </c>
      <c r="G76" s="133">
        <v>51.044020000000003</v>
      </c>
      <c r="H76" s="133">
        <v>73.81823</v>
      </c>
      <c r="I76" s="132">
        <v>80.951049999999995</v>
      </c>
      <c r="J76" s="133">
        <v>91.145859999999999</v>
      </c>
      <c r="K76" s="132">
        <v>88.844620000000006</v>
      </c>
      <c r="L76" s="132">
        <v>85.986009999999993</v>
      </c>
      <c r="M76" s="133">
        <v>0</v>
      </c>
      <c r="N76" s="132">
        <v>61.541289999999996</v>
      </c>
      <c r="O76" s="49"/>
      <c r="P76" s="49"/>
      <c r="Q76" s="49"/>
      <c r="R76" s="49"/>
      <c r="S76" s="49"/>
      <c r="T76" s="49"/>
      <c r="U76" s="49"/>
      <c r="V76" s="47"/>
    </row>
    <row r="77" spans="1:27" s="1" customFormat="1" ht="12" x14ac:dyDescent="0.2">
      <c r="A77" s="104" t="s">
        <v>77</v>
      </c>
      <c r="B77" s="134">
        <v>48.275289999999998</v>
      </c>
      <c r="C77" s="134">
        <v>50.24606</v>
      </c>
      <c r="D77" s="134">
        <v>51.302950000000003</v>
      </c>
      <c r="E77" s="134">
        <v>46.715299999999999</v>
      </c>
      <c r="F77" s="134">
        <v>44.845709999999997</v>
      </c>
      <c r="G77" s="134">
        <v>41.166530000000002</v>
      </c>
      <c r="H77" s="134">
        <v>55.202309999999997</v>
      </c>
      <c r="I77" s="134">
        <v>58.298000000000002</v>
      </c>
      <c r="J77" s="134">
        <v>66.740600000000001</v>
      </c>
      <c r="K77" s="134">
        <v>71.053240000000002</v>
      </c>
      <c r="L77" s="134">
        <v>65.672389999999993</v>
      </c>
      <c r="M77" s="134">
        <v>0</v>
      </c>
      <c r="N77" s="134">
        <v>51.489699999999999</v>
      </c>
      <c r="O77" s="49"/>
      <c r="P77" s="49"/>
      <c r="Q77" s="49"/>
      <c r="R77" s="49"/>
      <c r="S77" s="49"/>
      <c r="T77" s="49"/>
      <c r="U77" s="49"/>
      <c r="V77" s="47"/>
    </row>
    <row r="78" spans="1:27" s="1" customFormat="1" ht="12" x14ac:dyDescent="0.2">
      <c r="A78" s="105" t="s">
        <v>110</v>
      </c>
      <c r="B78" s="134">
        <v>50.652009999999997</v>
      </c>
      <c r="C78" s="134">
        <v>51.14499</v>
      </c>
      <c r="D78" s="134">
        <v>54.022150000000003</v>
      </c>
      <c r="E78" s="134">
        <v>51.970570000000002</v>
      </c>
      <c r="F78" s="134">
        <v>52.257980000000003</v>
      </c>
      <c r="G78" s="134">
        <v>47.518549999999998</v>
      </c>
      <c r="H78" s="134">
        <v>62.667969999999997</v>
      </c>
      <c r="I78" s="134">
        <v>67.623339999999999</v>
      </c>
      <c r="J78" s="134">
        <v>72.233639999999994</v>
      </c>
      <c r="K78" s="134">
        <v>72.118949999999998</v>
      </c>
      <c r="L78" s="134">
        <v>73.997140000000002</v>
      </c>
      <c r="M78" s="134">
        <v>0</v>
      </c>
      <c r="N78" s="134">
        <v>56.084429999999998</v>
      </c>
      <c r="O78" s="49"/>
      <c r="P78" s="49"/>
      <c r="Q78" s="49"/>
      <c r="R78" s="49"/>
      <c r="S78" s="49"/>
      <c r="T78" s="49"/>
      <c r="U78" s="49"/>
      <c r="V78" s="47"/>
    </row>
    <row r="79" spans="1:27" s="1" customFormat="1" ht="12" x14ac:dyDescent="0.2">
      <c r="A79" s="105" t="s">
        <v>140</v>
      </c>
      <c r="B79" s="134">
        <v>62.31062</v>
      </c>
      <c r="C79" s="134">
        <v>61.2776</v>
      </c>
      <c r="D79" s="134">
        <v>57.657859999999999</v>
      </c>
      <c r="E79" s="134">
        <v>70.188969999999998</v>
      </c>
      <c r="F79" s="134">
        <v>69.805549999999997</v>
      </c>
      <c r="G79" s="134">
        <v>64.785309999999996</v>
      </c>
      <c r="H79" s="134">
        <v>111.91549000000001</v>
      </c>
      <c r="I79" s="134">
        <v>140.92209</v>
      </c>
      <c r="J79" s="134">
        <v>155.18604999999999</v>
      </c>
      <c r="K79" s="134">
        <v>142.67371</v>
      </c>
      <c r="L79" s="134">
        <v>145.47393</v>
      </c>
      <c r="M79" s="134">
        <v>0</v>
      </c>
      <c r="N79" s="134">
        <v>74.935289999999995</v>
      </c>
      <c r="O79" s="49"/>
      <c r="P79" s="49"/>
      <c r="Q79" s="49"/>
      <c r="R79" s="49"/>
      <c r="S79" s="49"/>
      <c r="T79" s="49"/>
      <c r="U79" s="49"/>
      <c r="V79" s="47"/>
    </row>
    <row r="80" spans="1:27" s="1" customFormat="1" ht="12" x14ac:dyDescent="0.2">
      <c r="A80" s="99"/>
      <c r="B80" s="6"/>
      <c r="C80" s="6"/>
      <c r="D80" s="6"/>
      <c r="E80" s="6"/>
      <c r="F80" s="5"/>
      <c r="G80" s="5"/>
      <c r="H80" s="5"/>
      <c r="I80" s="5"/>
      <c r="J80" s="5"/>
      <c r="K80" s="5"/>
      <c r="L80" s="49"/>
      <c r="M80" s="49"/>
      <c r="N80" s="49"/>
      <c r="O80" s="49"/>
      <c r="P80" s="49"/>
      <c r="Q80" s="49"/>
      <c r="R80" s="49"/>
      <c r="S80" s="49"/>
      <c r="T80" s="49"/>
      <c r="U80" s="49"/>
      <c r="V80" s="47"/>
    </row>
    <row r="81" spans="1:26" s="1" customFormat="1" ht="12" x14ac:dyDescent="0.2">
      <c r="A81" s="209"/>
      <c r="B81" s="210"/>
      <c r="C81" s="210"/>
      <c r="D81" s="210"/>
      <c r="E81" s="210"/>
      <c r="F81" s="210"/>
      <c r="G81" s="210"/>
      <c r="H81" s="210"/>
      <c r="I81" s="210"/>
      <c r="J81" s="210"/>
      <c r="K81" s="210"/>
      <c r="L81" s="210"/>
      <c r="M81" s="210"/>
      <c r="N81" s="210"/>
      <c r="O81" s="210"/>
      <c r="P81" s="210"/>
      <c r="Q81" s="210"/>
      <c r="R81" s="210"/>
      <c r="S81" s="210"/>
      <c r="T81" s="210"/>
      <c r="U81" s="210"/>
      <c r="V81" s="211"/>
    </row>
    <row r="82" spans="1:26" s="1" customFormat="1" ht="12" x14ac:dyDescent="0.2">
      <c r="A82" s="99"/>
      <c r="B82" s="6"/>
      <c r="C82" s="6"/>
      <c r="D82" s="6"/>
      <c r="E82" s="6"/>
      <c r="F82" s="5"/>
      <c r="G82" s="5"/>
      <c r="H82" s="5"/>
      <c r="I82" s="5"/>
      <c r="J82" s="5"/>
      <c r="K82" s="5"/>
      <c r="L82" s="49"/>
      <c r="M82" s="49"/>
      <c r="N82" s="49"/>
      <c r="O82" s="49"/>
      <c r="P82" s="49"/>
      <c r="Q82" s="49"/>
      <c r="R82" s="49"/>
      <c r="S82" s="49"/>
      <c r="T82" s="49"/>
      <c r="U82" s="49"/>
      <c r="V82" s="47"/>
    </row>
    <row r="83" spans="1:26" s="8" customFormat="1" ht="24.75" customHeight="1" x14ac:dyDescent="0.2">
      <c r="A83" s="243" t="s">
        <v>169</v>
      </c>
      <c r="B83" s="244"/>
      <c r="C83" s="244"/>
      <c r="D83" s="244"/>
      <c r="E83" s="244"/>
      <c r="F83" s="244"/>
      <c r="G83" s="244"/>
      <c r="H83" s="244"/>
      <c r="I83" s="244"/>
      <c r="J83" s="244"/>
      <c r="K83" s="244"/>
      <c r="L83" s="244"/>
      <c r="M83" s="244"/>
      <c r="N83" s="244"/>
      <c r="O83" s="49"/>
      <c r="P83" s="155"/>
      <c r="Q83" s="155"/>
      <c r="R83" s="155"/>
      <c r="S83" s="155"/>
      <c r="T83" s="155"/>
      <c r="U83" s="155"/>
      <c r="V83" s="156"/>
      <c r="W83" s="161"/>
      <c r="X83" s="161"/>
      <c r="Y83" s="161"/>
      <c r="Z83" s="161"/>
    </row>
    <row r="84" spans="1:26" s="1" customFormat="1" ht="12" x14ac:dyDescent="0.2">
      <c r="A84" s="38" t="s">
        <v>162</v>
      </c>
      <c r="B84" s="108" t="s">
        <v>146</v>
      </c>
      <c r="C84" s="108" t="s">
        <v>147</v>
      </c>
      <c r="D84" s="108" t="s">
        <v>148</v>
      </c>
      <c r="E84" s="108" t="s">
        <v>149</v>
      </c>
      <c r="F84" s="108" t="s">
        <v>150</v>
      </c>
      <c r="G84" s="108" t="s">
        <v>151</v>
      </c>
      <c r="H84" s="108" t="s">
        <v>152</v>
      </c>
      <c r="I84" s="108" t="s">
        <v>153</v>
      </c>
      <c r="J84" s="108" t="s">
        <v>154</v>
      </c>
      <c r="K84" s="108" t="s">
        <v>157</v>
      </c>
      <c r="L84" s="108" t="s">
        <v>158</v>
      </c>
      <c r="M84" s="108" t="s">
        <v>159</v>
      </c>
      <c r="N84" s="108" t="s">
        <v>167</v>
      </c>
      <c r="O84" s="49"/>
      <c r="P84" s="146"/>
      <c r="Q84" s="155"/>
      <c r="R84" s="155"/>
      <c r="S84" s="155"/>
      <c r="T84" s="155"/>
      <c r="U84" s="155"/>
      <c r="V84" s="156"/>
      <c r="W84" s="157"/>
      <c r="X84" s="157"/>
      <c r="Y84" s="157"/>
      <c r="Z84" s="157"/>
    </row>
    <row r="85" spans="1:26" s="1" customFormat="1" ht="12.75" customHeight="1" thickBot="1" x14ac:dyDescent="0.25">
      <c r="A85" s="94" t="s">
        <v>1</v>
      </c>
      <c r="B85" s="135">
        <v>50222.193550000004</v>
      </c>
      <c r="C85" s="136">
        <v>46176.4</v>
      </c>
      <c r="D85" s="135">
        <v>42755.580650000004</v>
      </c>
      <c r="E85" s="136">
        <v>41120.06452</v>
      </c>
      <c r="F85" s="135">
        <v>39319</v>
      </c>
      <c r="G85" s="136">
        <v>37692.806449999996</v>
      </c>
      <c r="H85" s="136">
        <v>31828.133330000001</v>
      </c>
      <c r="I85" s="135">
        <v>27192.96774</v>
      </c>
      <c r="J85" s="136">
        <v>24207.633330000001</v>
      </c>
      <c r="K85" s="135">
        <v>22553.74194</v>
      </c>
      <c r="L85" s="135">
        <v>21591.4</v>
      </c>
      <c r="M85" s="136">
        <v>0</v>
      </c>
      <c r="N85" s="135">
        <v>35619.203130000002</v>
      </c>
      <c r="O85" s="49"/>
      <c r="P85" s="146"/>
      <c r="Q85" s="146"/>
      <c r="R85" s="146"/>
      <c r="S85" s="146"/>
      <c r="T85" s="154"/>
      <c r="U85" s="146"/>
      <c r="V85" s="158"/>
      <c r="W85" s="159"/>
      <c r="X85" s="159"/>
      <c r="Y85" s="159"/>
      <c r="Z85" s="159"/>
    </row>
    <row r="86" spans="1:26" s="1" customFormat="1" ht="12.75" thickTop="1" x14ac:dyDescent="0.2">
      <c r="A86" s="95" t="s">
        <v>133</v>
      </c>
      <c r="B86" s="137">
        <v>1590.2258099999999</v>
      </c>
      <c r="C86" s="137">
        <v>1836.1333299999999</v>
      </c>
      <c r="D86" s="137">
        <v>1544.83871</v>
      </c>
      <c r="E86" s="137">
        <v>1436.2258099999999</v>
      </c>
      <c r="F86" s="137">
        <v>1436.5517199999999</v>
      </c>
      <c r="G86" s="137">
        <v>1590.5806500000001</v>
      </c>
      <c r="H86" s="137">
        <v>765.96667000000002</v>
      </c>
      <c r="I86" s="137">
        <v>366.48387000000002</v>
      </c>
      <c r="J86" s="137">
        <v>268.39999999999998</v>
      </c>
      <c r="K86" s="137">
        <v>345.83870999999999</v>
      </c>
      <c r="L86" s="137">
        <v>289.06666999999999</v>
      </c>
      <c r="M86" s="137">
        <v>0</v>
      </c>
      <c r="N86" s="137">
        <v>1078.7843800000001</v>
      </c>
      <c r="O86" s="49"/>
      <c r="P86" s="146"/>
      <c r="Q86" s="146"/>
      <c r="R86" s="146"/>
      <c r="S86" s="146"/>
      <c r="T86" s="146"/>
      <c r="U86" s="146"/>
      <c r="V86" s="158"/>
      <c r="W86" s="159"/>
      <c r="X86" s="159"/>
      <c r="Y86" s="159"/>
      <c r="Z86" s="159"/>
    </row>
    <row r="87" spans="1:26" s="1" customFormat="1" ht="12" x14ac:dyDescent="0.2">
      <c r="A87" s="96" t="s">
        <v>134</v>
      </c>
      <c r="B87" s="138">
        <v>48631.96774</v>
      </c>
      <c r="C87" s="138">
        <v>44340.266669999997</v>
      </c>
      <c r="D87" s="138">
        <v>41210.74194</v>
      </c>
      <c r="E87" s="138">
        <v>39683.838710000004</v>
      </c>
      <c r="F87" s="138">
        <v>37882.448279999997</v>
      </c>
      <c r="G87" s="138">
        <v>36102.225810000004</v>
      </c>
      <c r="H87" s="138">
        <v>31062.166669999999</v>
      </c>
      <c r="I87" s="138">
        <v>26826.48387</v>
      </c>
      <c r="J87" s="138">
        <v>23939.233329999999</v>
      </c>
      <c r="K87" s="138">
        <v>22207.90323</v>
      </c>
      <c r="L87" s="138">
        <v>21302.333330000001</v>
      </c>
      <c r="M87" s="138">
        <v>0</v>
      </c>
      <c r="N87" s="138">
        <v>34540.418749999997</v>
      </c>
      <c r="O87" s="49"/>
      <c r="P87" s="146"/>
      <c r="Q87" s="146"/>
      <c r="R87" s="146"/>
      <c r="S87" s="146"/>
      <c r="T87" s="146"/>
      <c r="U87" s="146"/>
      <c r="V87" s="158"/>
      <c r="W87" s="159"/>
      <c r="X87" s="159"/>
      <c r="Y87" s="159"/>
      <c r="Z87" s="159"/>
    </row>
    <row r="88" spans="1:26" s="3" customFormat="1" ht="23.25" customHeight="1" x14ac:dyDescent="0.2">
      <c r="A88" s="99"/>
      <c r="B88" s="6"/>
      <c r="C88" s="6"/>
      <c r="D88" s="6"/>
      <c r="E88" s="6"/>
      <c r="F88" s="5"/>
      <c r="G88" s="5"/>
      <c r="H88" s="5"/>
      <c r="I88" s="5"/>
      <c r="J88" s="5"/>
      <c r="K88" s="5"/>
      <c r="L88" s="49"/>
      <c r="M88" s="49"/>
      <c r="N88" s="49"/>
      <c r="O88" s="49"/>
      <c r="P88" s="146"/>
      <c r="Q88" s="146"/>
      <c r="R88" s="146"/>
      <c r="S88" s="146"/>
      <c r="T88" s="146"/>
      <c r="U88" s="146"/>
      <c r="V88" s="158"/>
      <c r="W88" s="160"/>
      <c r="X88" s="160"/>
      <c r="Y88" s="160"/>
    </row>
    <row r="89" spans="1:26" s="1" customFormat="1" ht="12.75" customHeight="1" x14ac:dyDescent="0.2">
      <c r="A89" s="209"/>
      <c r="B89" s="210"/>
      <c r="C89" s="210"/>
      <c r="D89" s="210"/>
      <c r="E89" s="210"/>
      <c r="F89" s="210"/>
      <c r="G89" s="210"/>
      <c r="H89" s="210"/>
      <c r="I89" s="210"/>
      <c r="J89" s="210"/>
      <c r="K89" s="210"/>
      <c r="L89" s="210"/>
      <c r="M89" s="210"/>
      <c r="N89" s="210"/>
      <c r="O89" s="210"/>
      <c r="P89" s="210"/>
      <c r="Q89" s="210"/>
      <c r="R89" s="210"/>
      <c r="S89" s="210"/>
      <c r="T89" s="210"/>
      <c r="U89" s="210"/>
      <c r="V89" s="211"/>
    </row>
    <row r="90" spans="1:26" s="1" customFormat="1" ht="12.75" customHeight="1" x14ac:dyDescent="0.2">
      <c r="A90" s="99"/>
      <c r="B90" s="6"/>
      <c r="C90" s="6"/>
      <c r="D90" s="6"/>
      <c r="E90" s="6"/>
      <c r="F90" s="5"/>
      <c r="G90" s="5"/>
      <c r="H90" s="5"/>
      <c r="I90" s="5"/>
      <c r="J90" s="5"/>
      <c r="K90" s="5"/>
      <c r="L90" s="49"/>
      <c r="M90" s="49"/>
      <c r="N90" s="49"/>
      <c r="O90" s="49"/>
      <c r="P90" s="49"/>
      <c r="Q90" s="49"/>
      <c r="R90" s="49"/>
      <c r="S90" s="49"/>
      <c r="T90" s="49"/>
      <c r="U90" s="49"/>
      <c r="V90" s="47"/>
    </row>
    <row r="91" spans="1:26" s="8" customFormat="1" ht="24.75" customHeight="1" x14ac:dyDescent="0.2">
      <c r="A91" s="243" t="s">
        <v>170</v>
      </c>
      <c r="B91" s="244"/>
      <c r="C91" s="244"/>
      <c r="D91" s="244"/>
      <c r="E91" s="244"/>
      <c r="F91" s="244"/>
      <c r="G91" s="244"/>
      <c r="H91" s="244"/>
      <c r="I91" s="244"/>
      <c r="J91" s="244"/>
      <c r="K91" s="244"/>
      <c r="L91" s="244"/>
      <c r="M91" s="244"/>
      <c r="N91" s="244"/>
      <c r="O91" s="49"/>
      <c r="P91" s="155"/>
      <c r="Q91" s="155"/>
      <c r="R91" s="155"/>
      <c r="S91" s="155"/>
      <c r="T91" s="155"/>
      <c r="U91" s="155"/>
      <c r="V91" s="156"/>
      <c r="W91" s="161"/>
      <c r="X91" s="161"/>
      <c r="Y91" s="161"/>
      <c r="Z91" s="161"/>
    </row>
    <row r="92" spans="1:26" s="1" customFormat="1" ht="12" x14ac:dyDescent="0.2">
      <c r="A92" s="38" t="s">
        <v>162</v>
      </c>
      <c r="B92" s="108" t="s">
        <v>146</v>
      </c>
      <c r="C92" s="108" t="s">
        <v>147</v>
      </c>
      <c r="D92" s="108" t="s">
        <v>148</v>
      </c>
      <c r="E92" s="108" t="s">
        <v>149</v>
      </c>
      <c r="F92" s="108" t="s">
        <v>150</v>
      </c>
      <c r="G92" s="108" t="s">
        <v>151</v>
      </c>
      <c r="H92" s="108" t="s">
        <v>152</v>
      </c>
      <c r="I92" s="108" t="s">
        <v>153</v>
      </c>
      <c r="J92" s="108" t="s">
        <v>154</v>
      </c>
      <c r="K92" s="108" t="s">
        <v>157</v>
      </c>
      <c r="L92" s="108" t="s">
        <v>158</v>
      </c>
      <c r="M92" s="108" t="s">
        <v>159</v>
      </c>
      <c r="N92" s="108" t="s">
        <v>167</v>
      </c>
      <c r="O92" s="49"/>
      <c r="P92" s="49"/>
      <c r="Q92" s="49"/>
      <c r="R92" s="49"/>
      <c r="S92" s="49"/>
      <c r="T92" s="49"/>
      <c r="U92" s="49"/>
      <c r="V92" s="47"/>
    </row>
    <row r="93" spans="1:26" s="1" customFormat="1" ht="12.75" customHeight="1" thickBot="1" x14ac:dyDescent="0.25">
      <c r="A93" s="94" t="s">
        <v>1</v>
      </c>
      <c r="B93" s="140">
        <v>55.198979999999999</v>
      </c>
      <c r="C93" s="141">
        <v>55.656570000000002</v>
      </c>
      <c r="D93" s="140">
        <v>54.68235</v>
      </c>
      <c r="E93" s="141">
        <v>57.083159999999999</v>
      </c>
      <c r="F93" s="140">
        <v>56.130839999999999</v>
      </c>
      <c r="G93" s="141">
        <v>51.044020000000003</v>
      </c>
      <c r="H93" s="141">
        <v>73.81823</v>
      </c>
      <c r="I93" s="140">
        <v>80.951049999999995</v>
      </c>
      <c r="J93" s="141">
        <v>91.145859999999999</v>
      </c>
      <c r="K93" s="140">
        <v>88.844620000000006</v>
      </c>
      <c r="L93" s="140">
        <v>85.986009999999993</v>
      </c>
      <c r="M93" s="141">
        <v>0</v>
      </c>
      <c r="N93" s="140">
        <v>61.541289999999996</v>
      </c>
      <c r="O93" s="49"/>
      <c r="P93" s="49"/>
      <c r="Q93" s="49"/>
      <c r="R93" s="49"/>
      <c r="S93" s="49"/>
      <c r="T93" s="49"/>
      <c r="U93" s="49"/>
      <c r="V93" s="47"/>
    </row>
    <row r="94" spans="1:26" s="1" customFormat="1" ht="12.75" thickTop="1" x14ac:dyDescent="0.2">
      <c r="A94" s="95" t="s">
        <v>133</v>
      </c>
      <c r="B94" s="142">
        <v>24.787990000000001</v>
      </c>
      <c r="C94" s="142">
        <v>39.352440000000001</v>
      </c>
      <c r="D94" s="142">
        <v>32.341900000000003</v>
      </c>
      <c r="E94" s="142">
        <v>54.740479999999998</v>
      </c>
      <c r="F94" s="142">
        <v>56.144739999999999</v>
      </c>
      <c r="G94" s="142">
        <v>64.247010000000003</v>
      </c>
      <c r="H94" s="142">
        <v>61.28689</v>
      </c>
      <c r="I94" s="142">
        <v>78.128569999999996</v>
      </c>
      <c r="J94" s="142">
        <v>42.88</v>
      </c>
      <c r="K94" s="142">
        <v>100.52542</v>
      </c>
      <c r="L94" s="142">
        <v>15.85</v>
      </c>
      <c r="M94" s="142">
        <v>0</v>
      </c>
      <c r="N94" s="142">
        <v>47.48265</v>
      </c>
      <c r="O94" s="49"/>
      <c r="P94" s="49"/>
      <c r="Q94" s="49"/>
      <c r="R94" s="49"/>
      <c r="S94" s="49"/>
      <c r="T94" s="49"/>
      <c r="U94" s="49"/>
      <c r="V94" s="47"/>
    </row>
    <row r="95" spans="1:26" s="1" customFormat="1" ht="12" x14ac:dyDescent="0.2">
      <c r="A95" s="96" t="s">
        <v>134</v>
      </c>
      <c r="B95" s="139">
        <v>55.497430000000001</v>
      </c>
      <c r="C95" s="139">
        <v>55.879440000000002</v>
      </c>
      <c r="D95" s="139">
        <v>55.012340000000002</v>
      </c>
      <c r="E95" s="139">
        <v>57.111330000000002</v>
      </c>
      <c r="F95" s="139">
        <v>56.130659999999999</v>
      </c>
      <c r="G95" s="139">
        <v>50.895009999999999</v>
      </c>
      <c r="H95" s="139">
        <v>73.929079999999999</v>
      </c>
      <c r="I95" s="139">
        <v>80.969880000000003</v>
      </c>
      <c r="J95" s="139">
        <v>91.275819999999996</v>
      </c>
      <c r="K95" s="139">
        <v>88.764399999999995</v>
      </c>
      <c r="L95" s="139">
        <v>86.304010000000005</v>
      </c>
      <c r="M95" s="139">
        <v>0</v>
      </c>
      <c r="N95" s="139">
        <v>61.695140000000002</v>
      </c>
      <c r="O95" s="49"/>
      <c r="P95" s="49"/>
      <c r="Q95" s="49"/>
      <c r="R95" s="49"/>
      <c r="S95" s="49"/>
      <c r="T95" s="49"/>
      <c r="U95" s="49"/>
      <c r="V95" s="47"/>
    </row>
    <row r="96" spans="1:26" s="52" customFormat="1" x14ac:dyDescent="0.25">
      <c r="A96" s="106"/>
      <c r="B96" s="51"/>
      <c r="C96" s="51"/>
      <c r="D96" s="51"/>
      <c r="E96" s="51"/>
      <c r="F96" s="51"/>
      <c r="G96" s="51"/>
      <c r="H96" s="51"/>
      <c r="I96" s="51"/>
      <c r="J96" s="51"/>
      <c r="K96" s="51"/>
      <c r="L96" s="51"/>
      <c r="M96" s="51"/>
      <c r="N96" s="51"/>
      <c r="O96" s="51"/>
      <c r="P96" s="51"/>
      <c r="Q96" s="51"/>
      <c r="R96" s="51"/>
      <c r="S96" s="51"/>
      <c r="T96" s="51"/>
      <c r="U96" s="51"/>
      <c r="V96" s="107"/>
    </row>
    <row r="97" spans="1:22" s="52" customFormat="1" ht="15.75" thickBot="1" x14ac:dyDescent="0.3">
      <c r="A97" s="227"/>
      <c r="B97" s="228"/>
      <c r="C97" s="228"/>
      <c r="D97" s="228"/>
      <c r="E97" s="228"/>
      <c r="F97" s="228"/>
      <c r="G97" s="228"/>
      <c r="H97" s="228"/>
      <c r="I97" s="228"/>
      <c r="J97" s="228"/>
      <c r="K97" s="228"/>
      <c r="L97" s="228"/>
      <c r="M97" s="228"/>
      <c r="N97" s="228"/>
      <c r="O97" s="228"/>
      <c r="P97" s="228"/>
      <c r="Q97" s="228"/>
      <c r="R97" s="228"/>
      <c r="S97" s="228"/>
      <c r="T97" s="228"/>
      <c r="U97" s="228"/>
      <c r="V97" s="229"/>
    </row>
    <row r="98" spans="1:22" s="52" customFormat="1" x14ac:dyDescent="0.25">
      <c r="A98" s="78"/>
    </row>
    <row r="99" spans="1:22" x14ac:dyDescent="0.25">
      <c r="B99" s="144"/>
      <c r="C99" s="144"/>
      <c r="D99" s="144"/>
      <c r="E99" s="144"/>
      <c r="F99" s="144"/>
      <c r="G99" s="144"/>
      <c r="H99" s="144"/>
      <c r="I99" s="144"/>
      <c r="J99" s="144"/>
      <c r="K99" s="144"/>
    </row>
    <row r="100" spans="1:22" x14ac:dyDescent="0.25">
      <c r="B100" s="144"/>
      <c r="C100" s="144"/>
      <c r="D100" s="144"/>
      <c r="E100" s="144"/>
      <c r="F100" s="144"/>
      <c r="G100" s="144"/>
      <c r="H100" s="144"/>
      <c r="I100" s="144"/>
      <c r="J100" s="144"/>
      <c r="K100" s="144"/>
      <c r="L100" s="144"/>
    </row>
    <row r="101" spans="1:22" x14ac:dyDescent="0.25">
      <c r="B101" s="145"/>
      <c r="C101" s="145"/>
      <c r="D101" s="145"/>
      <c r="E101" s="145"/>
      <c r="F101" s="145"/>
      <c r="G101" s="145"/>
      <c r="H101" s="145"/>
      <c r="I101" s="145"/>
      <c r="J101" s="145"/>
      <c r="K101" s="145"/>
      <c r="L101" s="144"/>
    </row>
    <row r="102" spans="1:22" x14ac:dyDescent="0.25">
      <c r="B102" s="145"/>
      <c r="C102" s="145"/>
      <c r="D102" s="145"/>
      <c r="E102" s="145"/>
      <c r="F102" s="145"/>
      <c r="G102" s="145"/>
    </row>
    <row r="103" spans="1:22" x14ac:dyDescent="0.25">
      <c r="B103" s="145"/>
      <c r="C103" s="145"/>
      <c r="D103" s="145"/>
      <c r="E103" s="145"/>
      <c r="F103" s="145"/>
      <c r="G103" s="145"/>
      <c r="H103" s="145"/>
      <c r="I103" s="145"/>
      <c r="J103" s="145"/>
      <c r="K103" s="145"/>
      <c r="L103" s="151"/>
    </row>
    <row r="104" spans="1:22" x14ac:dyDescent="0.25">
      <c r="B104" s="145"/>
      <c r="C104" s="145"/>
      <c r="D104" s="145"/>
      <c r="E104" s="145"/>
      <c r="F104" s="145"/>
      <c r="G104" s="145"/>
      <c r="H104" s="145"/>
      <c r="I104" s="145"/>
      <c r="J104" s="145"/>
      <c r="K104" s="145"/>
      <c r="L104" s="145"/>
    </row>
    <row r="105" spans="1:22" x14ac:dyDescent="0.25">
      <c r="B105" s="145"/>
      <c r="C105" s="145"/>
      <c r="D105" s="145"/>
      <c r="E105" s="145"/>
      <c r="F105" s="145"/>
      <c r="G105" s="145"/>
    </row>
  </sheetData>
  <sheetProtection sheet="1" objects="1" scenarios="1" selectLockedCells="1" selectUnlockedCells="1"/>
  <mergeCells count="54">
    <mergeCell ref="O12:Q12"/>
    <mergeCell ref="M9:N9"/>
    <mergeCell ref="O9:Q9"/>
    <mergeCell ref="M8:Q8"/>
    <mergeCell ref="J29:L29"/>
    <mergeCell ref="O11:Q11"/>
    <mergeCell ref="A49:N49"/>
    <mergeCell ref="I18:V18"/>
    <mergeCell ref="A27:E27"/>
    <mergeCell ref="H27:L27"/>
    <mergeCell ref="N27:R27"/>
    <mergeCell ref="A36:E36"/>
    <mergeCell ref="P30:R30"/>
    <mergeCell ref="J30:L30"/>
    <mergeCell ref="J31:L31"/>
    <mergeCell ref="A97:V97"/>
    <mergeCell ref="H28:I28"/>
    <mergeCell ref="H29:I29"/>
    <mergeCell ref="H30:I30"/>
    <mergeCell ref="H31:I31"/>
    <mergeCell ref="J28:L28"/>
    <mergeCell ref="A47:V47"/>
    <mergeCell ref="N28:O28"/>
    <mergeCell ref="P28:R28"/>
    <mergeCell ref="N29:O29"/>
    <mergeCell ref="N30:O30"/>
    <mergeCell ref="P29:R29"/>
    <mergeCell ref="A33:V33"/>
    <mergeCell ref="A66:N66"/>
    <mergeCell ref="A83:N83"/>
    <mergeCell ref="A91:N91"/>
    <mergeCell ref="A64:V64"/>
    <mergeCell ref="A81:V81"/>
    <mergeCell ref="A89:V89"/>
    <mergeCell ref="G9:H9"/>
    <mergeCell ref="A6:V6"/>
    <mergeCell ref="A8:D8"/>
    <mergeCell ref="G8:K8"/>
    <mergeCell ref="G10:H10"/>
    <mergeCell ref="G11:H11"/>
    <mergeCell ref="A18:F18"/>
    <mergeCell ref="A16:V16"/>
    <mergeCell ref="A25:V25"/>
    <mergeCell ref="M10:N10"/>
    <mergeCell ref="M11:N11"/>
    <mergeCell ref="M12:N12"/>
    <mergeCell ref="O10:Q10"/>
    <mergeCell ref="A4:V4"/>
    <mergeCell ref="A1:D1"/>
    <mergeCell ref="A2:D2"/>
    <mergeCell ref="E2:H2"/>
    <mergeCell ref="I2:L2"/>
    <mergeCell ref="M2:P2"/>
    <mergeCell ref="A3:D3"/>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A2F05-C5B4-4813-91B2-708578EE9637}">
  <dimension ref="A1:AE176"/>
  <sheetViews>
    <sheetView zoomScale="80" zoomScaleNormal="80" workbookViewId="0">
      <selection activeCell="B25" sqref="B25"/>
    </sheetView>
  </sheetViews>
  <sheetFormatPr defaultColWidth="9.42578125" defaultRowHeight="15" x14ac:dyDescent="0.25"/>
  <cols>
    <col min="1" max="1" width="72.5703125" customWidth="1"/>
    <col min="2" max="2" width="40.5703125" customWidth="1"/>
    <col min="3" max="3" width="27.5703125" customWidth="1"/>
    <col min="4" max="4" width="10" customWidth="1"/>
    <col min="5" max="5" width="8" customWidth="1"/>
    <col min="6" max="6" width="10.42578125" customWidth="1"/>
    <col min="7" max="7" width="23.5703125" customWidth="1"/>
    <col min="8" max="8" width="14.42578125" customWidth="1"/>
    <col min="9" max="9" width="23.42578125" customWidth="1"/>
    <col min="10" max="10" width="17.5703125" customWidth="1"/>
    <col min="11" max="11" width="20" customWidth="1"/>
    <col min="12" max="12" width="11.5703125" customWidth="1"/>
    <col min="13" max="13" width="13.42578125" customWidth="1"/>
    <col min="14" max="15" width="14.5703125" customWidth="1"/>
    <col min="16" max="19" width="13.42578125" customWidth="1"/>
    <col min="20" max="21" width="12" customWidth="1"/>
    <col min="22" max="22" width="18.5703125" customWidth="1"/>
    <col min="23" max="23" width="14.5703125" customWidth="1"/>
    <col min="24" max="24" width="12.42578125" customWidth="1"/>
    <col min="25" max="25" width="22.5703125" customWidth="1"/>
    <col min="26" max="26" width="23.42578125" customWidth="1"/>
    <col min="27" max="27" width="16.5703125" customWidth="1"/>
    <col min="28" max="28" width="16.42578125" customWidth="1"/>
    <col min="29" max="29" width="20.5703125" customWidth="1"/>
    <col min="30" max="30" width="16" customWidth="1"/>
    <col min="31" max="31" width="16.42578125" customWidth="1"/>
  </cols>
  <sheetData>
    <row r="1" spans="1:31" s="11" customFormat="1" ht="26.25" x14ac:dyDescent="0.25">
      <c r="A1" s="203" t="s">
        <v>58</v>
      </c>
      <c r="B1" s="203"/>
      <c r="C1" s="203"/>
      <c r="D1" s="203"/>
      <c r="E1" s="31"/>
      <c r="F1" s="31"/>
      <c r="G1" s="31"/>
      <c r="H1" s="31"/>
      <c r="I1" s="31"/>
      <c r="J1" s="31"/>
      <c r="K1" s="31"/>
      <c r="L1" s="31"/>
      <c r="M1" s="31"/>
      <c r="N1" s="31"/>
      <c r="O1" s="31"/>
      <c r="P1" s="31"/>
      <c r="Q1" s="31"/>
      <c r="R1" s="31"/>
      <c r="S1" s="31"/>
      <c r="T1" s="31"/>
      <c r="U1" s="31"/>
      <c r="V1" s="31"/>
      <c r="W1" s="31"/>
      <c r="X1" s="31"/>
      <c r="Y1" s="31"/>
      <c r="Z1" s="31"/>
      <c r="AA1" s="31"/>
      <c r="AB1" s="31"/>
      <c r="AC1" s="31"/>
      <c r="AD1" s="31"/>
      <c r="AE1" s="31"/>
    </row>
    <row r="2" spans="1:31" s="11" customFormat="1" ht="74.25" customHeight="1" x14ac:dyDescent="0.25">
      <c r="A2" s="204" t="s">
        <v>59</v>
      </c>
      <c r="B2" s="204"/>
      <c r="C2" s="204"/>
      <c r="D2" s="204"/>
      <c r="E2" s="31"/>
      <c r="F2" s="31"/>
      <c r="G2" s="31"/>
      <c r="H2" s="31"/>
      <c r="I2" s="31"/>
      <c r="J2" s="31"/>
      <c r="K2" s="31"/>
      <c r="L2" s="31"/>
      <c r="M2" s="31"/>
      <c r="N2" s="31"/>
      <c r="O2" s="31"/>
      <c r="P2" s="31"/>
      <c r="Q2" s="31"/>
      <c r="R2" s="31"/>
      <c r="S2" s="31"/>
      <c r="T2" s="31"/>
      <c r="U2" s="31"/>
      <c r="V2" s="31"/>
      <c r="W2" s="31"/>
      <c r="X2" s="31"/>
      <c r="Y2" s="31"/>
      <c r="Z2" s="31"/>
      <c r="AA2" s="31"/>
      <c r="AB2" s="31"/>
      <c r="AC2" s="31"/>
      <c r="AD2" s="31"/>
      <c r="AE2" s="31"/>
    </row>
    <row r="3" spans="1:31" s="11" customFormat="1" ht="48.6" customHeight="1" x14ac:dyDescent="0.25">
      <c r="A3" s="202" t="s">
        <v>780</v>
      </c>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row>
    <row r="4" spans="1:31" s="8" customFormat="1" ht="30.75" customHeight="1" thickBot="1" x14ac:dyDescent="0.25">
      <c r="A4" s="260" t="s">
        <v>778</v>
      </c>
      <c r="B4" s="260"/>
      <c r="C4" s="260"/>
      <c r="D4" s="260"/>
      <c r="E4" s="260"/>
      <c r="F4" s="260"/>
      <c r="G4" s="260"/>
      <c r="H4" s="260"/>
      <c r="I4" s="260"/>
      <c r="J4" s="260"/>
      <c r="K4" s="260"/>
      <c r="L4" s="260"/>
      <c r="M4" s="260"/>
      <c r="N4" s="260"/>
      <c r="O4" s="260"/>
      <c r="P4" s="260"/>
      <c r="Q4" s="260"/>
      <c r="R4" s="260"/>
      <c r="S4" s="260"/>
      <c r="T4" s="260"/>
      <c r="U4" s="260"/>
      <c r="V4" s="260"/>
      <c r="W4" s="191"/>
      <c r="X4" s="191"/>
      <c r="Y4" s="191"/>
      <c r="Z4" s="191"/>
    </row>
    <row r="5" spans="1:31" s="186" customFormat="1" ht="36" customHeight="1" x14ac:dyDescent="0.2">
      <c r="A5" s="53" t="s">
        <v>171</v>
      </c>
      <c r="B5" s="12"/>
      <c r="C5" s="12"/>
      <c r="D5" s="12"/>
      <c r="E5" s="12"/>
      <c r="F5" s="12"/>
      <c r="G5" s="12"/>
      <c r="H5" s="12"/>
      <c r="I5" s="12" t="s">
        <v>172</v>
      </c>
      <c r="J5" s="261" t="s">
        <v>173</v>
      </c>
      <c r="K5" s="261"/>
      <c r="L5" s="261"/>
      <c r="M5" s="261"/>
      <c r="N5" s="262" t="s">
        <v>174</v>
      </c>
      <c r="O5" s="262"/>
      <c r="P5" s="262"/>
      <c r="Q5" s="262"/>
      <c r="R5" s="259" t="s">
        <v>175</v>
      </c>
      <c r="S5" s="259"/>
      <c r="T5" s="259"/>
      <c r="U5" s="259"/>
      <c r="V5" s="188" t="s">
        <v>176</v>
      </c>
      <c r="W5" s="259" t="s">
        <v>177</v>
      </c>
      <c r="X5" s="259"/>
      <c r="Y5" s="259"/>
      <c r="Z5" s="259"/>
      <c r="AA5" s="259"/>
      <c r="AB5" s="259"/>
      <c r="AC5" s="259"/>
      <c r="AD5" s="259"/>
      <c r="AE5" s="259"/>
    </row>
    <row r="6" spans="1:31" s="186" customFormat="1" ht="20.25" customHeight="1" x14ac:dyDescent="0.2">
      <c r="A6" s="54" t="s">
        <v>921</v>
      </c>
      <c r="B6" s="189"/>
      <c r="C6" s="189"/>
      <c r="D6" s="189"/>
      <c r="E6" s="189"/>
      <c r="F6" s="189"/>
      <c r="G6" s="189"/>
      <c r="H6" s="189"/>
      <c r="I6" s="190"/>
      <c r="J6" s="189"/>
      <c r="K6" s="189"/>
      <c r="L6" s="189"/>
      <c r="M6" s="189"/>
      <c r="N6" s="189"/>
      <c r="O6" s="189"/>
      <c r="P6" s="189"/>
      <c r="Q6" s="189"/>
      <c r="R6" s="187"/>
      <c r="S6" s="187"/>
      <c r="T6" s="187"/>
      <c r="U6" s="187"/>
      <c r="V6" s="188"/>
      <c r="W6" s="187"/>
      <c r="X6" s="187"/>
      <c r="Y6" s="187"/>
      <c r="Z6" s="187"/>
      <c r="AA6" s="187"/>
      <c r="AB6" s="187"/>
      <c r="AC6" s="187"/>
      <c r="AD6" s="187"/>
      <c r="AE6" s="187"/>
    </row>
    <row r="7" spans="1:31" s="186" customFormat="1" ht="48" customHeight="1" x14ac:dyDescent="0.25">
      <c r="A7" s="13" t="s">
        <v>178</v>
      </c>
      <c r="B7" s="14" t="s">
        <v>179</v>
      </c>
      <c r="C7" s="14" t="s">
        <v>180</v>
      </c>
      <c r="D7" s="14" t="s">
        <v>181</v>
      </c>
      <c r="E7" s="15" t="s">
        <v>182</v>
      </c>
      <c r="F7" s="14" t="s">
        <v>66</v>
      </c>
      <c r="G7" s="16" t="s">
        <v>183</v>
      </c>
      <c r="H7" s="17" t="s">
        <v>103</v>
      </c>
      <c r="I7" s="18" t="s">
        <v>184</v>
      </c>
      <c r="J7" s="19" t="s">
        <v>185</v>
      </c>
      <c r="K7" s="20" t="s">
        <v>186</v>
      </c>
      <c r="L7" s="21" t="s">
        <v>187</v>
      </c>
      <c r="M7" s="32" t="s">
        <v>188</v>
      </c>
      <c r="N7" s="19" t="s">
        <v>189</v>
      </c>
      <c r="O7" s="20" t="s">
        <v>190</v>
      </c>
      <c r="P7" s="21" t="s">
        <v>191</v>
      </c>
      <c r="Q7" s="22" t="s">
        <v>192</v>
      </c>
      <c r="R7" s="19" t="s">
        <v>193</v>
      </c>
      <c r="S7" s="20" t="s">
        <v>194</v>
      </c>
      <c r="T7" s="21" t="s">
        <v>195</v>
      </c>
      <c r="U7" s="32" t="s">
        <v>196</v>
      </c>
      <c r="V7" s="19" t="s">
        <v>197</v>
      </c>
      <c r="W7" s="20" t="s">
        <v>198</v>
      </c>
      <c r="X7" s="14" t="s">
        <v>199</v>
      </c>
      <c r="Y7" s="14" t="s">
        <v>101</v>
      </c>
      <c r="Z7" s="14" t="s">
        <v>200</v>
      </c>
      <c r="AA7" s="14" t="s">
        <v>97</v>
      </c>
      <c r="AB7" s="14" t="s">
        <v>201</v>
      </c>
      <c r="AC7" s="14" t="s">
        <v>111</v>
      </c>
      <c r="AD7" s="14" t="s">
        <v>202</v>
      </c>
      <c r="AE7" s="34" t="s">
        <v>115</v>
      </c>
    </row>
    <row r="8" spans="1:31" s="186" customFormat="1" ht="12.75" customHeight="1" x14ac:dyDescent="0.2">
      <c r="A8" s="23" t="s">
        <v>214</v>
      </c>
      <c r="B8" s="24" t="s">
        <v>215</v>
      </c>
      <c r="C8" s="24" t="s">
        <v>216</v>
      </c>
      <c r="D8" s="24" t="s">
        <v>217</v>
      </c>
      <c r="E8" s="24">
        <v>31815</v>
      </c>
      <c r="F8" s="24" t="s">
        <v>218</v>
      </c>
      <c r="G8" s="24" t="s">
        <v>207</v>
      </c>
      <c r="H8" s="24" t="s">
        <v>5</v>
      </c>
      <c r="I8" s="25">
        <v>50.288363677485002</v>
      </c>
      <c r="J8" s="26">
        <v>667.93610223642554</v>
      </c>
      <c r="K8" s="26">
        <v>263.3546325878583</v>
      </c>
      <c r="L8" s="26">
        <v>251.40894568690004</v>
      </c>
      <c r="M8" s="26">
        <v>224.83386581469588</v>
      </c>
      <c r="N8" s="26">
        <v>752.3961661341973</v>
      </c>
      <c r="O8" s="26">
        <v>654.6038338658152</v>
      </c>
      <c r="P8" s="26">
        <v>0</v>
      </c>
      <c r="Q8" s="26">
        <v>0.5335463258785943</v>
      </c>
      <c r="R8" s="26">
        <v>339.30670926517399</v>
      </c>
      <c r="S8" s="26">
        <v>190.7124600638972</v>
      </c>
      <c r="T8" s="26">
        <v>220.92012779552601</v>
      </c>
      <c r="U8" s="26">
        <v>656.59424920127867</v>
      </c>
      <c r="V8" s="26">
        <v>927.58146964858156</v>
      </c>
      <c r="W8" s="27">
        <v>1600</v>
      </c>
      <c r="X8" s="24" t="s">
        <v>209</v>
      </c>
      <c r="Y8" s="24" t="s">
        <v>210</v>
      </c>
      <c r="Z8" s="24" t="s">
        <v>211</v>
      </c>
      <c r="AA8" s="28" t="s">
        <v>219</v>
      </c>
      <c r="AB8" s="24" t="s">
        <v>209</v>
      </c>
      <c r="AC8" s="24" t="s">
        <v>210</v>
      </c>
      <c r="AD8" s="24" t="s">
        <v>211</v>
      </c>
      <c r="AE8" s="35">
        <v>43223</v>
      </c>
    </row>
    <row r="9" spans="1:31" ht="15.75" x14ac:dyDescent="0.25">
      <c r="A9" s="23" t="s">
        <v>6</v>
      </c>
      <c r="B9" s="24" t="s">
        <v>203</v>
      </c>
      <c r="C9" s="24" t="s">
        <v>204</v>
      </c>
      <c r="D9" s="24" t="s">
        <v>205</v>
      </c>
      <c r="E9" s="29">
        <v>92301</v>
      </c>
      <c r="F9" s="24" t="s">
        <v>206</v>
      </c>
      <c r="G9" s="24" t="s">
        <v>207</v>
      </c>
      <c r="H9" s="24" t="s">
        <v>208</v>
      </c>
      <c r="I9" s="25">
        <v>80.624408206207306</v>
      </c>
      <c r="J9" s="26">
        <v>578.42172523961835</v>
      </c>
      <c r="K9" s="26">
        <v>100.38658146964846</v>
      </c>
      <c r="L9" s="26">
        <v>281.03833865814721</v>
      </c>
      <c r="M9" s="26">
        <v>413.94888178913766</v>
      </c>
      <c r="N9" s="26">
        <v>720.63258785942492</v>
      </c>
      <c r="O9" s="26">
        <v>442.81789137380161</v>
      </c>
      <c r="P9" s="26">
        <v>67.4632587859425</v>
      </c>
      <c r="Q9" s="26">
        <v>142.88178913738011</v>
      </c>
      <c r="R9" s="26">
        <v>451.32907348242844</v>
      </c>
      <c r="S9" s="26">
        <v>202.35463258785907</v>
      </c>
      <c r="T9" s="26">
        <v>132.57188498402559</v>
      </c>
      <c r="U9" s="26">
        <v>587.53993610223813</v>
      </c>
      <c r="V9" s="26">
        <v>786.18849840255928</v>
      </c>
      <c r="W9" s="27">
        <v>1455</v>
      </c>
      <c r="X9" s="24" t="s">
        <v>209</v>
      </c>
      <c r="Y9" s="30" t="s">
        <v>210</v>
      </c>
      <c r="Z9" s="24" t="s">
        <v>211</v>
      </c>
      <c r="AA9" s="28" t="s">
        <v>212</v>
      </c>
      <c r="AB9" s="24" t="s">
        <v>209</v>
      </c>
      <c r="AC9" s="30" t="s">
        <v>210</v>
      </c>
      <c r="AD9" s="30" t="s">
        <v>213</v>
      </c>
      <c r="AE9" s="36">
        <v>43789</v>
      </c>
    </row>
    <row r="10" spans="1:31" ht="15.75" x14ac:dyDescent="0.25">
      <c r="A10" s="23" t="s">
        <v>22</v>
      </c>
      <c r="B10" s="24" t="s">
        <v>220</v>
      </c>
      <c r="C10" s="24" t="s">
        <v>221</v>
      </c>
      <c r="D10" s="24" t="s">
        <v>222</v>
      </c>
      <c r="E10" s="29">
        <v>78061</v>
      </c>
      <c r="F10" s="24" t="s">
        <v>223</v>
      </c>
      <c r="G10" s="24" t="s">
        <v>224</v>
      </c>
      <c r="H10" s="24" t="s">
        <v>208</v>
      </c>
      <c r="I10" s="25">
        <v>70.547256637168104</v>
      </c>
      <c r="J10" s="26">
        <v>783.58466453673998</v>
      </c>
      <c r="K10" s="26">
        <v>153.34504792332237</v>
      </c>
      <c r="L10" s="26">
        <v>139.79872204472835</v>
      </c>
      <c r="M10" s="26">
        <v>88.600638977635825</v>
      </c>
      <c r="N10" s="26">
        <v>395.44089456868966</v>
      </c>
      <c r="O10" s="26">
        <v>626.36741214057281</v>
      </c>
      <c r="P10" s="26">
        <v>31.201277955271571</v>
      </c>
      <c r="Q10" s="26">
        <v>112.31948881789116</v>
      </c>
      <c r="R10" s="26">
        <v>102.34824281150149</v>
      </c>
      <c r="S10" s="26">
        <v>108.10223642172531</v>
      </c>
      <c r="T10" s="26">
        <v>220.89456869009538</v>
      </c>
      <c r="U10" s="26">
        <v>733.98402555910332</v>
      </c>
      <c r="V10" s="26">
        <v>539.49840255591084</v>
      </c>
      <c r="W10" s="27">
        <v>1350</v>
      </c>
      <c r="X10" s="24" t="s">
        <v>209</v>
      </c>
      <c r="Y10" s="30" t="s">
        <v>210</v>
      </c>
      <c r="Z10" s="24" t="s">
        <v>211</v>
      </c>
      <c r="AA10" s="28" t="s">
        <v>919</v>
      </c>
      <c r="AB10" s="24" t="s">
        <v>209</v>
      </c>
      <c r="AC10" s="30" t="s">
        <v>210</v>
      </c>
      <c r="AD10" s="30" t="s">
        <v>211</v>
      </c>
      <c r="AE10" s="36">
        <v>43524</v>
      </c>
    </row>
    <row r="11" spans="1:31" ht="15.75" x14ac:dyDescent="0.25">
      <c r="A11" s="23" t="s">
        <v>247</v>
      </c>
      <c r="B11" s="24" t="s">
        <v>248</v>
      </c>
      <c r="C11" s="24" t="s">
        <v>40</v>
      </c>
      <c r="D11" s="24" t="s">
        <v>240</v>
      </c>
      <c r="E11" s="29">
        <v>85131</v>
      </c>
      <c r="F11" s="24" t="s">
        <v>241</v>
      </c>
      <c r="G11" s="24" t="s">
        <v>207</v>
      </c>
      <c r="H11" s="24" t="s">
        <v>208</v>
      </c>
      <c r="I11" s="25">
        <v>80.305783072722804</v>
      </c>
      <c r="J11" s="26">
        <v>765.97124600639177</v>
      </c>
      <c r="K11" s="26">
        <v>119.24920127795515</v>
      </c>
      <c r="L11" s="26">
        <v>108.7316293929712</v>
      </c>
      <c r="M11" s="26">
        <v>81.28434504792331</v>
      </c>
      <c r="N11" s="26">
        <v>202.75718849840263</v>
      </c>
      <c r="O11" s="26">
        <v>280.78274760383334</v>
      </c>
      <c r="P11" s="26">
        <v>91.236421725239481</v>
      </c>
      <c r="Q11" s="26">
        <v>500.46006389776414</v>
      </c>
      <c r="R11" s="26">
        <v>84.543130990415264</v>
      </c>
      <c r="S11" s="26">
        <v>69.680511182108631</v>
      </c>
      <c r="T11" s="26">
        <v>139.7444089456867</v>
      </c>
      <c r="U11" s="26">
        <v>781.26837060702996</v>
      </c>
      <c r="V11" s="26">
        <v>458.48881789137431</v>
      </c>
      <c r="W11" s="27"/>
      <c r="X11" s="24" t="s">
        <v>209</v>
      </c>
      <c r="Y11" s="30" t="s">
        <v>210</v>
      </c>
      <c r="Z11" s="24" t="s">
        <v>211</v>
      </c>
      <c r="AA11" s="28" t="s">
        <v>249</v>
      </c>
      <c r="AB11" s="24" t="s">
        <v>209</v>
      </c>
      <c r="AC11" s="30" t="s">
        <v>210</v>
      </c>
      <c r="AD11" s="30" t="s">
        <v>211</v>
      </c>
      <c r="AE11" s="36">
        <v>43503</v>
      </c>
    </row>
    <row r="12" spans="1:31" ht="15.75" x14ac:dyDescent="0.25">
      <c r="A12" s="23" t="s">
        <v>231</v>
      </c>
      <c r="B12" s="24" t="s">
        <v>232</v>
      </c>
      <c r="C12" s="24" t="s">
        <v>233</v>
      </c>
      <c r="D12" s="24" t="s">
        <v>234</v>
      </c>
      <c r="E12" s="29">
        <v>71483</v>
      </c>
      <c r="F12" s="24" t="s">
        <v>235</v>
      </c>
      <c r="G12" s="24" t="s">
        <v>207</v>
      </c>
      <c r="H12" s="24" t="s">
        <v>5</v>
      </c>
      <c r="I12" s="25">
        <v>117.515049036185</v>
      </c>
      <c r="J12" s="26">
        <v>784.33226837060761</v>
      </c>
      <c r="K12" s="26">
        <v>120.41853035143771</v>
      </c>
      <c r="L12" s="26">
        <v>93.281150159744442</v>
      </c>
      <c r="M12" s="26">
        <v>55.651757188498408</v>
      </c>
      <c r="N12" s="26">
        <v>222.56230031948894</v>
      </c>
      <c r="O12" s="26">
        <v>831.0990415335466</v>
      </c>
      <c r="P12" s="26">
        <v>2.2364217252396165E-2</v>
      </c>
      <c r="Q12" s="26">
        <v>0</v>
      </c>
      <c r="R12" s="26">
        <v>71.581469648562347</v>
      </c>
      <c r="S12" s="26">
        <v>48.817891373801942</v>
      </c>
      <c r="T12" s="26">
        <v>101.98402555910559</v>
      </c>
      <c r="U12" s="26">
        <v>831.30031948881833</v>
      </c>
      <c r="V12" s="26">
        <v>448.44728434504867</v>
      </c>
      <c r="W12" s="27">
        <v>946</v>
      </c>
      <c r="X12" s="24" t="s">
        <v>209</v>
      </c>
      <c r="Y12" s="30" t="s">
        <v>210</v>
      </c>
      <c r="Z12" s="24" t="s">
        <v>211</v>
      </c>
      <c r="AA12" s="28" t="s">
        <v>237</v>
      </c>
      <c r="AB12" s="24" t="s">
        <v>238</v>
      </c>
      <c r="AC12" s="30"/>
      <c r="AD12" s="30"/>
      <c r="AE12" s="36"/>
    </row>
    <row r="13" spans="1:31" ht="15.75" x14ac:dyDescent="0.25">
      <c r="A13" s="23" t="s">
        <v>18</v>
      </c>
      <c r="B13" s="24" t="s">
        <v>239</v>
      </c>
      <c r="C13" s="24" t="s">
        <v>40</v>
      </c>
      <c r="D13" s="24" t="s">
        <v>240</v>
      </c>
      <c r="E13" s="29">
        <v>85131</v>
      </c>
      <c r="F13" s="24" t="s">
        <v>241</v>
      </c>
      <c r="G13" s="24" t="s">
        <v>207</v>
      </c>
      <c r="H13" s="24" t="s">
        <v>5</v>
      </c>
      <c r="I13" s="25">
        <v>85.337939698492505</v>
      </c>
      <c r="J13" s="26">
        <v>777.47603833865981</v>
      </c>
      <c r="K13" s="26">
        <v>116.8178913738019</v>
      </c>
      <c r="L13" s="26">
        <v>85.2076677316293</v>
      </c>
      <c r="M13" s="26">
        <v>53.306709265175677</v>
      </c>
      <c r="N13" s="26">
        <v>240.62300319488801</v>
      </c>
      <c r="O13" s="26">
        <v>791.98083067092773</v>
      </c>
      <c r="P13" s="26">
        <v>0</v>
      </c>
      <c r="Q13" s="26">
        <v>0.20447284345047922</v>
      </c>
      <c r="R13" s="26">
        <v>54.789137380191669</v>
      </c>
      <c r="S13" s="26">
        <v>47.696485623003198</v>
      </c>
      <c r="T13" s="26">
        <v>137.96485623003176</v>
      </c>
      <c r="U13" s="26">
        <v>792.35782747603946</v>
      </c>
      <c r="V13" s="26">
        <v>375.07987220447251</v>
      </c>
      <c r="W13" s="27">
        <v>650</v>
      </c>
      <c r="X13" s="24" t="s">
        <v>209</v>
      </c>
      <c r="Y13" s="30" t="s">
        <v>210</v>
      </c>
      <c r="Z13" s="24" t="s">
        <v>211</v>
      </c>
      <c r="AA13" s="28" t="s">
        <v>242</v>
      </c>
      <c r="AB13" s="24" t="s">
        <v>238</v>
      </c>
      <c r="AC13" s="30"/>
      <c r="AD13" s="30"/>
      <c r="AE13" s="36"/>
    </row>
    <row r="14" spans="1:31" ht="15.75" x14ac:dyDescent="0.25">
      <c r="A14" s="23" t="s">
        <v>243</v>
      </c>
      <c r="B14" s="24" t="s">
        <v>244</v>
      </c>
      <c r="C14" s="24" t="s">
        <v>245</v>
      </c>
      <c r="D14" s="24" t="s">
        <v>234</v>
      </c>
      <c r="E14" s="29">
        <v>71342</v>
      </c>
      <c r="F14" s="24" t="s">
        <v>235</v>
      </c>
      <c r="G14" s="24" t="s">
        <v>207</v>
      </c>
      <c r="H14" s="24" t="s">
        <v>208</v>
      </c>
      <c r="I14" s="25">
        <v>41.586609686609698</v>
      </c>
      <c r="J14" s="26">
        <v>404.27476038338756</v>
      </c>
      <c r="K14" s="26">
        <v>295.12460063897936</v>
      </c>
      <c r="L14" s="26">
        <v>251.95527156549375</v>
      </c>
      <c r="M14" s="26">
        <v>69.750798722044678</v>
      </c>
      <c r="N14" s="26">
        <v>372.58466453674328</v>
      </c>
      <c r="O14" s="26">
        <v>449.61022364217484</v>
      </c>
      <c r="P14" s="26">
        <v>86.718849840255388</v>
      </c>
      <c r="Q14" s="26">
        <v>112.19169329073445</v>
      </c>
      <c r="R14" s="26">
        <v>169.66453674121303</v>
      </c>
      <c r="S14" s="26">
        <v>111.92971246006347</v>
      </c>
      <c r="T14" s="26">
        <v>178.47923322683596</v>
      </c>
      <c r="U14" s="26">
        <v>561.031948881787</v>
      </c>
      <c r="V14" s="26">
        <v>488.74121405751509</v>
      </c>
      <c r="W14" s="27">
        <v>1170</v>
      </c>
      <c r="X14" s="24" t="s">
        <v>209</v>
      </c>
      <c r="Y14" s="30" t="s">
        <v>210</v>
      </c>
      <c r="Z14" s="24" t="s">
        <v>211</v>
      </c>
      <c r="AA14" s="28" t="s">
        <v>246</v>
      </c>
      <c r="AB14" s="24" t="s">
        <v>209</v>
      </c>
      <c r="AC14" s="30" t="s">
        <v>210</v>
      </c>
      <c r="AD14" s="30" t="s">
        <v>211</v>
      </c>
      <c r="AE14" s="36">
        <v>43370</v>
      </c>
    </row>
    <row r="15" spans="1:31" ht="15.75" x14ac:dyDescent="0.25">
      <c r="A15" s="23" t="s">
        <v>32</v>
      </c>
      <c r="B15" s="24" t="s">
        <v>250</v>
      </c>
      <c r="C15" s="24" t="s">
        <v>251</v>
      </c>
      <c r="D15" s="24" t="s">
        <v>252</v>
      </c>
      <c r="E15" s="29">
        <v>39120</v>
      </c>
      <c r="F15" s="24" t="s">
        <v>235</v>
      </c>
      <c r="G15" s="24" t="s">
        <v>207</v>
      </c>
      <c r="H15" s="24" t="s">
        <v>208</v>
      </c>
      <c r="I15" s="25">
        <v>87.271207689093202</v>
      </c>
      <c r="J15" s="26">
        <v>780.81789137380349</v>
      </c>
      <c r="K15" s="26">
        <v>48.086261980830685</v>
      </c>
      <c r="L15" s="26">
        <v>44.670926517571893</v>
      </c>
      <c r="M15" s="26">
        <v>52.252396166134204</v>
      </c>
      <c r="N15" s="26">
        <v>170.25239616613388</v>
      </c>
      <c r="O15" s="26">
        <v>489.22683706070114</v>
      </c>
      <c r="P15" s="26">
        <v>4.338658146964856</v>
      </c>
      <c r="Q15" s="26">
        <v>262.00958466453682</v>
      </c>
      <c r="R15" s="26">
        <v>76.453674121405726</v>
      </c>
      <c r="S15" s="26">
        <v>36.210862619808303</v>
      </c>
      <c r="T15" s="26">
        <v>61.543130990415371</v>
      </c>
      <c r="U15" s="26">
        <v>751.61980830670984</v>
      </c>
      <c r="V15" s="26">
        <v>603.97763578275089</v>
      </c>
      <c r="W15" s="27">
        <v>1100</v>
      </c>
      <c r="X15" s="24" t="s">
        <v>209</v>
      </c>
      <c r="Y15" s="30" t="s">
        <v>210</v>
      </c>
      <c r="Z15" s="24" t="s">
        <v>211</v>
      </c>
      <c r="AA15" s="28" t="s">
        <v>212</v>
      </c>
      <c r="AB15" s="24" t="s">
        <v>238</v>
      </c>
      <c r="AC15" s="30"/>
      <c r="AD15" s="30"/>
      <c r="AE15" s="36"/>
    </row>
    <row r="16" spans="1:31" ht="15.75" x14ac:dyDescent="0.25">
      <c r="A16" s="23" t="s">
        <v>225</v>
      </c>
      <c r="B16" s="24" t="s">
        <v>226</v>
      </c>
      <c r="C16" s="24" t="s">
        <v>227</v>
      </c>
      <c r="D16" s="24" t="s">
        <v>222</v>
      </c>
      <c r="E16" s="29">
        <v>78017</v>
      </c>
      <c r="F16" s="24" t="s">
        <v>223</v>
      </c>
      <c r="G16" s="24" t="s">
        <v>228</v>
      </c>
      <c r="H16" s="24" t="s">
        <v>208</v>
      </c>
      <c r="I16" s="25">
        <v>42.522698498824397</v>
      </c>
      <c r="J16" s="26">
        <v>825.79552715654575</v>
      </c>
      <c r="K16" s="26">
        <v>1.1309904153354633</v>
      </c>
      <c r="L16" s="26">
        <v>3.1948881789137379E-3</v>
      </c>
      <c r="M16" s="26">
        <v>0</v>
      </c>
      <c r="N16" s="26">
        <v>0</v>
      </c>
      <c r="O16" s="26">
        <v>217.28753993610135</v>
      </c>
      <c r="P16" s="26">
        <v>4.1054313099041533</v>
      </c>
      <c r="Q16" s="26">
        <v>605.53674121405516</v>
      </c>
      <c r="R16" s="26">
        <v>0.38019169329073482</v>
      </c>
      <c r="S16" s="26">
        <v>0</v>
      </c>
      <c r="T16" s="26">
        <v>3.9329073482428121</v>
      </c>
      <c r="U16" s="26">
        <v>822.6166134185263</v>
      </c>
      <c r="V16" s="26">
        <v>785.56869009584466</v>
      </c>
      <c r="W16" s="27">
        <v>2400</v>
      </c>
      <c r="X16" s="24" t="s">
        <v>209</v>
      </c>
      <c r="Y16" s="30" t="s">
        <v>229</v>
      </c>
      <c r="Z16" s="24" t="s">
        <v>213</v>
      </c>
      <c r="AA16" s="28" t="s">
        <v>920</v>
      </c>
      <c r="AB16" s="24" t="s">
        <v>209</v>
      </c>
      <c r="AC16" s="30" t="s">
        <v>229</v>
      </c>
      <c r="AD16" s="30" t="s">
        <v>213</v>
      </c>
      <c r="AE16" s="36">
        <v>43839</v>
      </c>
    </row>
    <row r="17" spans="1:31" ht="15.75" x14ac:dyDescent="0.25">
      <c r="A17" s="23" t="s">
        <v>253</v>
      </c>
      <c r="B17" s="24" t="s">
        <v>254</v>
      </c>
      <c r="C17" s="24" t="s">
        <v>255</v>
      </c>
      <c r="D17" s="24" t="s">
        <v>205</v>
      </c>
      <c r="E17" s="29">
        <v>92154</v>
      </c>
      <c r="F17" s="24" t="s">
        <v>256</v>
      </c>
      <c r="G17" s="24" t="s">
        <v>224</v>
      </c>
      <c r="H17" s="24" t="s">
        <v>208</v>
      </c>
      <c r="I17" s="25">
        <v>96.284891598916005</v>
      </c>
      <c r="J17" s="26">
        <v>589.79233226837187</v>
      </c>
      <c r="K17" s="26">
        <v>95.025559105431284</v>
      </c>
      <c r="L17" s="26">
        <v>38.798722044728464</v>
      </c>
      <c r="M17" s="26">
        <v>66.53993610223641</v>
      </c>
      <c r="N17" s="26">
        <v>161.78274760383377</v>
      </c>
      <c r="O17" s="26">
        <v>525.83706070287496</v>
      </c>
      <c r="P17" s="26">
        <v>16.530351437699682</v>
      </c>
      <c r="Q17" s="26">
        <v>86.006389776357921</v>
      </c>
      <c r="R17" s="26">
        <v>94.533546325878604</v>
      </c>
      <c r="S17" s="26">
        <v>37.744408945686907</v>
      </c>
      <c r="T17" s="26">
        <v>44.511182108626151</v>
      </c>
      <c r="U17" s="26">
        <v>613.36741214057656</v>
      </c>
      <c r="V17" s="26">
        <v>462.52076677316239</v>
      </c>
      <c r="W17" s="27">
        <v>1100</v>
      </c>
      <c r="X17" s="24" t="s">
        <v>209</v>
      </c>
      <c r="Y17" s="30" t="s">
        <v>210</v>
      </c>
      <c r="Z17" s="24" t="s">
        <v>211</v>
      </c>
      <c r="AA17" s="28" t="s">
        <v>258</v>
      </c>
      <c r="AB17" s="24" t="s">
        <v>209</v>
      </c>
      <c r="AC17" s="30" t="s">
        <v>210</v>
      </c>
      <c r="AD17" s="30" t="s">
        <v>211</v>
      </c>
      <c r="AE17" s="36">
        <v>43490</v>
      </c>
    </row>
    <row r="18" spans="1:31" ht="15.75" x14ac:dyDescent="0.25">
      <c r="A18" s="23" t="s">
        <v>259</v>
      </c>
      <c r="B18" s="24" t="s">
        <v>260</v>
      </c>
      <c r="C18" s="24" t="s">
        <v>261</v>
      </c>
      <c r="D18" s="24" t="s">
        <v>262</v>
      </c>
      <c r="E18" s="29">
        <v>98421</v>
      </c>
      <c r="F18" s="24" t="s">
        <v>263</v>
      </c>
      <c r="G18" s="24" t="s">
        <v>224</v>
      </c>
      <c r="H18" s="24" t="s">
        <v>208</v>
      </c>
      <c r="I18" s="25">
        <v>92.301577084003895</v>
      </c>
      <c r="J18" s="26">
        <v>319.1246006389805</v>
      </c>
      <c r="K18" s="26">
        <v>127.31629392971254</v>
      </c>
      <c r="L18" s="26">
        <v>158.23003194888184</v>
      </c>
      <c r="M18" s="26">
        <v>182.49520766773159</v>
      </c>
      <c r="N18" s="26">
        <v>399.55271565495184</v>
      </c>
      <c r="O18" s="26">
        <v>273.21405750798795</v>
      </c>
      <c r="P18" s="26">
        <v>36.712460063897765</v>
      </c>
      <c r="Q18" s="26">
        <v>77.686900958466225</v>
      </c>
      <c r="R18" s="26">
        <v>250.42492012779547</v>
      </c>
      <c r="S18" s="26">
        <v>87.83706070287549</v>
      </c>
      <c r="T18" s="26">
        <v>96.04472843450489</v>
      </c>
      <c r="U18" s="26">
        <v>352.85942492013112</v>
      </c>
      <c r="V18" s="26">
        <v>508.17891373801979</v>
      </c>
      <c r="W18" s="27">
        <v>1181</v>
      </c>
      <c r="X18" s="24" t="s">
        <v>209</v>
      </c>
      <c r="Y18" s="30" t="s">
        <v>210</v>
      </c>
      <c r="Z18" s="24" t="s">
        <v>211</v>
      </c>
      <c r="AA18" s="28" t="s">
        <v>264</v>
      </c>
      <c r="AB18" s="24" t="s">
        <v>209</v>
      </c>
      <c r="AC18" s="30" t="s">
        <v>210</v>
      </c>
      <c r="AD18" s="30" t="s">
        <v>211</v>
      </c>
      <c r="AE18" s="36">
        <v>43209</v>
      </c>
    </row>
    <row r="19" spans="1:31" ht="15.75" x14ac:dyDescent="0.25">
      <c r="A19" s="23" t="s">
        <v>265</v>
      </c>
      <c r="B19" s="24" t="s">
        <v>266</v>
      </c>
      <c r="C19" s="24" t="s">
        <v>267</v>
      </c>
      <c r="D19" s="24" t="s">
        <v>222</v>
      </c>
      <c r="E19" s="29">
        <v>78566</v>
      </c>
      <c r="F19" s="24" t="s">
        <v>223</v>
      </c>
      <c r="G19" s="24" t="s">
        <v>268</v>
      </c>
      <c r="H19" s="24" t="s">
        <v>208</v>
      </c>
      <c r="I19" s="25">
        <v>14.9794367967099</v>
      </c>
      <c r="J19" s="26">
        <v>651.4600638977679</v>
      </c>
      <c r="K19" s="26">
        <v>50.932907348242736</v>
      </c>
      <c r="L19" s="26">
        <v>8.4025559105431338</v>
      </c>
      <c r="M19" s="26">
        <v>36.354632587859442</v>
      </c>
      <c r="N19" s="26">
        <v>188.62300319488747</v>
      </c>
      <c r="O19" s="26">
        <v>557.40255591055984</v>
      </c>
      <c r="P19" s="26">
        <v>1.2779552715654952E-2</v>
      </c>
      <c r="Q19" s="26">
        <v>1.1118210862619797</v>
      </c>
      <c r="R19" s="26">
        <v>52.175718849840216</v>
      </c>
      <c r="S19" s="26">
        <v>48.999999999999929</v>
      </c>
      <c r="T19" s="26">
        <v>87.501597444088887</v>
      </c>
      <c r="U19" s="26">
        <v>558.47284345049513</v>
      </c>
      <c r="V19" s="26">
        <v>463.42811501600187</v>
      </c>
      <c r="W19" s="27">
        <v>800</v>
      </c>
      <c r="X19" s="24" t="s">
        <v>209</v>
      </c>
      <c r="Y19" s="30" t="s">
        <v>210</v>
      </c>
      <c r="Z19" s="24" t="s">
        <v>211</v>
      </c>
      <c r="AA19" s="28" t="s">
        <v>269</v>
      </c>
      <c r="AB19" s="24" t="s">
        <v>209</v>
      </c>
      <c r="AC19" s="30" t="s">
        <v>210</v>
      </c>
      <c r="AD19" s="30" t="s">
        <v>211</v>
      </c>
      <c r="AE19" s="36">
        <v>43496</v>
      </c>
    </row>
    <row r="20" spans="1:31" ht="15.75" x14ac:dyDescent="0.25">
      <c r="A20" s="23" t="s">
        <v>275</v>
      </c>
      <c r="B20" s="24" t="s">
        <v>276</v>
      </c>
      <c r="C20" s="24" t="s">
        <v>277</v>
      </c>
      <c r="D20" s="24" t="s">
        <v>222</v>
      </c>
      <c r="E20" s="29">
        <v>77301</v>
      </c>
      <c r="F20" s="24" t="s">
        <v>278</v>
      </c>
      <c r="G20" s="24" t="s">
        <v>224</v>
      </c>
      <c r="H20" s="24" t="s">
        <v>208</v>
      </c>
      <c r="I20" s="25">
        <v>26.4750112561909</v>
      </c>
      <c r="J20" s="26">
        <v>213.76038338657989</v>
      </c>
      <c r="K20" s="26">
        <v>260.61022364216836</v>
      </c>
      <c r="L20" s="26">
        <v>83.68690095846631</v>
      </c>
      <c r="M20" s="26">
        <v>130.8594249201272</v>
      </c>
      <c r="N20" s="26">
        <v>382.88498402555916</v>
      </c>
      <c r="O20" s="26">
        <v>206.50159744408805</v>
      </c>
      <c r="P20" s="26">
        <v>47.121405750798708</v>
      </c>
      <c r="Q20" s="26">
        <v>52.408945686900907</v>
      </c>
      <c r="R20" s="26">
        <v>206.41214057507756</v>
      </c>
      <c r="S20" s="26">
        <v>106.72523961661275</v>
      </c>
      <c r="T20" s="26">
        <v>123.36421725239512</v>
      </c>
      <c r="U20" s="26">
        <v>252.41533546325704</v>
      </c>
      <c r="V20" s="26">
        <v>423.64217252396242</v>
      </c>
      <c r="W20" s="27">
        <v>750</v>
      </c>
      <c r="X20" s="24" t="s">
        <v>209</v>
      </c>
      <c r="Y20" s="30" t="s">
        <v>210</v>
      </c>
      <c r="Z20" s="24" t="s">
        <v>211</v>
      </c>
      <c r="AA20" s="28" t="s">
        <v>279</v>
      </c>
      <c r="AB20" s="24" t="s">
        <v>209</v>
      </c>
      <c r="AC20" s="30" t="s">
        <v>210</v>
      </c>
      <c r="AD20" s="30" t="s">
        <v>211</v>
      </c>
      <c r="AE20" s="36">
        <v>43454</v>
      </c>
    </row>
    <row r="21" spans="1:31" ht="15.75" x14ac:dyDescent="0.25">
      <c r="A21" s="23" t="s">
        <v>270</v>
      </c>
      <c r="B21" s="24" t="s">
        <v>271</v>
      </c>
      <c r="C21" s="24" t="s">
        <v>272</v>
      </c>
      <c r="D21" s="24" t="s">
        <v>273</v>
      </c>
      <c r="E21" s="29">
        <v>88081</v>
      </c>
      <c r="F21" s="24" t="s">
        <v>274</v>
      </c>
      <c r="G21" s="24" t="s">
        <v>207</v>
      </c>
      <c r="H21" s="24" t="s">
        <v>5</v>
      </c>
      <c r="I21" s="25">
        <v>45.6291804483646</v>
      </c>
      <c r="J21" s="26">
        <v>412.37699680511042</v>
      </c>
      <c r="K21" s="26">
        <v>174.46325878594121</v>
      </c>
      <c r="L21" s="26">
        <v>63.281150159744307</v>
      </c>
      <c r="M21" s="26">
        <v>30.233226837060741</v>
      </c>
      <c r="N21" s="26">
        <v>332.7507987220435</v>
      </c>
      <c r="O21" s="26">
        <v>347.48881789137431</v>
      </c>
      <c r="P21" s="26">
        <v>0</v>
      </c>
      <c r="Q21" s="26">
        <v>0.11501597444089456</v>
      </c>
      <c r="R21" s="26">
        <v>51.495207667731592</v>
      </c>
      <c r="S21" s="26">
        <v>86.616613418530136</v>
      </c>
      <c r="T21" s="26">
        <v>201.08626198082948</v>
      </c>
      <c r="U21" s="26">
        <v>341.15654952076699</v>
      </c>
      <c r="V21" s="26">
        <v>386.04792332268681</v>
      </c>
      <c r="W21" s="27"/>
      <c r="X21" s="24" t="s">
        <v>209</v>
      </c>
      <c r="Y21" s="30" t="s">
        <v>210</v>
      </c>
      <c r="Z21" s="24" t="s">
        <v>211</v>
      </c>
      <c r="AA21" s="28" t="s">
        <v>269</v>
      </c>
      <c r="AB21" s="24" t="s">
        <v>209</v>
      </c>
      <c r="AC21" s="30" t="s">
        <v>210</v>
      </c>
      <c r="AD21" s="30" t="s">
        <v>211</v>
      </c>
      <c r="AE21" s="36">
        <v>43496</v>
      </c>
    </row>
    <row r="22" spans="1:31" ht="15.75" x14ac:dyDescent="0.25">
      <c r="A22" s="23" t="s">
        <v>48</v>
      </c>
      <c r="B22" s="24" t="s">
        <v>290</v>
      </c>
      <c r="C22" s="24" t="s">
        <v>291</v>
      </c>
      <c r="D22" s="24" t="s">
        <v>217</v>
      </c>
      <c r="E22" s="29">
        <v>31772</v>
      </c>
      <c r="F22" s="24" t="s">
        <v>218</v>
      </c>
      <c r="G22" s="24" t="s">
        <v>236</v>
      </c>
      <c r="H22" s="24" t="s">
        <v>208</v>
      </c>
      <c r="I22" s="25">
        <v>41.388413298825398</v>
      </c>
      <c r="J22" s="26">
        <v>280.98722044728373</v>
      </c>
      <c r="K22" s="26">
        <v>142.08306709265094</v>
      </c>
      <c r="L22" s="26">
        <v>127.210862619808</v>
      </c>
      <c r="M22" s="26">
        <v>110.8402555910541</v>
      </c>
      <c r="N22" s="26">
        <v>250.30670926517402</v>
      </c>
      <c r="O22" s="26">
        <v>173.6996805111807</v>
      </c>
      <c r="P22" s="26">
        <v>89.255591054313129</v>
      </c>
      <c r="Q22" s="26">
        <v>147.85942492012717</v>
      </c>
      <c r="R22" s="26">
        <v>170.30990415335435</v>
      </c>
      <c r="S22" s="26">
        <v>75.648562300319128</v>
      </c>
      <c r="T22" s="26">
        <v>95.811501597443865</v>
      </c>
      <c r="U22" s="26">
        <v>319.35143769968255</v>
      </c>
      <c r="V22" s="26">
        <v>422.52715654952061</v>
      </c>
      <c r="W22" s="27">
        <v>600</v>
      </c>
      <c r="X22" s="24" t="s">
        <v>209</v>
      </c>
      <c r="Y22" s="30" t="s">
        <v>293</v>
      </c>
      <c r="Z22" s="24" t="s">
        <v>211</v>
      </c>
      <c r="AA22" s="28" t="s">
        <v>294</v>
      </c>
      <c r="AB22" s="24" t="s">
        <v>209</v>
      </c>
      <c r="AC22" s="30" t="s">
        <v>293</v>
      </c>
      <c r="AD22" s="30" t="s">
        <v>211</v>
      </c>
      <c r="AE22" s="36">
        <v>43265</v>
      </c>
    </row>
    <row r="23" spans="1:31" ht="15.75" x14ac:dyDescent="0.25">
      <c r="A23" s="23" t="s">
        <v>13</v>
      </c>
      <c r="B23" s="24" t="s">
        <v>287</v>
      </c>
      <c r="C23" s="24" t="s">
        <v>288</v>
      </c>
      <c r="D23" s="24" t="s">
        <v>222</v>
      </c>
      <c r="E23" s="29">
        <v>78580</v>
      </c>
      <c r="F23" s="24" t="s">
        <v>223</v>
      </c>
      <c r="G23" s="24" t="s">
        <v>236</v>
      </c>
      <c r="H23" s="24" t="s">
        <v>208</v>
      </c>
      <c r="I23" s="25">
        <v>30.6193987521271</v>
      </c>
      <c r="J23" s="26">
        <v>647.80191693290226</v>
      </c>
      <c r="K23" s="26">
        <v>9.0000000000000018</v>
      </c>
      <c r="L23" s="26">
        <v>2.4664536741214063</v>
      </c>
      <c r="M23" s="26">
        <v>0.21086261980830667</v>
      </c>
      <c r="N23" s="26">
        <v>44.044728434504847</v>
      </c>
      <c r="O23" s="26">
        <v>359.08306709265139</v>
      </c>
      <c r="P23" s="26">
        <v>34.217252396166131</v>
      </c>
      <c r="Q23" s="26">
        <v>222.1341853035137</v>
      </c>
      <c r="R23" s="26">
        <v>13.734824281150177</v>
      </c>
      <c r="S23" s="26">
        <v>17.092651757188509</v>
      </c>
      <c r="T23" s="26">
        <v>47.153354632587835</v>
      </c>
      <c r="U23" s="26">
        <v>581.49840255591073</v>
      </c>
      <c r="V23" s="26">
        <v>472.3067092651749</v>
      </c>
      <c r="W23" s="27">
        <v>750</v>
      </c>
      <c r="X23" s="24" t="s">
        <v>209</v>
      </c>
      <c r="Y23" s="30" t="s">
        <v>210</v>
      </c>
      <c r="Z23" s="24" t="s">
        <v>211</v>
      </c>
      <c r="AA23" s="28" t="s">
        <v>289</v>
      </c>
      <c r="AB23" s="24" t="s">
        <v>209</v>
      </c>
      <c r="AC23" s="30" t="s">
        <v>210</v>
      </c>
      <c r="AD23" s="30" t="s">
        <v>211</v>
      </c>
      <c r="AE23" s="36">
        <v>43440</v>
      </c>
    </row>
    <row r="24" spans="1:31" ht="15.75" x14ac:dyDescent="0.25">
      <c r="A24" s="23" t="s">
        <v>24</v>
      </c>
      <c r="B24" s="24" t="s">
        <v>284</v>
      </c>
      <c r="C24" s="24" t="s">
        <v>285</v>
      </c>
      <c r="D24" s="24" t="s">
        <v>234</v>
      </c>
      <c r="E24" s="29">
        <v>71251</v>
      </c>
      <c r="F24" s="24" t="s">
        <v>235</v>
      </c>
      <c r="G24" s="24" t="s">
        <v>207</v>
      </c>
      <c r="H24" s="24" t="s">
        <v>208</v>
      </c>
      <c r="I24" s="25">
        <v>109.254707112971</v>
      </c>
      <c r="J24" s="26">
        <v>510.80511182108694</v>
      </c>
      <c r="K24" s="26">
        <v>72.769968051118184</v>
      </c>
      <c r="L24" s="26">
        <v>35.252396166134197</v>
      </c>
      <c r="M24" s="26">
        <v>14.284345047923326</v>
      </c>
      <c r="N24" s="26">
        <v>86.095846645367345</v>
      </c>
      <c r="O24" s="26">
        <v>392.27156549520782</v>
      </c>
      <c r="P24" s="26">
        <v>29.808306709265185</v>
      </c>
      <c r="Q24" s="26">
        <v>124.9361022364217</v>
      </c>
      <c r="R24" s="26">
        <v>36.428115015974456</v>
      </c>
      <c r="S24" s="26">
        <v>20.345047923322674</v>
      </c>
      <c r="T24" s="26">
        <v>58.91373801916928</v>
      </c>
      <c r="U24" s="26">
        <v>517.42492012779644</v>
      </c>
      <c r="V24" s="26">
        <v>376.08945686901035</v>
      </c>
      <c r="W24" s="27"/>
      <c r="X24" s="24" t="s">
        <v>209</v>
      </c>
      <c r="Y24" s="30" t="s">
        <v>210</v>
      </c>
      <c r="Z24" s="24" t="s">
        <v>211</v>
      </c>
      <c r="AA24" s="28" t="s">
        <v>286</v>
      </c>
      <c r="AB24" s="24" t="s">
        <v>238</v>
      </c>
      <c r="AC24" s="30"/>
      <c r="AD24" s="30"/>
      <c r="AE24" s="36"/>
    </row>
    <row r="25" spans="1:31" ht="15.75" x14ac:dyDescent="0.25">
      <c r="A25" s="23" t="s">
        <v>299</v>
      </c>
      <c r="B25" s="24" t="s">
        <v>300</v>
      </c>
      <c r="C25" s="24" t="s">
        <v>301</v>
      </c>
      <c r="D25" s="24" t="s">
        <v>222</v>
      </c>
      <c r="E25" s="29">
        <v>77032</v>
      </c>
      <c r="F25" s="24" t="s">
        <v>278</v>
      </c>
      <c r="G25" s="24" t="s">
        <v>224</v>
      </c>
      <c r="H25" s="24" t="s">
        <v>208</v>
      </c>
      <c r="I25" s="25">
        <v>38.5951492537313</v>
      </c>
      <c r="J25" s="26">
        <v>265.29712460063763</v>
      </c>
      <c r="K25" s="26">
        <v>245.40894568689998</v>
      </c>
      <c r="L25" s="26">
        <v>66.948881789137332</v>
      </c>
      <c r="M25" s="26">
        <v>46.894568690095845</v>
      </c>
      <c r="N25" s="26">
        <v>264.89456869009445</v>
      </c>
      <c r="O25" s="26">
        <v>288.06709265175618</v>
      </c>
      <c r="P25" s="26">
        <v>20.891373801916934</v>
      </c>
      <c r="Q25" s="26">
        <v>50.696485623003213</v>
      </c>
      <c r="R25" s="26">
        <v>67.632587859424831</v>
      </c>
      <c r="S25" s="26">
        <v>89.086261980830656</v>
      </c>
      <c r="T25" s="26">
        <v>136.2300319488815</v>
      </c>
      <c r="U25" s="26">
        <v>331.60063897763428</v>
      </c>
      <c r="V25" s="26">
        <v>442.17571884983886</v>
      </c>
      <c r="W25" s="27">
        <v>750</v>
      </c>
      <c r="X25" s="24" t="s">
        <v>209</v>
      </c>
      <c r="Y25" s="30" t="s">
        <v>210</v>
      </c>
      <c r="Z25" s="24" t="s">
        <v>211</v>
      </c>
      <c r="AA25" s="28" t="s">
        <v>230</v>
      </c>
      <c r="AB25" s="24" t="s">
        <v>209</v>
      </c>
      <c r="AC25" s="30" t="s">
        <v>210</v>
      </c>
      <c r="AD25" s="30" t="s">
        <v>211</v>
      </c>
      <c r="AE25" s="36">
        <v>43475</v>
      </c>
    </row>
    <row r="26" spans="1:31" ht="15.75" x14ac:dyDescent="0.25">
      <c r="A26" s="23" t="s">
        <v>355</v>
      </c>
      <c r="B26" s="24" t="s">
        <v>239</v>
      </c>
      <c r="C26" s="24" t="s">
        <v>40</v>
      </c>
      <c r="D26" s="24" t="s">
        <v>240</v>
      </c>
      <c r="E26" s="29">
        <v>85131</v>
      </c>
      <c r="F26" s="24" t="s">
        <v>241</v>
      </c>
      <c r="G26" s="24" t="s">
        <v>207</v>
      </c>
      <c r="H26" s="24" t="s">
        <v>5</v>
      </c>
      <c r="I26" s="25">
        <v>63.244525547445299</v>
      </c>
      <c r="J26" s="26">
        <v>365.56549520766674</v>
      </c>
      <c r="K26" s="26">
        <v>89.437699680511045</v>
      </c>
      <c r="L26" s="26">
        <v>78.964856230031927</v>
      </c>
      <c r="M26" s="26">
        <v>65.121405750798729</v>
      </c>
      <c r="N26" s="26">
        <v>220.49201277955265</v>
      </c>
      <c r="O26" s="26">
        <v>378.59744408945647</v>
      </c>
      <c r="P26" s="26">
        <v>0</v>
      </c>
      <c r="Q26" s="26">
        <v>0</v>
      </c>
      <c r="R26" s="26">
        <v>65.207667731629371</v>
      </c>
      <c r="S26" s="26">
        <v>42.587859424920147</v>
      </c>
      <c r="T26" s="26">
        <v>112.31309904153348</v>
      </c>
      <c r="U26" s="26">
        <v>378.9808306709262</v>
      </c>
      <c r="V26" s="26">
        <v>350.25878594249195</v>
      </c>
      <c r="W26" s="27">
        <v>650</v>
      </c>
      <c r="X26" s="24" t="s">
        <v>238</v>
      </c>
      <c r="Y26" s="30"/>
      <c r="Z26" s="24"/>
      <c r="AA26" s="28" t="s">
        <v>356</v>
      </c>
      <c r="AB26" s="24" t="s">
        <v>238</v>
      </c>
      <c r="AC26" s="30"/>
      <c r="AD26" s="30"/>
      <c r="AE26" s="36"/>
    </row>
    <row r="27" spans="1:31" ht="15.75" x14ac:dyDescent="0.25">
      <c r="A27" s="23" t="s">
        <v>295</v>
      </c>
      <c r="B27" s="24" t="s">
        <v>296</v>
      </c>
      <c r="C27" s="24" t="s">
        <v>297</v>
      </c>
      <c r="D27" s="24" t="s">
        <v>222</v>
      </c>
      <c r="E27" s="29">
        <v>79925</v>
      </c>
      <c r="F27" s="24" t="s">
        <v>274</v>
      </c>
      <c r="G27" s="24" t="s">
        <v>268</v>
      </c>
      <c r="H27" s="24" t="s">
        <v>208</v>
      </c>
      <c r="I27" s="25">
        <v>14.4003831417625</v>
      </c>
      <c r="J27" s="26">
        <v>322.30670926517752</v>
      </c>
      <c r="K27" s="26">
        <v>127.69009584663952</v>
      </c>
      <c r="L27" s="26">
        <v>67.306709265174817</v>
      </c>
      <c r="M27" s="26">
        <v>37.130990415335511</v>
      </c>
      <c r="N27" s="26">
        <v>160.38338658146034</v>
      </c>
      <c r="O27" s="26">
        <v>156.19169329073014</v>
      </c>
      <c r="P27" s="26">
        <v>74.27795527156492</v>
      </c>
      <c r="Q27" s="26">
        <v>163.58146964856189</v>
      </c>
      <c r="R27" s="26">
        <v>62.968051118210148</v>
      </c>
      <c r="S27" s="26">
        <v>58.022364217250704</v>
      </c>
      <c r="T27" s="26">
        <v>113.81469648561952</v>
      </c>
      <c r="U27" s="26">
        <v>319.62939297124717</v>
      </c>
      <c r="V27" s="26">
        <v>319.47923322683886</v>
      </c>
      <c r="W27" s="27">
        <v>600</v>
      </c>
      <c r="X27" s="24" t="s">
        <v>209</v>
      </c>
      <c r="Y27" s="30" t="s">
        <v>210</v>
      </c>
      <c r="Z27" s="24" t="s">
        <v>211</v>
      </c>
      <c r="AA27" s="28" t="s">
        <v>298</v>
      </c>
      <c r="AB27" s="24" t="s">
        <v>209</v>
      </c>
      <c r="AC27" s="30" t="s">
        <v>210</v>
      </c>
      <c r="AD27" s="30" t="s">
        <v>211</v>
      </c>
      <c r="AE27" s="36">
        <v>43447</v>
      </c>
    </row>
    <row r="28" spans="1:31" ht="15.75" x14ac:dyDescent="0.25">
      <c r="A28" s="23" t="s">
        <v>326</v>
      </c>
      <c r="B28" s="24" t="s">
        <v>327</v>
      </c>
      <c r="C28" s="24" t="s">
        <v>328</v>
      </c>
      <c r="D28" s="24" t="s">
        <v>329</v>
      </c>
      <c r="E28" s="29">
        <v>33194</v>
      </c>
      <c r="F28" s="24" t="s">
        <v>36</v>
      </c>
      <c r="G28" s="24" t="s">
        <v>268</v>
      </c>
      <c r="H28" s="24" t="s">
        <v>5</v>
      </c>
      <c r="I28" s="25">
        <v>27.033495647041502</v>
      </c>
      <c r="J28" s="26">
        <v>114.76996805111895</v>
      </c>
      <c r="K28" s="26">
        <v>67.907348242811551</v>
      </c>
      <c r="L28" s="26">
        <v>194.02236421725087</v>
      </c>
      <c r="M28" s="26">
        <v>173.60383386581407</v>
      </c>
      <c r="N28" s="26">
        <v>344.07667731629266</v>
      </c>
      <c r="O28" s="26">
        <v>206.22683706070211</v>
      </c>
      <c r="P28" s="26">
        <v>0</v>
      </c>
      <c r="Q28" s="26">
        <v>0</v>
      </c>
      <c r="R28" s="26">
        <v>166.42172523961585</v>
      </c>
      <c r="S28" s="26">
        <v>91.178913738018935</v>
      </c>
      <c r="T28" s="26">
        <v>86.376996805111645</v>
      </c>
      <c r="U28" s="26">
        <v>206.32587859424842</v>
      </c>
      <c r="V28" s="26">
        <v>376.46964856229346</v>
      </c>
      <c r="W28" s="27">
        <v>450</v>
      </c>
      <c r="X28" s="24" t="s">
        <v>209</v>
      </c>
      <c r="Y28" s="30" t="s">
        <v>210</v>
      </c>
      <c r="Z28" s="24" t="s">
        <v>213</v>
      </c>
      <c r="AA28" s="28" t="s">
        <v>315</v>
      </c>
      <c r="AB28" s="24" t="s">
        <v>209</v>
      </c>
      <c r="AC28" s="30" t="s">
        <v>210</v>
      </c>
      <c r="AD28" s="30" t="s">
        <v>211</v>
      </c>
      <c r="AE28" s="36">
        <v>43510</v>
      </c>
    </row>
    <row r="29" spans="1:31" ht="15.75" x14ac:dyDescent="0.25">
      <c r="A29" s="23" t="s">
        <v>47</v>
      </c>
      <c r="B29" s="24" t="s">
        <v>302</v>
      </c>
      <c r="C29" s="24" t="s">
        <v>303</v>
      </c>
      <c r="D29" s="24" t="s">
        <v>234</v>
      </c>
      <c r="E29" s="29">
        <v>70576</v>
      </c>
      <c r="F29" s="24" t="s">
        <v>235</v>
      </c>
      <c r="G29" s="24" t="s">
        <v>207</v>
      </c>
      <c r="H29" s="24" t="s">
        <v>5</v>
      </c>
      <c r="I29" s="25">
        <v>85.997785160575901</v>
      </c>
      <c r="J29" s="26">
        <v>375.287539936104</v>
      </c>
      <c r="K29" s="26">
        <v>89.498402555910545</v>
      </c>
      <c r="L29" s="26">
        <v>55.795527156549518</v>
      </c>
      <c r="M29" s="26">
        <v>17.466453674121404</v>
      </c>
      <c r="N29" s="26">
        <v>126.34824281150152</v>
      </c>
      <c r="O29" s="26">
        <v>411.69968051118377</v>
      </c>
      <c r="P29" s="26">
        <v>0</v>
      </c>
      <c r="Q29" s="26">
        <v>0</v>
      </c>
      <c r="R29" s="26">
        <v>34.424920127795531</v>
      </c>
      <c r="S29" s="26">
        <v>25.763578274760388</v>
      </c>
      <c r="T29" s="26">
        <v>66.712460063897666</v>
      </c>
      <c r="U29" s="26">
        <v>411.14696485623176</v>
      </c>
      <c r="V29" s="26">
        <v>302.26837060702906</v>
      </c>
      <c r="W29" s="27"/>
      <c r="X29" s="24" t="s">
        <v>209</v>
      </c>
      <c r="Y29" s="30" t="s">
        <v>210</v>
      </c>
      <c r="Z29" s="24" t="s">
        <v>211</v>
      </c>
      <c r="AA29" s="28" t="s">
        <v>304</v>
      </c>
      <c r="AB29" s="24" t="s">
        <v>209</v>
      </c>
      <c r="AC29" s="30" t="s">
        <v>210</v>
      </c>
      <c r="AD29" s="30" t="s">
        <v>211</v>
      </c>
      <c r="AE29" s="36">
        <v>43216</v>
      </c>
    </row>
    <row r="30" spans="1:31" ht="15.75" x14ac:dyDescent="0.25">
      <c r="A30" s="23" t="s">
        <v>308</v>
      </c>
      <c r="B30" s="24" t="s">
        <v>309</v>
      </c>
      <c r="C30" s="24" t="s">
        <v>310</v>
      </c>
      <c r="D30" s="24" t="s">
        <v>205</v>
      </c>
      <c r="E30" s="29">
        <v>92231</v>
      </c>
      <c r="F30" s="24" t="s">
        <v>256</v>
      </c>
      <c r="G30" s="24" t="s">
        <v>224</v>
      </c>
      <c r="H30" s="24" t="s">
        <v>208</v>
      </c>
      <c r="I30" s="25">
        <v>86.1826241134752</v>
      </c>
      <c r="J30" s="26">
        <v>484.91054313098959</v>
      </c>
      <c r="K30" s="26">
        <v>6.5654952076677331</v>
      </c>
      <c r="L30" s="26">
        <v>6.8849840255591044</v>
      </c>
      <c r="M30" s="26">
        <v>35.696485623003198</v>
      </c>
      <c r="N30" s="26">
        <v>62.543130990415314</v>
      </c>
      <c r="O30" s="26">
        <v>420.94888178913726</v>
      </c>
      <c r="P30" s="26">
        <v>2.1054313099041533</v>
      </c>
      <c r="Q30" s="26">
        <v>48.46006389776354</v>
      </c>
      <c r="R30" s="26">
        <v>46.015974440894567</v>
      </c>
      <c r="S30" s="26">
        <v>7.5271565495207664</v>
      </c>
      <c r="T30" s="26">
        <v>11.070287539936107</v>
      </c>
      <c r="U30" s="26">
        <v>469.44408945686871</v>
      </c>
      <c r="V30" s="26">
        <v>389.56230031948792</v>
      </c>
      <c r="W30" s="27">
        <v>640</v>
      </c>
      <c r="X30" s="24" t="s">
        <v>209</v>
      </c>
      <c r="Y30" s="30" t="s">
        <v>210</v>
      </c>
      <c r="Z30" s="24" t="s">
        <v>211</v>
      </c>
      <c r="AA30" s="28" t="s">
        <v>311</v>
      </c>
      <c r="AB30" s="24" t="s">
        <v>209</v>
      </c>
      <c r="AC30" s="30" t="s">
        <v>210</v>
      </c>
      <c r="AD30" s="30" t="s">
        <v>211</v>
      </c>
      <c r="AE30" s="36">
        <v>43482</v>
      </c>
    </row>
    <row r="31" spans="1:31" ht="15.75" x14ac:dyDescent="0.25">
      <c r="A31" s="23" t="s">
        <v>316</v>
      </c>
      <c r="B31" s="24" t="s">
        <v>317</v>
      </c>
      <c r="C31" s="24" t="s">
        <v>318</v>
      </c>
      <c r="D31" s="24" t="s">
        <v>319</v>
      </c>
      <c r="E31" s="29">
        <v>7105</v>
      </c>
      <c r="F31" s="24" t="s">
        <v>320</v>
      </c>
      <c r="G31" s="24" t="s">
        <v>236</v>
      </c>
      <c r="H31" s="24" t="s">
        <v>5</v>
      </c>
      <c r="I31" s="25">
        <v>112.18187500000001</v>
      </c>
      <c r="J31" s="26">
        <v>9.4952076677316288</v>
      </c>
      <c r="K31" s="26">
        <v>12.277955271565498</v>
      </c>
      <c r="L31" s="26">
        <v>316.90734824281128</v>
      </c>
      <c r="M31" s="26">
        <v>193.77955271565506</v>
      </c>
      <c r="N31" s="26">
        <v>317.62939297124609</v>
      </c>
      <c r="O31" s="26">
        <v>213.21405750798743</v>
      </c>
      <c r="P31" s="26">
        <v>1</v>
      </c>
      <c r="Q31" s="26">
        <v>0.61661341853035145</v>
      </c>
      <c r="R31" s="26">
        <v>181.60383386581475</v>
      </c>
      <c r="S31" s="26">
        <v>59.942492012779532</v>
      </c>
      <c r="T31" s="26">
        <v>83.255591054313044</v>
      </c>
      <c r="U31" s="26">
        <v>207.65814696485643</v>
      </c>
      <c r="V31" s="26">
        <v>274.79552715654933</v>
      </c>
      <c r="W31" s="27"/>
      <c r="X31" s="24" t="s">
        <v>209</v>
      </c>
      <c r="Y31" s="30" t="s">
        <v>210</v>
      </c>
      <c r="Z31" s="24" t="s">
        <v>211</v>
      </c>
      <c r="AA31" s="28" t="s">
        <v>246</v>
      </c>
      <c r="AB31" s="24" t="s">
        <v>209</v>
      </c>
      <c r="AC31" s="30" t="s">
        <v>210</v>
      </c>
      <c r="AD31" s="30" t="s">
        <v>211</v>
      </c>
      <c r="AE31" s="36">
        <v>43370</v>
      </c>
    </row>
    <row r="32" spans="1:31" ht="15.75" x14ac:dyDescent="0.25">
      <c r="A32" s="23" t="s">
        <v>321</v>
      </c>
      <c r="B32" s="24" t="s">
        <v>322</v>
      </c>
      <c r="C32" s="24" t="s">
        <v>323</v>
      </c>
      <c r="D32" s="24" t="s">
        <v>324</v>
      </c>
      <c r="E32" s="29">
        <v>23901</v>
      </c>
      <c r="F32" s="24" t="s">
        <v>325</v>
      </c>
      <c r="G32" s="24" t="s">
        <v>207</v>
      </c>
      <c r="H32" s="24" t="s">
        <v>5</v>
      </c>
      <c r="I32" s="25">
        <v>68.511402027027003</v>
      </c>
      <c r="J32" s="26">
        <v>117.49520766773126</v>
      </c>
      <c r="K32" s="26">
        <v>167.27156549520745</v>
      </c>
      <c r="L32" s="26">
        <v>114.03833865814698</v>
      </c>
      <c r="M32" s="26">
        <v>131.2811501597443</v>
      </c>
      <c r="N32" s="26">
        <v>338.2204472843448</v>
      </c>
      <c r="O32" s="26">
        <v>191.30670926517573</v>
      </c>
      <c r="P32" s="26">
        <v>0.5591054313099042</v>
      </c>
      <c r="Q32" s="26">
        <v>0</v>
      </c>
      <c r="R32" s="26">
        <v>146.81469648562276</v>
      </c>
      <c r="S32" s="26">
        <v>99.952076677316214</v>
      </c>
      <c r="T32" s="26">
        <v>93.958466453674035</v>
      </c>
      <c r="U32" s="26">
        <v>189.36102236421721</v>
      </c>
      <c r="V32" s="26">
        <v>278.025559105431</v>
      </c>
      <c r="W32" s="27">
        <v>500</v>
      </c>
      <c r="X32" s="24" t="s">
        <v>209</v>
      </c>
      <c r="Y32" s="30" t="s">
        <v>210</v>
      </c>
      <c r="Z32" s="24" t="s">
        <v>213</v>
      </c>
      <c r="AA32" s="28" t="s">
        <v>919</v>
      </c>
      <c r="AB32" s="24" t="s">
        <v>209</v>
      </c>
      <c r="AC32" s="30" t="s">
        <v>210</v>
      </c>
      <c r="AD32" s="30" t="s">
        <v>211</v>
      </c>
      <c r="AE32" s="36">
        <v>43524</v>
      </c>
    </row>
    <row r="33" spans="1:31" ht="15.75" x14ac:dyDescent="0.25">
      <c r="A33" s="23" t="s">
        <v>280</v>
      </c>
      <c r="B33" s="24" t="s">
        <v>281</v>
      </c>
      <c r="C33" s="24" t="s">
        <v>282</v>
      </c>
      <c r="D33" s="24" t="s">
        <v>234</v>
      </c>
      <c r="E33" s="29">
        <v>71202</v>
      </c>
      <c r="F33" s="24" t="s">
        <v>235</v>
      </c>
      <c r="G33" s="24" t="s">
        <v>207</v>
      </c>
      <c r="H33" s="24" t="s">
        <v>5</v>
      </c>
      <c r="I33" s="25">
        <v>129.62035344302299</v>
      </c>
      <c r="J33" s="26">
        <v>445.92332268370598</v>
      </c>
      <c r="K33" s="26">
        <v>62.942492012779553</v>
      </c>
      <c r="L33" s="26">
        <v>10.891373801916936</v>
      </c>
      <c r="M33" s="26">
        <v>3.1821086261980827</v>
      </c>
      <c r="N33" s="26">
        <v>62.616613418530335</v>
      </c>
      <c r="O33" s="26">
        <v>459.91054313099056</v>
      </c>
      <c r="P33" s="26">
        <v>0</v>
      </c>
      <c r="Q33" s="26">
        <v>0.41214057507987223</v>
      </c>
      <c r="R33" s="26">
        <v>7.3514376996805169</v>
      </c>
      <c r="S33" s="26">
        <v>6.9552715654952095</v>
      </c>
      <c r="T33" s="26">
        <v>48.118210862619826</v>
      </c>
      <c r="U33" s="26">
        <v>460.51437699680531</v>
      </c>
      <c r="V33" s="26">
        <v>328.30351437699636</v>
      </c>
      <c r="W33" s="27"/>
      <c r="X33" s="24" t="s">
        <v>209</v>
      </c>
      <c r="Y33" s="30" t="s">
        <v>210</v>
      </c>
      <c r="Z33" s="24" t="s">
        <v>211</v>
      </c>
      <c r="AA33" s="28" t="s">
        <v>283</v>
      </c>
      <c r="AB33" s="24" t="s">
        <v>238</v>
      </c>
      <c r="AC33" s="30"/>
      <c r="AD33" s="30"/>
      <c r="AE33" s="36"/>
    </row>
    <row r="34" spans="1:31" ht="15.75" x14ac:dyDescent="0.25">
      <c r="A34" s="23" t="s">
        <v>312</v>
      </c>
      <c r="B34" s="24" t="s">
        <v>313</v>
      </c>
      <c r="C34" s="24" t="s">
        <v>49</v>
      </c>
      <c r="D34" s="24" t="s">
        <v>222</v>
      </c>
      <c r="E34" s="29">
        <v>76009</v>
      </c>
      <c r="F34" s="24" t="s">
        <v>314</v>
      </c>
      <c r="G34" s="24" t="s">
        <v>207</v>
      </c>
      <c r="H34" s="24" t="s">
        <v>208</v>
      </c>
      <c r="I34" s="25">
        <v>20.9936784351145</v>
      </c>
      <c r="J34" s="26">
        <v>237.06709265175212</v>
      </c>
      <c r="K34" s="26">
        <v>87.623003194887062</v>
      </c>
      <c r="L34" s="26">
        <v>99.367412140574018</v>
      </c>
      <c r="M34" s="26">
        <v>78.440894568689558</v>
      </c>
      <c r="N34" s="26">
        <v>261.08306709264741</v>
      </c>
      <c r="O34" s="26">
        <v>195.99999999999631</v>
      </c>
      <c r="P34" s="26">
        <v>23.616613418530392</v>
      </c>
      <c r="Q34" s="26">
        <v>21.798722044728475</v>
      </c>
      <c r="R34" s="26">
        <v>126.89456869009341</v>
      </c>
      <c r="S34" s="26">
        <v>69.900958466452906</v>
      </c>
      <c r="T34" s="26">
        <v>88.373801916931583</v>
      </c>
      <c r="U34" s="26">
        <v>217.32907348242389</v>
      </c>
      <c r="V34" s="26">
        <v>274.02236421725189</v>
      </c>
      <c r="W34" s="27"/>
      <c r="X34" s="24" t="s">
        <v>209</v>
      </c>
      <c r="Y34" s="30" t="s">
        <v>210</v>
      </c>
      <c r="Z34" s="24" t="s">
        <v>211</v>
      </c>
      <c r="AA34" s="28" t="s">
        <v>315</v>
      </c>
      <c r="AB34" s="24" t="s">
        <v>209</v>
      </c>
      <c r="AC34" s="30" t="s">
        <v>210</v>
      </c>
      <c r="AD34" s="30" t="s">
        <v>211</v>
      </c>
      <c r="AE34" s="36">
        <v>43510</v>
      </c>
    </row>
    <row r="35" spans="1:31" ht="15.75" x14ac:dyDescent="0.25">
      <c r="A35" s="23" t="s">
        <v>330</v>
      </c>
      <c r="B35" s="24" t="s">
        <v>331</v>
      </c>
      <c r="C35" s="24" t="s">
        <v>50</v>
      </c>
      <c r="D35" s="24" t="s">
        <v>332</v>
      </c>
      <c r="E35" s="29">
        <v>80010</v>
      </c>
      <c r="F35" s="24" t="s">
        <v>333</v>
      </c>
      <c r="G35" s="24" t="s">
        <v>224</v>
      </c>
      <c r="H35" s="24" t="s">
        <v>208</v>
      </c>
      <c r="I35" s="25">
        <v>79.129681836488103</v>
      </c>
      <c r="J35" s="26">
        <v>198.26517571884929</v>
      </c>
      <c r="K35" s="26">
        <v>63.070287539936068</v>
      </c>
      <c r="L35" s="26">
        <v>143.92651757188477</v>
      </c>
      <c r="M35" s="26">
        <v>92.006389776357722</v>
      </c>
      <c r="N35" s="26">
        <v>267.30670926517496</v>
      </c>
      <c r="O35" s="26">
        <v>210.41533546325815</v>
      </c>
      <c r="P35" s="26">
        <v>5.4281150159744396</v>
      </c>
      <c r="Q35" s="26">
        <v>14.11821086261981</v>
      </c>
      <c r="R35" s="26">
        <v>135.90734824281139</v>
      </c>
      <c r="S35" s="26">
        <v>84.600638977635583</v>
      </c>
      <c r="T35" s="26">
        <v>52.718849840255558</v>
      </c>
      <c r="U35" s="26">
        <v>224.04153354632527</v>
      </c>
      <c r="V35" s="26">
        <v>293.74440894568556</v>
      </c>
      <c r="W35" s="27">
        <v>525</v>
      </c>
      <c r="X35" s="24" t="s">
        <v>209</v>
      </c>
      <c r="Y35" s="30" t="s">
        <v>210</v>
      </c>
      <c r="Z35" s="24" t="s">
        <v>211</v>
      </c>
      <c r="AA35" s="28" t="s">
        <v>334</v>
      </c>
      <c r="AB35" s="24" t="s">
        <v>209</v>
      </c>
      <c r="AC35" s="30" t="s">
        <v>210</v>
      </c>
      <c r="AD35" s="30" t="s">
        <v>211</v>
      </c>
      <c r="AE35" s="36">
        <v>43377</v>
      </c>
    </row>
    <row r="36" spans="1:31" ht="15.75" x14ac:dyDescent="0.25">
      <c r="A36" s="23" t="s">
        <v>335</v>
      </c>
      <c r="B36" s="24" t="s">
        <v>336</v>
      </c>
      <c r="C36" s="24" t="s">
        <v>337</v>
      </c>
      <c r="D36" s="24" t="s">
        <v>217</v>
      </c>
      <c r="E36" s="29">
        <v>31537</v>
      </c>
      <c r="F36" s="24" t="s">
        <v>218</v>
      </c>
      <c r="G36" s="24" t="s">
        <v>207</v>
      </c>
      <c r="H36" s="24" t="s">
        <v>5</v>
      </c>
      <c r="I36" s="25">
        <v>60.332507958967099</v>
      </c>
      <c r="J36" s="26">
        <v>324.10223642172423</v>
      </c>
      <c r="K36" s="26">
        <v>107.7699680511181</v>
      </c>
      <c r="L36" s="26">
        <v>32.706070287539937</v>
      </c>
      <c r="M36" s="26">
        <v>21.284345047923335</v>
      </c>
      <c r="N36" s="26">
        <v>187.87539936102158</v>
      </c>
      <c r="O36" s="26">
        <v>297.78274760383357</v>
      </c>
      <c r="P36" s="26">
        <v>0</v>
      </c>
      <c r="Q36" s="26">
        <v>0.20447284345047922</v>
      </c>
      <c r="R36" s="26">
        <v>48.648562300319504</v>
      </c>
      <c r="S36" s="26">
        <v>47.277955271565503</v>
      </c>
      <c r="T36" s="26">
        <v>93.210862619808154</v>
      </c>
      <c r="U36" s="26">
        <v>296.72523961661312</v>
      </c>
      <c r="V36" s="26">
        <v>212.34185303514326</v>
      </c>
      <c r="W36" s="27">
        <v>544</v>
      </c>
      <c r="X36" s="24" t="s">
        <v>209</v>
      </c>
      <c r="Y36" s="30" t="s">
        <v>210</v>
      </c>
      <c r="Z36" s="24" t="s">
        <v>211</v>
      </c>
      <c r="AA36" s="28" t="s">
        <v>338</v>
      </c>
      <c r="AB36" s="24" t="s">
        <v>209</v>
      </c>
      <c r="AC36" s="30" t="s">
        <v>210</v>
      </c>
      <c r="AD36" s="30" t="s">
        <v>211</v>
      </c>
      <c r="AE36" s="36">
        <v>42817</v>
      </c>
    </row>
    <row r="37" spans="1:31" ht="15.75" x14ac:dyDescent="0.25">
      <c r="A37" s="23" t="s">
        <v>9</v>
      </c>
      <c r="B37" s="24" t="s">
        <v>339</v>
      </c>
      <c r="C37" s="24" t="s">
        <v>340</v>
      </c>
      <c r="D37" s="24" t="s">
        <v>329</v>
      </c>
      <c r="E37" s="29">
        <v>33073</v>
      </c>
      <c r="F37" s="24" t="s">
        <v>36</v>
      </c>
      <c r="G37" s="24" t="s">
        <v>224</v>
      </c>
      <c r="H37" s="24" t="s">
        <v>208</v>
      </c>
      <c r="I37" s="25">
        <v>43.357833655706003</v>
      </c>
      <c r="J37" s="26">
        <v>432.24920127795451</v>
      </c>
      <c r="K37" s="26">
        <v>48.884984025559092</v>
      </c>
      <c r="L37" s="26">
        <v>0.34824281150159742</v>
      </c>
      <c r="M37" s="26">
        <v>8.3067092651757185E-2</v>
      </c>
      <c r="N37" s="26">
        <v>93.156549520766589</v>
      </c>
      <c r="O37" s="26">
        <v>312.08306709265111</v>
      </c>
      <c r="P37" s="26">
        <v>6.7380191693290739</v>
      </c>
      <c r="Q37" s="26">
        <v>69.587859424920083</v>
      </c>
      <c r="R37" s="26">
        <v>4.3322683706070286</v>
      </c>
      <c r="S37" s="26">
        <v>26.319488817891376</v>
      </c>
      <c r="T37" s="26">
        <v>70.408945686900879</v>
      </c>
      <c r="U37" s="26">
        <v>380.50479233226753</v>
      </c>
      <c r="V37" s="26">
        <v>269.70926517571939</v>
      </c>
      <c r="W37" s="27">
        <v>700</v>
      </c>
      <c r="X37" s="24" t="s">
        <v>209</v>
      </c>
      <c r="Y37" s="30" t="s">
        <v>210</v>
      </c>
      <c r="Z37" s="24" t="s">
        <v>211</v>
      </c>
      <c r="AA37" s="28" t="s">
        <v>341</v>
      </c>
      <c r="AB37" s="24" t="s">
        <v>209</v>
      </c>
      <c r="AC37" s="30" t="s">
        <v>210</v>
      </c>
      <c r="AD37" s="30" t="s">
        <v>211</v>
      </c>
      <c r="AE37" s="36">
        <v>43405</v>
      </c>
    </row>
    <row r="38" spans="1:31" ht="15.75" x14ac:dyDescent="0.25">
      <c r="A38" s="23" t="s">
        <v>305</v>
      </c>
      <c r="B38" s="24" t="s">
        <v>306</v>
      </c>
      <c r="C38" s="24" t="s">
        <v>307</v>
      </c>
      <c r="D38" s="24" t="s">
        <v>234</v>
      </c>
      <c r="E38" s="29">
        <v>70515</v>
      </c>
      <c r="F38" s="24" t="s">
        <v>235</v>
      </c>
      <c r="G38" s="24" t="s">
        <v>207</v>
      </c>
      <c r="H38" s="24" t="s">
        <v>208</v>
      </c>
      <c r="I38" s="25">
        <v>96.614688664183106</v>
      </c>
      <c r="J38" s="26">
        <v>418.8178913738015</v>
      </c>
      <c r="K38" s="26">
        <v>31.533546325878607</v>
      </c>
      <c r="L38" s="26">
        <v>9.9968051118210859</v>
      </c>
      <c r="M38" s="26">
        <v>3.3258785942492004</v>
      </c>
      <c r="N38" s="26">
        <v>0</v>
      </c>
      <c r="O38" s="26">
        <v>1.9169329073482427E-2</v>
      </c>
      <c r="P38" s="26">
        <v>48.54632587859421</v>
      </c>
      <c r="Q38" s="26">
        <v>415.10862619808302</v>
      </c>
      <c r="R38" s="26">
        <v>9.3035143769968016</v>
      </c>
      <c r="S38" s="26">
        <v>7.4696485623003195</v>
      </c>
      <c r="T38" s="26">
        <v>33.063897763578275</v>
      </c>
      <c r="U38" s="26">
        <v>413.83706070287536</v>
      </c>
      <c r="V38" s="26">
        <v>196.06070287539922</v>
      </c>
      <c r="W38" s="27">
        <v>700</v>
      </c>
      <c r="X38" s="24" t="s">
        <v>209</v>
      </c>
      <c r="Y38" s="30" t="s">
        <v>210</v>
      </c>
      <c r="Z38" s="24" t="s">
        <v>211</v>
      </c>
      <c r="AA38" s="28" t="s">
        <v>286</v>
      </c>
      <c r="AB38" s="24" t="s">
        <v>209</v>
      </c>
      <c r="AC38" s="30" t="s">
        <v>293</v>
      </c>
      <c r="AD38" s="30" t="s">
        <v>211</v>
      </c>
      <c r="AE38" s="36">
        <v>42047</v>
      </c>
    </row>
    <row r="39" spans="1:31" ht="15.75" x14ac:dyDescent="0.25">
      <c r="A39" s="23" t="s">
        <v>12</v>
      </c>
      <c r="B39" s="24" t="s">
        <v>342</v>
      </c>
      <c r="C39" s="24" t="s">
        <v>343</v>
      </c>
      <c r="D39" s="24" t="s">
        <v>234</v>
      </c>
      <c r="E39" s="29">
        <v>71430</v>
      </c>
      <c r="F39" s="24" t="s">
        <v>235</v>
      </c>
      <c r="G39" s="24" t="s">
        <v>236</v>
      </c>
      <c r="H39" s="24" t="s">
        <v>5</v>
      </c>
      <c r="I39" s="25">
        <v>24.976754197158801</v>
      </c>
      <c r="J39" s="26">
        <v>273.90734824281105</v>
      </c>
      <c r="K39" s="26">
        <v>86.258785942491883</v>
      </c>
      <c r="L39" s="26">
        <v>58.11821086261984</v>
      </c>
      <c r="M39" s="26">
        <v>17.408945686900992</v>
      </c>
      <c r="N39" s="26">
        <v>154.20127795527105</v>
      </c>
      <c r="O39" s="26">
        <v>281.49201277955234</v>
      </c>
      <c r="P39" s="26">
        <v>0</v>
      </c>
      <c r="Q39" s="26">
        <v>0</v>
      </c>
      <c r="R39" s="26">
        <v>30.239616613418562</v>
      </c>
      <c r="S39" s="26">
        <v>34.913738019169344</v>
      </c>
      <c r="T39" s="26">
        <v>88.456869009584622</v>
      </c>
      <c r="U39" s="26">
        <v>282.08306709265122</v>
      </c>
      <c r="V39" s="26">
        <v>424.42811501597117</v>
      </c>
      <c r="W39" s="27">
        <v>625</v>
      </c>
      <c r="X39" s="24" t="s">
        <v>209</v>
      </c>
      <c r="Y39" s="30" t="s">
        <v>210</v>
      </c>
      <c r="Z39" s="24" t="s">
        <v>211</v>
      </c>
      <c r="AA39" s="28" t="s">
        <v>344</v>
      </c>
      <c r="AB39" s="24" t="s">
        <v>209</v>
      </c>
      <c r="AC39" s="30" t="s">
        <v>345</v>
      </c>
      <c r="AD39" s="30" t="s">
        <v>346</v>
      </c>
      <c r="AE39" s="36">
        <v>39190</v>
      </c>
    </row>
    <row r="40" spans="1:31" ht="15.75" x14ac:dyDescent="0.25">
      <c r="A40" s="23" t="s">
        <v>347</v>
      </c>
      <c r="B40" s="24" t="s">
        <v>348</v>
      </c>
      <c r="C40" s="24" t="s">
        <v>349</v>
      </c>
      <c r="D40" s="24" t="s">
        <v>350</v>
      </c>
      <c r="E40" s="29">
        <v>17402</v>
      </c>
      <c r="F40" s="24" t="s">
        <v>351</v>
      </c>
      <c r="G40" s="24" t="s">
        <v>236</v>
      </c>
      <c r="H40" s="24" t="s">
        <v>208</v>
      </c>
      <c r="I40" s="25">
        <v>56.207875804619498</v>
      </c>
      <c r="J40" s="26">
        <v>102.9776357827474</v>
      </c>
      <c r="K40" s="26">
        <v>108.69329073482417</v>
      </c>
      <c r="L40" s="26">
        <v>107.30351437699659</v>
      </c>
      <c r="M40" s="26">
        <v>92.325878594248877</v>
      </c>
      <c r="N40" s="26">
        <v>278.76996805111656</v>
      </c>
      <c r="O40" s="26">
        <v>105.23642172523938</v>
      </c>
      <c r="P40" s="26">
        <v>13.699680511182109</v>
      </c>
      <c r="Q40" s="26">
        <v>13.594249201277956</v>
      </c>
      <c r="R40" s="26">
        <v>153.60063897763504</v>
      </c>
      <c r="S40" s="26">
        <v>69.380191693290655</v>
      </c>
      <c r="T40" s="26">
        <v>67.412140575079832</v>
      </c>
      <c r="U40" s="26">
        <v>120.90734824281134</v>
      </c>
      <c r="V40" s="26">
        <v>304.16613418530267</v>
      </c>
      <c r="W40" s="27"/>
      <c r="X40" s="24" t="s">
        <v>209</v>
      </c>
      <c r="Y40" s="30" t="s">
        <v>293</v>
      </c>
      <c r="Z40" s="24" t="s">
        <v>211</v>
      </c>
      <c r="AA40" s="28" t="s">
        <v>352</v>
      </c>
      <c r="AB40" s="24" t="s">
        <v>209</v>
      </c>
      <c r="AC40" s="30" t="s">
        <v>293</v>
      </c>
      <c r="AD40" s="30" t="s">
        <v>211</v>
      </c>
      <c r="AE40" s="36">
        <v>43391</v>
      </c>
    </row>
    <row r="41" spans="1:31" ht="15.75" x14ac:dyDescent="0.25">
      <c r="A41" s="23" t="s">
        <v>20</v>
      </c>
      <c r="B41" s="24" t="s">
        <v>366</v>
      </c>
      <c r="C41" s="24" t="s">
        <v>367</v>
      </c>
      <c r="D41" s="24" t="s">
        <v>329</v>
      </c>
      <c r="E41" s="29">
        <v>33471</v>
      </c>
      <c r="F41" s="24" t="s">
        <v>36</v>
      </c>
      <c r="G41" s="24" t="s">
        <v>236</v>
      </c>
      <c r="H41" s="24" t="s">
        <v>208</v>
      </c>
      <c r="I41" s="25">
        <v>61.276816608996498</v>
      </c>
      <c r="J41" s="26">
        <v>1.380191693290735</v>
      </c>
      <c r="K41" s="26">
        <v>32.680511182108631</v>
      </c>
      <c r="L41" s="26">
        <v>180.6102236421724</v>
      </c>
      <c r="M41" s="26">
        <v>175.33865814696472</v>
      </c>
      <c r="N41" s="26">
        <v>266.51437699680503</v>
      </c>
      <c r="O41" s="26">
        <v>65.85623003194894</v>
      </c>
      <c r="P41" s="26">
        <v>35.68370607028757</v>
      </c>
      <c r="Q41" s="26">
        <v>21.955271565495202</v>
      </c>
      <c r="R41" s="26">
        <v>172.56549520766765</v>
      </c>
      <c r="S41" s="26">
        <v>74.083067092651703</v>
      </c>
      <c r="T41" s="26">
        <v>55.680511182108617</v>
      </c>
      <c r="U41" s="26">
        <v>87.680511182108603</v>
      </c>
      <c r="V41" s="26">
        <v>259.23322683706033</v>
      </c>
      <c r="W41" s="27"/>
      <c r="X41" s="24" t="s">
        <v>209</v>
      </c>
      <c r="Y41" s="30" t="s">
        <v>345</v>
      </c>
      <c r="Z41" s="24" t="s">
        <v>213</v>
      </c>
      <c r="AA41" s="28" t="s">
        <v>913</v>
      </c>
      <c r="AB41" s="24" t="s">
        <v>209</v>
      </c>
      <c r="AC41" s="30" t="s">
        <v>345</v>
      </c>
      <c r="AD41" s="30" t="s">
        <v>368</v>
      </c>
      <c r="AE41" s="36">
        <v>43538</v>
      </c>
    </row>
    <row r="42" spans="1:31" ht="15.75" x14ac:dyDescent="0.25">
      <c r="A42" s="23" t="s">
        <v>360</v>
      </c>
      <c r="B42" s="24" t="s">
        <v>361</v>
      </c>
      <c r="C42" s="24" t="s">
        <v>362</v>
      </c>
      <c r="D42" s="24" t="s">
        <v>363</v>
      </c>
      <c r="E42" s="29">
        <v>14020</v>
      </c>
      <c r="F42" s="24" t="s">
        <v>364</v>
      </c>
      <c r="G42" s="24" t="s">
        <v>268</v>
      </c>
      <c r="H42" s="24" t="s">
        <v>208</v>
      </c>
      <c r="I42" s="25">
        <v>95.770083102493103</v>
      </c>
      <c r="J42" s="26">
        <v>117.49201277955272</v>
      </c>
      <c r="K42" s="26">
        <v>66.76996805111817</v>
      </c>
      <c r="L42" s="26">
        <v>85.546325878594175</v>
      </c>
      <c r="M42" s="26">
        <v>109.31309904153348</v>
      </c>
      <c r="N42" s="26">
        <v>243.94568690095838</v>
      </c>
      <c r="O42" s="26">
        <v>96.006389776357722</v>
      </c>
      <c r="P42" s="26">
        <v>15.81150159744409</v>
      </c>
      <c r="Q42" s="26">
        <v>23.357827476038349</v>
      </c>
      <c r="R42" s="26">
        <v>173.00958466453676</v>
      </c>
      <c r="S42" s="26">
        <v>36.792332268370615</v>
      </c>
      <c r="T42" s="26">
        <v>51.329073482428093</v>
      </c>
      <c r="U42" s="26">
        <v>117.9904153354632</v>
      </c>
      <c r="V42" s="26">
        <v>295.21405750798783</v>
      </c>
      <c r="W42" s="27">
        <v>400</v>
      </c>
      <c r="X42" s="24" t="s">
        <v>209</v>
      </c>
      <c r="Y42" s="30" t="s">
        <v>210</v>
      </c>
      <c r="Z42" s="24" t="s">
        <v>211</v>
      </c>
      <c r="AA42" s="28" t="s">
        <v>365</v>
      </c>
      <c r="AB42" s="24" t="s">
        <v>209</v>
      </c>
      <c r="AC42" s="30" t="s">
        <v>210</v>
      </c>
      <c r="AD42" s="30" t="s">
        <v>211</v>
      </c>
      <c r="AE42" s="36">
        <v>43181</v>
      </c>
    </row>
    <row r="43" spans="1:31" ht="15.75" x14ac:dyDescent="0.25">
      <c r="A43" s="23" t="s">
        <v>8</v>
      </c>
      <c r="B43" s="24" t="s">
        <v>358</v>
      </c>
      <c r="C43" s="24" t="s">
        <v>359</v>
      </c>
      <c r="D43" s="24" t="s">
        <v>234</v>
      </c>
      <c r="E43" s="29">
        <v>71465</v>
      </c>
      <c r="F43" s="24" t="s">
        <v>235</v>
      </c>
      <c r="G43" s="24" t="s">
        <v>236</v>
      </c>
      <c r="H43" s="24" t="s">
        <v>208</v>
      </c>
      <c r="I43" s="25">
        <v>18.1885230825823</v>
      </c>
      <c r="J43" s="26">
        <v>253.74760383386487</v>
      </c>
      <c r="K43" s="26">
        <v>45.904153354632633</v>
      </c>
      <c r="L43" s="26">
        <v>41.910543130990511</v>
      </c>
      <c r="M43" s="26">
        <v>22.23961661341853</v>
      </c>
      <c r="N43" s="26">
        <v>107.72523961661273</v>
      </c>
      <c r="O43" s="26">
        <v>256.07667731629289</v>
      </c>
      <c r="P43" s="26">
        <v>0</v>
      </c>
      <c r="Q43" s="26">
        <v>0</v>
      </c>
      <c r="R43" s="26">
        <v>43.712460063897772</v>
      </c>
      <c r="S43" s="26">
        <v>23.076677316293935</v>
      </c>
      <c r="T43" s="26">
        <v>40.84345047923324</v>
      </c>
      <c r="U43" s="26">
        <v>256.16932907348144</v>
      </c>
      <c r="V43" s="26">
        <v>354.62300319488628</v>
      </c>
      <c r="W43" s="27">
        <v>550</v>
      </c>
      <c r="X43" s="24" t="s">
        <v>209</v>
      </c>
      <c r="Y43" s="30" t="s">
        <v>210</v>
      </c>
      <c r="Z43" s="24" t="s">
        <v>211</v>
      </c>
      <c r="AA43" s="28" t="s">
        <v>357</v>
      </c>
      <c r="AB43" s="24" t="s">
        <v>238</v>
      </c>
      <c r="AC43" s="30"/>
      <c r="AD43" s="30"/>
      <c r="AE43" s="36"/>
    </row>
    <row r="44" spans="1:31" ht="15.75" x14ac:dyDescent="0.25">
      <c r="A44" s="23" t="s">
        <v>17</v>
      </c>
      <c r="B44" s="24" t="s">
        <v>369</v>
      </c>
      <c r="C44" s="24" t="s">
        <v>370</v>
      </c>
      <c r="D44" s="24" t="s">
        <v>222</v>
      </c>
      <c r="E44" s="29">
        <v>78046</v>
      </c>
      <c r="F44" s="24" t="s">
        <v>223</v>
      </c>
      <c r="G44" s="24" t="s">
        <v>257</v>
      </c>
      <c r="H44" s="24" t="s">
        <v>5</v>
      </c>
      <c r="I44" s="25">
        <v>29.551921504497098</v>
      </c>
      <c r="J44" s="26">
        <v>274.93929712460022</v>
      </c>
      <c r="K44" s="26">
        <v>20.389776357827479</v>
      </c>
      <c r="L44" s="26">
        <v>9.7507987220447294</v>
      </c>
      <c r="M44" s="26">
        <v>10.952076677316295</v>
      </c>
      <c r="N44" s="26">
        <v>59.674121405750718</v>
      </c>
      <c r="O44" s="26">
        <v>256.30351437699557</v>
      </c>
      <c r="P44" s="26">
        <v>0</v>
      </c>
      <c r="Q44" s="26">
        <v>5.4313099041533544E-2</v>
      </c>
      <c r="R44" s="26">
        <v>9.1022364217252409</v>
      </c>
      <c r="S44" s="26">
        <v>8.9297124600639002</v>
      </c>
      <c r="T44" s="26">
        <v>41.88817891373801</v>
      </c>
      <c r="U44" s="26">
        <v>256.11182108626076</v>
      </c>
      <c r="V44" s="26">
        <v>236.08306709265062</v>
      </c>
      <c r="W44" s="27">
        <v>275</v>
      </c>
      <c r="X44" s="24" t="s">
        <v>209</v>
      </c>
      <c r="Y44" s="30" t="s">
        <v>293</v>
      </c>
      <c r="Z44" s="24" t="s">
        <v>211</v>
      </c>
      <c r="AA44" s="28" t="s">
        <v>914</v>
      </c>
      <c r="AB44" s="24" t="s">
        <v>209</v>
      </c>
      <c r="AC44" s="30" t="s">
        <v>293</v>
      </c>
      <c r="AD44" s="30" t="s">
        <v>211</v>
      </c>
      <c r="AE44" s="36">
        <v>43538</v>
      </c>
    </row>
    <row r="45" spans="1:31" ht="15.75" x14ac:dyDescent="0.25">
      <c r="A45" s="23" t="s">
        <v>21</v>
      </c>
      <c r="B45" s="24" t="s">
        <v>353</v>
      </c>
      <c r="C45" s="24" t="s">
        <v>42</v>
      </c>
      <c r="D45" s="24" t="s">
        <v>222</v>
      </c>
      <c r="E45" s="29">
        <v>76574</v>
      </c>
      <c r="F45" s="24" t="s">
        <v>223</v>
      </c>
      <c r="G45" s="24" t="s">
        <v>228</v>
      </c>
      <c r="H45" s="24" t="s">
        <v>11</v>
      </c>
      <c r="I45" s="25">
        <v>89.661290322580598</v>
      </c>
      <c r="J45" s="26">
        <v>311.55271565495184</v>
      </c>
      <c r="K45" s="26">
        <v>2.1501597444089455</v>
      </c>
      <c r="L45" s="26">
        <v>0</v>
      </c>
      <c r="M45" s="26">
        <v>0</v>
      </c>
      <c r="N45" s="26">
        <v>0</v>
      </c>
      <c r="O45" s="26">
        <v>0.5591054313099042</v>
      </c>
      <c r="P45" s="26">
        <v>11.533546325878591</v>
      </c>
      <c r="Q45" s="26">
        <v>301.61022364217251</v>
      </c>
      <c r="R45" s="26">
        <v>0</v>
      </c>
      <c r="S45" s="26">
        <v>0.26198083067092648</v>
      </c>
      <c r="T45" s="26">
        <v>11.271565495207666</v>
      </c>
      <c r="U45" s="26">
        <v>302.1693290734824</v>
      </c>
      <c r="V45" s="26">
        <v>175.09265175718829</v>
      </c>
      <c r="W45" s="27"/>
      <c r="X45" s="24" t="s">
        <v>209</v>
      </c>
      <c r="Y45" s="30" t="s">
        <v>229</v>
      </c>
      <c r="Z45" s="24" t="s">
        <v>213</v>
      </c>
      <c r="AA45" s="28" t="s">
        <v>354</v>
      </c>
      <c r="AB45" s="24" t="s">
        <v>238</v>
      </c>
      <c r="AC45" s="30"/>
      <c r="AD45" s="30"/>
      <c r="AE45" s="36"/>
    </row>
    <row r="46" spans="1:31" ht="15.75" x14ac:dyDescent="0.25">
      <c r="A46" s="23" t="s">
        <v>375</v>
      </c>
      <c r="B46" s="24" t="s">
        <v>376</v>
      </c>
      <c r="C46" s="24" t="s">
        <v>377</v>
      </c>
      <c r="D46" s="24" t="s">
        <v>222</v>
      </c>
      <c r="E46" s="29">
        <v>77351</v>
      </c>
      <c r="F46" s="24" t="s">
        <v>278</v>
      </c>
      <c r="G46" s="24" t="s">
        <v>236</v>
      </c>
      <c r="H46" s="24" t="s">
        <v>5</v>
      </c>
      <c r="I46" s="25">
        <v>69.697288323187607</v>
      </c>
      <c r="J46" s="26">
        <v>241.81789137380193</v>
      </c>
      <c r="K46" s="26">
        <v>29.108626198083087</v>
      </c>
      <c r="L46" s="26">
        <v>14.345047923322683</v>
      </c>
      <c r="M46" s="26">
        <v>15.313099041533546</v>
      </c>
      <c r="N46" s="26">
        <v>52.837060702875341</v>
      </c>
      <c r="O46" s="26">
        <v>247.54632587859399</v>
      </c>
      <c r="P46" s="26">
        <v>0</v>
      </c>
      <c r="Q46" s="26">
        <v>0.2012779552715655</v>
      </c>
      <c r="R46" s="26">
        <v>16.04472843450479</v>
      </c>
      <c r="S46" s="26">
        <v>10.87220447284345</v>
      </c>
      <c r="T46" s="26">
        <v>27.261980830670929</v>
      </c>
      <c r="U46" s="26">
        <v>246.40575079872175</v>
      </c>
      <c r="V46" s="26">
        <v>155.1118210862617</v>
      </c>
      <c r="W46" s="27"/>
      <c r="X46" s="24" t="s">
        <v>209</v>
      </c>
      <c r="Y46" s="30" t="s">
        <v>345</v>
      </c>
      <c r="Z46" s="24" t="s">
        <v>346</v>
      </c>
      <c r="AA46" s="28" t="s">
        <v>230</v>
      </c>
      <c r="AB46" s="24" t="s">
        <v>209</v>
      </c>
      <c r="AC46" s="30" t="s">
        <v>345</v>
      </c>
      <c r="AD46" s="30" t="s">
        <v>368</v>
      </c>
      <c r="AE46" s="36">
        <v>43475</v>
      </c>
    </row>
    <row r="47" spans="1:31" ht="15.75" x14ac:dyDescent="0.25">
      <c r="A47" s="23" t="s">
        <v>371</v>
      </c>
      <c r="B47" s="24" t="s">
        <v>372</v>
      </c>
      <c r="C47" s="24" t="s">
        <v>373</v>
      </c>
      <c r="D47" s="24" t="s">
        <v>234</v>
      </c>
      <c r="E47" s="29">
        <v>71334</v>
      </c>
      <c r="F47" s="24" t="s">
        <v>235</v>
      </c>
      <c r="G47" s="24" t="s">
        <v>207</v>
      </c>
      <c r="H47" s="24" t="s">
        <v>5</v>
      </c>
      <c r="I47" s="25">
        <v>102.44833197721699</v>
      </c>
      <c r="J47" s="26">
        <v>256.59744408945664</v>
      </c>
      <c r="K47" s="26">
        <v>27.686900958466445</v>
      </c>
      <c r="L47" s="26">
        <v>7.2779552715654914</v>
      </c>
      <c r="M47" s="26">
        <v>5.115015974440893</v>
      </c>
      <c r="N47" s="26">
        <v>39.504792332268394</v>
      </c>
      <c r="O47" s="26">
        <v>257.16293929712452</v>
      </c>
      <c r="P47" s="26">
        <v>0</v>
      </c>
      <c r="Q47" s="26">
        <v>9.5846645367412137E-3</v>
      </c>
      <c r="R47" s="26">
        <v>6.5654952076677278</v>
      </c>
      <c r="S47" s="26">
        <v>7.4632587859424877</v>
      </c>
      <c r="T47" s="26">
        <v>25.613418530351449</v>
      </c>
      <c r="U47" s="26">
        <v>257.03514376996793</v>
      </c>
      <c r="V47" s="26">
        <v>218.26198083067106</v>
      </c>
      <c r="W47" s="27"/>
      <c r="X47" s="24" t="s">
        <v>209</v>
      </c>
      <c r="Y47" s="30" t="s">
        <v>345</v>
      </c>
      <c r="Z47" s="24" t="s">
        <v>368</v>
      </c>
      <c r="AA47" s="28" t="s">
        <v>914</v>
      </c>
      <c r="AB47" s="24" t="s">
        <v>209</v>
      </c>
      <c r="AC47" s="30" t="s">
        <v>345</v>
      </c>
      <c r="AD47" s="30" t="s">
        <v>368</v>
      </c>
      <c r="AE47" s="36">
        <v>43762</v>
      </c>
    </row>
    <row r="48" spans="1:31" ht="15.75" x14ac:dyDescent="0.25">
      <c r="A48" s="23" t="s">
        <v>380</v>
      </c>
      <c r="B48" s="24" t="s">
        <v>381</v>
      </c>
      <c r="C48" s="24" t="s">
        <v>382</v>
      </c>
      <c r="D48" s="24" t="s">
        <v>240</v>
      </c>
      <c r="E48" s="29">
        <v>85132</v>
      </c>
      <c r="F48" s="24" t="s">
        <v>241</v>
      </c>
      <c r="G48" s="24" t="s">
        <v>268</v>
      </c>
      <c r="H48" s="24" t="s">
        <v>5</v>
      </c>
      <c r="I48" s="25">
        <v>12.3441558441558</v>
      </c>
      <c r="J48" s="26">
        <v>206.66773162938935</v>
      </c>
      <c r="K48" s="26">
        <v>72.600638977634901</v>
      </c>
      <c r="L48" s="26">
        <v>4.8658146964856144</v>
      </c>
      <c r="M48" s="26">
        <v>3.5079872204472706</v>
      </c>
      <c r="N48" s="26">
        <v>95.472843450476475</v>
      </c>
      <c r="O48" s="26">
        <v>192.07667731629067</v>
      </c>
      <c r="P48" s="26">
        <v>3.5143769968051117E-2</v>
      </c>
      <c r="Q48" s="26">
        <v>5.7507987220447282E-2</v>
      </c>
      <c r="R48" s="26">
        <v>8.4504792332269147</v>
      </c>
      <c r="S48" s="26">
        <v>11.539936102236487</v>
      </c>
      <c r="T48" s="26">
        <v>75.396166134184199</v>
      </c>
      <c r="U48" s="26">
        <v>192.25559105430983</v>
      </c>
      <c r="V48" s="26">
        <v>207.86261980829997</v>
      </c>
      <c r="W48" s="27">
        <v>374</v>
      </c>
      <c r="X48" s="24" t="s">
        <v>209</v>
      </c>
      <c r="Y48" s="30" t="s">
        <v>210</v>
      </c>
      <c r="Z48" s="24" t="s">
        <v>211</v>
      </c>
      <c r="AA48" s="28" t="s">
        <v>383</v>
      </c>
      <c r="AB48" s="24" t="s">
        <v>209</v>
      </c>
      <c r="AC48" s="30" t="s">
        <v>210</v>
      </c>
      <c r="AD48" s="30" t="s">
        <v>211</v>
      </c>
      <c r="AE48" s="36">
        <v>43202</v>
      </c>
    </row>
    <row r="49" spans="1:31" ht="15.75" x14ac:dyDescent="0.25">
      <c r="A49" s="23" t="s">
        <v>378</v>
      </c>
      <c r="B49" s="24" t="s">
        <v>379</v>
      </c>
      <c r="C49" s="24" t="s">
        <v>45</v>
      </c>
      <c r="D49" s="24" t="s">
        <v>222</v>
      </c>
      <c r="E49" s="29">
        <v>76837</v>
      </c>
      <c r="F49" s="24" t="s">
        <v>314</v>
      </c>
      <c r="G49" s="24" t="s">
        <v>292</v>
      </c>
      <c r="H49" s="24" t="s">
        <v>5</v>
      </c>
      <c r="I49" s="25">
        <v>72.681240063592995</v>
      </c>
      <c r="J49" s="26">
        <v>212.60383386581444</v>
      </c>
      <c r="K49" s="26">
        <v>43.412140575079867</v>
      </c>
      <c r="L49" s="26">
        <v>18.878594249201278</v>
      </c>
      <c r="M49" s="26">
        <v>10.869009584664537</v>
      </c>
      <c r="N49" s="26">
        <v>85.533546325878646</v>
      </c>
      <c r="O49" s="26">
        <v>200.15974440894544</v>
      </c>
      <c r="P49" s="26">
        <v>0</v>
      </c>
      <c r="Q49" s="26">
        <v>7.0287539936102233E-2</v>
      </c>
      <c r="R49" s="26">
        <v>29.44728434504793</v>
      </c>
      <c r="S49" s="26">
        <v>19.699680511182109</v>
      </c>
      <c r="T49" s="26">
        <v>36.300319488817848</v>
      </c>
      <c r="U49" s="26">
        <v>200.31629392971223</v>
      </c>
      <c r="V49" s="26">
        <v>138.21405750798749</v>
      </c>
      <c r="W49" s="27"/>
      <c r="X49" s="24" t="s">
        <v>209</v>
      </c>
      <c r="Y49" s="30" t="s">
        <v>345</v>
      </c>
      <c r="Z49" s="24" t="s">
        <v>368</v>
      </c>
      <c r="AA49" s="28" t="s">
        <v>279</v>
      </c>
      <c r="AB49" s="24" t="s">
        <v>238</v>
      </c>
      <c r="AC49" s="30"/>
      <c r="AD49" s="30"/>
      <c r="AE49" s="36"/>
    </row>
    <row r="50" spans="1:31" ht="15.75" x14ac:dyDescent="0.25">
      <c r="A50" s="23" t="s">
        <v>57</v>
      </c>
      <c r="B50" s="24" t="s">
        <v>384</v>
      </c>
      <c r="C50" s="24" t="s">
        <v>385</v>
      </c>
      <c r="D50" s="24" t="s">
        <v>205</v>
      </c>
      <c r="E50" s="29">
        <v>93301</v>
      </c>
      <c r="F50" s="24" t="s">
        <v>386</v>
      </c>
      <c r="G50" s="24" t="s">
        <v>224</v>
      </c>
      <c r="H50" s="24" t="s">
        <v>208</v>
      </c>
      <c r="I50" s="25">
        <v>38.5793056501021</v>
      </c>
      <c r="J50" s="26">
        <v>53.456869009584651</v>
      </c>
      <c r="K50" s="26">
        <v>88.421725239615952</v>
      </c>
      <c r="L50" s="26">
        <v>56.789137380191661</v>
      </c>
      <c r="M50" s="26">
        <v>76.498402555910474</v>
      </c>
      <c r="N50" s="26">
        <v>204.99999999999892</v>
      </c>
      <c r="O50" s="26">
        <v>20.137380191693282</v>
      </c>
      <c r="P50" s="26">
        <v>9.7635782747603876</v>
      </c>
      <c r="Q50" s="26">
        <v>40.265175718849825</v>
      </c>
      <c r="R50" s="26">
        <v>155.8466453674115</v>
      </c>
      <c r="S50" s="26">
        <v>36.13738019169331</v>
      </c>
      <c r="T50" s="26">
        <v>21.348242811501613</v>
      </c>
      <c r="U50" s="26">
        <v>61.833865814696452</v>
      </c>
      <c r="V50" s="26">
        <v>202.90095846645238</v>
      </c>
      <c r="W50" s="27">
        <v>320</v>
      </c>
      <c r="X50" s="24" t="s">
        <v>209</v>
      </c>
      <c r="Y50" s="30" t="s">
        <v>210</v>
      </c>
      <c r="Z50" s="24" t="s">
        <v>211</v>
      </c>
      <c r="AA50" s="28" t="s">
        <v>242</v>
      </c>
      <c r="AB50" s="24" t="s">
        <v>209</v>
      </c>
      <c r="AC50" s="30" t="s">
        <v>210</v>
      </c>
      <c r="AD50" s="30" t="s">
        <v>211</v>
      </c>
      <c r="AE50" s="36">
        <v>43279</v>
      </c>
    </row>
    <row r="51" spans="1:31" ht="15.75" x14ac:dyDescent="0.25">
      <c r="A51" s="23" t="s">
        <v>387</v>
      </c>
      <c r="B51" s="24" t="s">
        <v>388</v>
      </c>
      <c r="C51" s="24" t="s">
        <v>389</v>
      </c>
      <c r="D51" s="24" t="s">
        <v>222</v>
      </c>
      <c r="E51" s="29">
        <v>76642</v>
      </c>
      <c r="F51" s="24" t="s">
        <v>223</v>
      </c>
      <c r="G51" s="24" t="s">
        <v>292</v>
      </c>
      <c r="H51" s="24" t="s">
        <v>5</v>
      </c>
      <c r="I51" s="25">
        <v>101.524742268041</v>
      </c>
      <c r="J51" s="26">
        <v>243.24600638977583</v>
      </c>
      <c r="K51" s="26">
        <v>19.98402555910544</v>
      </c>
      <c r="L51" s="26">
        <v>1.1246006389776362</v>
      </c>
      <c r="M51" s="26">
        <v>0.7284345047923324</v>
      </c>
      <c r="N51" s="26">
        <v>35.386581469648519</v>
      </c>
      <c r="O51" s="26">
        <v>229.56230031948832</v>
      </c>
      <c r="P51" s="26">
        <v>0</v>
      </c>
      <c r="Q51" s="26">
        <v>0.13418530351437699</v>
      </c>
      <c r="R51" s="26">
        <v>1.8658146964856235</v>
      </c>
      <c r="S51" s="26">
        <v>1.1948881789137376</v>
      </c>
      <c r="T51" s="26">
        <v>32.520766773162933</v>
      </c>
      <c r="U51" s="26">
        <v>229.50159744408896</v>
      </c>
      <c r="V51" s="26">
        <v>146.87539936102223</v>
      </c>
      <c r="W51" s="27"/>
      <c r="X51" s="24" t="s">
        <v>209</v>
      </c>
      <c r="Y51" s="30" t="s">
        <v>345</v>
      </c>
      <c r="Z51" s="24" t="s">
        <v>368</v>
      </c>
      <c r="AA51" s="28" t="s">
        <v>289</v>
      </c>
      <c r="AB51" s="24" t="s">
        <v>209</v>
      </c>
      <c r="AC51" s="30" t="s">
        <v>345</v>
      </c>
      <c r="AD51" s="30" t="s">
        <v>390</v>
      </c>
      <c r="AE51" s="36">
        <v>41389</v>
      </c>
    </row>
    <row r="52" spans="1:31" ht="15.75" x14ac:dyDescent="0.25">
      <c r="A52" s="23" t="s">
        <v>475</v>
      </c>
      <c r="B52" s="24" t="s">
        <v>476</v>
      </c>
      <c r="C52" s="24" t="s">
        <v>477</v>
      </c>
      <c r="D52" s="24" t="s">
        <v>222</v>
      </c>
      <c r="E52" s="29">
        <v>79501</v>
      </c>
      <c r="F52" s="24" t="s">
        <v>314</v>
      </c>
      <c r="G52" s="24" t="s">
        <v>236</v>
      </c>
      <c r="H52" s="24" t="s">
        <v>5</v>
      </c>
      <c r="I52" s="25">
        <v>33.996006845407898</v>
      </c>
      <c r="J52" s="26">
        <v>86.859424920127765</v>
      </c>
      <c r="K52" s="26">
        <v>78.073482428114872</v>
      </c>
      <c r="L52" s="26">
        <v>48.338658146964811</v>
      </c>
      <c r="M52" s="26">
        <v>37.006389776357814</v>
      </c>
      <c r="N52" s="26">
        <v>163.71246006389777</v>
      </c>
      <c r="O52" s="26">
        <v>60.677316293929628</v>
      </c>
      <c r="P52" s="26">
        <v>4.198083067092651</v>
      </c>
      <c r="Q52" s="26">
        <v>21.690095846645377</v>
      </c>
      <c r="R52" s="26">
        <v>85.853035143770057</v>
      </c>
      <c r="S52" s="26">
        <v>44.75718849840252</v>
      </c>
      <c r="T52" s="26">
        <v>36.463258785942507</v>
      </c>
      <c r="U52" s="26">
        <v>83.20447284345039</v>
      </c>
      <c r="V52" s="26">
        <v>147.20766773162919</v>
      </c>
      <c r="W52" s="27">
        <v>750</v>
      </c>
      <c r="X52" s="24" t="s">
        <v>209</v>
      </c>
      <c r="Y52" s="30" t="s">
        <v>210</v>
      </c>
      <c r="Z52" s="24" t="s">
        <v>390</v>
      </c>
      <c r="AA52" s="28" t="s">
        <v>279</v>
      </c>
      <c r="AB52" s="24" t="s">
        <v>238</v>
      </c>
      <c r="AC52" s="30"/>
      <c r="AD52" s="30"/>
      <c r="AE52" s="36"/>
    </row>
    <row r="53" spans="1:31" ht="15.75" x14ac:dyDescent="0.25">
      <c r="A53" s="23" t="s">
        <v>412</v>
      </c>
      <c r="B53" s="24" t="s">
        <v>413</v>
      </c>
      <c r="C53" s="24" t="s">
        <v>414</v>
      </c>
      <c r="D53" s="24" t="s">
        <v>329</v>
      </c>
      <c r="E53" s="29">
        <v>32063</v>
      </c>
      <c r="F53" s="24" t="s">
        <v>36</v>
      </c>
      <c r="G53" s="24" t="s">
        <v>236</v>
      </c>
      <c r="H53" s="24" t="s">
        <v>208</v>
      </c>
      <c r="I53" s="25">
        <v>37.912698412698397</v>
      </c>
      <c r="J53" s="26">
        <v>37.201277955271543</v>
      </c>
      <c r="K53" s="26">
        <v>67.140575079872221</v>
      </c>
      <c r="L53" s="26">
        <v>82.654952076677262</v>
      </c>
      <c r="M53" s="26">
        <v>52.399361022364232</v>
      </c>
      <c r="N53" s="26">
        <v>148.28753993610184</v>
      </c>
      <c r="O53" s="26">
        <v>75.536741214057443</v>
      </c>
      <c r="P53" s="26">
        <v>12.664536741214061</v>
      </c>
      <c r="Q53" s="26">
        <v>2.9073482428115009</v>
      </c>
      <c r="R53" s="26">
        <v>79.396166134185265</v>
      </c>
      <c r="S53" s="26">
        <v>36.658146964856243</v>
      </c>
      <c r="T53" s="26">
        <v>45.15015974440896</v>
      </c>
      <c r="U53" s="26">
        <v>78.191693290734733</v>
      </c>
      <c r="V53" s="26">
        <v>130.02236421725246</v>
      </c>
      <c r="W53" s="27"/>
      <c r="X53" s="24" t="s">
        <v>209</v>
      </c>
      <c r="Y53" s="30" t="s">
        <v>345</v>
      </c>
      <c r="Z53" s="24" t="s">
        <v>368</v>
      </c>
      <c r="AA53" s="28" t="s">
        <v>415</v>
      </c>
      <c r="AB53" s="24" t="s">
        <v>209</v>
      </c>
      <c r="AC53" s="30" t="s">
        <v>345</v>
      </c>
      <c r="AD53" s="30" t="s">
        <v>368</v>
      </c>
      <c r="AE53" s="36">
        <v>43252</v>
      </c>
    </row>
    <row r="54" spans="1:31" ht="15.75" x14ac:dyDescent="0.25">
      <c r="A54" s="23" t="s">
        <v>391</v>
      </c>
      <c r="B54" s="24" t="s">
        <v>392</v>
      </c>
      <c r="C54" s="24" t="s">
        <v>393</v>
      </c>
      <c r="D54" s="24" t="s">
        <v>35</v>
      </c>
      <c r="E54" s="29">
        <v>2360</v>
      </c>
      <c r="F54" s="24" t="s">
        <v>394</v>
      </c>
      <c r="G54" s="24" t="s">
        <v>236</v>
      </c>
      <c r="H54" s="24" t="s">
        <v>5</v>
      </c>
      <c r="I54" s="25">
        <v>81.744101633393797</v>
      </c>
      <c r="J54" s="26">
        <v>106.1086261980831</v>
      </c>
      <c r="K54" s="26">
        <v>31.629392971246006</v>
      </c>
      <c r="L54" s="26">
        <v>47.715654952076711</v>
      </c>
      <c r="M54" s="26">
        <v>53.86261980830669</v>
      </c>
      <c r="N54" s="26">
        <v>112.72843450479223</v>
      </c>
      <c r="O54" s="26">
        <v>126.56869009584665</v>
      </c>
      <c r="P54" s="26">
        <v>1.9169329073482427E-2</v>
      </c>
      <c r="Q54" s="26">
        <v>0</v>
      </c>
      <c r="R54" s="26">
        <v>59.156549520766738</v>
      </c>
      <c r="S54" s="26">
        <v>21.916932907348247</v>
      </c>
      <c r="T54" s="26">
        <v>31.674121405750807</v>
      </c>
      <c r="U54" s="26">
        <v>126.56869009584665</v>
      </c>
      <c r="V54" s="26">
        <v>128.87539936102249</v>
      </c>
      <c r="W54" s="27"/>
      <c r="X54" s="24" t="s">
        <v>209</v>
      </c>
      <c r="Y54" s="30" t="s">
        <v>345</v>
      </c>
      <c r="Z54" s="24" t="s">
        <v>368</v>
      </c>
      <c r="AA54" s="28" t="s">
        <v>294</v>
      </c>
      <c r="AB54" s="24" t="s">
        <v>209</v>
      </c>
      <c r="AC54" s="30" t="s">
        <v>345</v>
      </c>
      <c r="AD54" s="30" t="s">
        <v>368</v>
      </c>
      <c r="AE54" s="36">
        <v>43265</v>
      </c>
    </row>
    <row r="55" spans="1:31" ht="15.75" x14ac:dyDescent="0.25">
      <c r="A55" s="23" t="s">
        <v>408</v>
      </c>
      <c r="B55" s="24" t="s">
        <v>409</v>
      </c>
      <c r="C55" s="24" t="s">
        <v>410</v>
      </c>
      <c r="D55" s="24" t="s">
        <v>324</v>
      </c>
      <c r="E55" s="29">
        <v>22427</v>
      </c>
      <c r="F55" s="24" t="s">
        <v>325</v>
      </c>
      <c r="G55" s="24" t="s">
        <v>207</v>
      </c>
      <c r="H55" s="24" t="s">
        <v>208</v>
      </c>
      <c r="I55" s="25">
        <v>56.183161004431298</v>
      </c>
      <c r="J55" s="26">
        <v>55.444089456868987</v>
      </c>
      <c r="K55" s="26">
        <v>74.437699680511116</v>
      </c>
      <c r="L55" s="26">
        <v>50.15974440894567</v>
      </c>
      <c r="M55" s="26">
        <v>54.41853035143766</v>
      </c>
      <c r="N55" s="26">
        <v>136.00638977635768</v>
      </c>
      <c r="O55" s="26">
        <v>71.137380191693254</v>
      </c>
      <c r="P55" s="26">
        <v>7.1309904153354626</v>
      </c>
      <c r="Q55" s="26">
        <v>20.185303514376997</v>
      </c>
      <c r="R55" s="26">
        <v>54.226837060702785</v>
      </c>
      <c r="S55" s="26">
        <v>44.837060702875412</v>
      </c>
      <c r="T55" s="26">
        <v>45.121405750798708</v>
      </c>
      <c r="U55" s="26">
        <v>90.27476038338655</v>
      </c>
      <c r="V55" s="26">
        <v>122.19169329073485</v>
      </c>
      <c r="W55" s="27">
        <v>224</v>
      </c>
      <c r="X55" s="24" t="s">
        <v>209</v>
      </c>
      <c r="Y55" s="30" t="s">
        <v>210</v>
      </c>
      <c r="Z55" s="24" t="s">
        <v>211</v>
      </c>
      <c r="AA55" s="28" t="s">
        <v>411</v>
      </c>
      <c r="AB55" s="24" t="s">
        <v>209</v>
      </c>
      <c r="AC55" s="30" t="s">
        <v>210</v>
      </c>
      <c r="AD55" s="30" t="s">
        <v>390</v>
      </c>
      <c r="AE55" s="36">
        <v>43454</v>
      </c>
    </row>
    <row r="56" spans="1:31" ht="15.75" x14ac:dyDescent="0.25">
      <c r="A56" s="23" t="s">
        <v>23</v>
      </c>
      <c r="B56" s="24" t="s">
        <v>395</v>
      </c>
      <c r="C56" s="24" t="s">
        <v>396</v>
      </c>
      <c r="D56" s="24" t="s">
        <v>397</v>
      </c>
      <c r="E56" s="29">
        <v>55330</v>
      </c>
      <c r="F56" s="24" t="s">
        <v>398</v>
      </c>
      <c r="G56" s="24" t="s">
        <v>236</v>
      </c>
      <c r="H56" s="24" t="s">
        <v>208</v>
      </c>
      <c r="I56" s="25">
        <v>58.228252194732598</v>
      </c>
      <c r="J56" s="26">
        <v>20.488817891373806</v>
      </c>
      <c r="K56" s="26">
        <v>27.549520766773167</v>
      </c>
      <c r="L56" s="26">
        <v>161.42811501597404</v>
      </c>
      <c r="M56" s="26">
        <v>22.527156549520779</v>
      </c>
      <c r="N56" s="26">
        <v>149.44728434504776</v>
      </c>
      <c r="O56" s="26">
        <v>70.086261980830557</v>
      </c>
      <c r="P56" s="26">
        <v>7.9009584664536767</v>
      </c>
      <c r="Q56" s="26">
        <v>4.559105431309904</v>
      </c>
      <c r="R56" s="26">
        <v>74.277955271565517</v>
      </c>
      <c r="S56" s="26">
        <v>43.575079872204441</v>
      </c>
      <c r="T56" s="26">
        <v>39.102236421725202</v>
      </c>
      <c r="U56" s="26">
        <v>75.03833865814687</v>
      </c>
      <c r="V56" s="26">
        <v>160.19808306709277</v>
      </c>
      <c r="W56" s="27">
        <v>300</v>
      </c>
      <c r="X56" s="24" t="s">
        <v>209</v>
      </c>
      <c r="Y56" s="30" t="s">
        <v>345</v>
      </c>
      <c r="Z56" s="24" t="s">
        <v>368</v>
      </c>
      <c r="AA56" s="28" t="s">
        <v>357</v>
      </c>
      <c r="AB56" s="24" t="s">
        <v>209</v>
      </c>
      <c r="AC56" s="30" t="s">
        <v>345</v>
      </c>
      <c r="AD56" s="30" t="s">
        <v>368</v>
      </c>
      <c r="AE56" s="36">
        <v>43420</v>
      </c>
    </row>
    <row r="57" spans="1:31" ht="15.75" x14ac:dyDescent="0.25">
      <c r="A57" s="23" t="s">
        <v>29</v>
      </c>
      <c r="B57" s="24" t="s">
        <v>448</v>
      </c>
      <c r="C57" s="24" t="s">
        <v>449</v>
      </c>
      <c r="D57" s="24" t="s">
        <v>222</v>
      </c>
      <c r="E57" s="29">
        <v>78118</v>
      </c>
      <c r="F57" s="24" t="s">
        <v>223</v>
      </c>
      <c r="G57" s="24" t="s">
        <v>228</v>
      </c>
      <c r="H57" s="24" t="s">
        <v>5</v>
      </c>
      <c r="I57" s="25">
        <v>28.983460559796399</v>
      </c>
      <c r="J57" s="26">
        <v>219.36421725239583</v>
      </c>
      <c r="K57" s="26">
        <v>11.329073482428115</v>
      </c>
      <c r="L57" s="26">
        <v>0.53354632587859419</v>
      </c>
      <c r="M57" s="26">
        <v>8.9456869009584661E-2</v>
      </c>
      <c r="N57" s="26">
        <v>4.4472843450479225</v>
      </c>
      <c r="O57" s="26">
        <v>161.29073482428086</v>
      </c>
      <c r="P57" s="26">
        <v>0</v>
      </c>
      <c r="Q57" s="26">
        <v>65.578274760383223</v>
      </c>
      <c r="R57" s="26">
        <v>0</v>
      </c>
      <c r="S57" s="26">
        <v>0.4281150159744409</v>
      </c>
      <c r="T57" s="26">
        <v>4.0191693290734829</v>
      </c>
      <c r="U57" s="26">
        <v>226.86900958466401</v>
      </c>
      <c r="V57" s="26">
        <v>214.29392971245949</v>
      </c>
      <c r="W57" s="27">
        <v>830</v>
      </c>
      <c r="X57" s="24" t="s">
        <v>209</v>
      </c>
      <c r="Y57" s="30" t="s">
        <v>229</v>
      </c>
      <c r="Z57" s="24" t="s">
        <v>213</v>
      </c>
      <c r="AA57" s="28" t="s">
        <v>450</v>
      </c>
      <c r="AB57" s="24" t="s">
        <v>209</v>
      </c>
      <c r="AC57" s="30" t="s">
        <v>229</v>
      </c>
      <c r="AD57" s="30" t="s">
        <v>213</v>
      </c>
      <c r="AE57" s="36">
        <v>43804</v>
      </c>
    </row>
    <row r="58" spans="1:31" ht="15.75" x14ac:dyDescent="0.25">
      <c r="A58" s="23" t="s">
        <v>403</v>
      </c>
      <c r="B58" s="24" t="s">
        <v>404</v>
      </c>
      <c r="C58" s="24" t="s">
        <v>405</v>
      </c>
      <c r="D58" s="24" t="s">
        <v>273</v>
      </c>
      <c r="E58" s="29">
        <v>87016</v>
      </c>
      <c r="F58" s="24" t="s">
        <v>274</v>
      </c>
      <c r="G58" s="24" t="s">
        <v>236</v>
      </c>
      <c r="H58" s="24" t="s">
        <v>5</v>
      </c>
      <c r="I58" s="25">
        <v>33.227210884353703</v>
      </c>
      <c r="J58" s="26">
        <v>123.03514376996809</v>
      </c>
      <c r="K58" s="26">
        <v>58.84664536741213</v>
      </c>
      <c r="L58" s="26">
        <v>29.338658146964871</v>
      </c>
      <c r="M58" s="26">
        <v>18.90095846645368</v>
      </c>
      <c r="N58" s="26">
        <v>123.33226837060694</v>
      </c>
      <c r="O58" s="26">
        <v>106.78913738019168</v>
      </c>
      <c r="P58" s="26">
        <v>0</v>
      </c>
      <c r="Q58" s="26">
        <v>0</v>
      </c>
      <c r="R58" s="26">
        <v>23.003194888178925</v>
      </c>
      <c r="S58" s="26">
        <v>34.715654952076697</v>
      </c>
      <c r="T58" s="26">
        <v>66.725239616613379</v>
      </c>
      <c r="U58" s="26">
        <v>105.67731629392978</v>
      </c>
      <c r="V58" s="26">
        <v>199.88817891373694</v>
      </c>
      <c r="W58" s="27">
        <v>714</v>
      </c>
      <c r="X58" s="24" t="s">
        <v>209</v>
      </c>
      <c r="Y58" s="30" t="s">
        <v>210</v>
      </c>
      <c r="Z58" s="24" t="s">
        <v>211</v>
      </c>
      <c r="AA58" s="28" t="s">
        <v>212</v>
      </c>
      <c r="AB58" s="24" t="s">
        <v>209</v>
      </c>
      <c r="AC58" s="30" t="s">
        <v>210</v>
      </c>
      <c r="AD58" s="30" t="s">
        <v>390</v>
      </c>
      <c r="AE58" s="36">
        <v>43671</v>
      </c>
    </row>
    <row r="59" spans="1:31" ht="15.75" x14ac:dyDescent="0.25">
      <c r="A59" s="23" t="s">
        <v>416</v>
      </c>
      <c r="B59" s="24" t="s">
        <v>417</v>
      </c>
      <c r="C59" s="24" t="s">
        <v>418</v>
      </c>
      <c r="D59" s="24" t="s">
        <v>419</v>
      </c>
      <c r="E59" s="29">
        <v>60098</v>
      </c>
      <c r="F59" s="24" t="s">
        <v>43</v>
      </c>
      <c r="G59" s="24" t="s">
        <v>292</v>
      </c>
      <c r="H59" s="24" t="s">
        <v>208</v>
      </c>
      <c r="I59" s="25">
        <v>26.312156862745098</v>
      </c>
      <c r="J59" s="26">
        <v>84.507987220446893</v>
      </c>
      <c r="K59" s="26">
        <v>25.297124600638966</v>
      </c>
      <c r="L59" s="26">
        <v>57.504792332268245</v>
      </c>
      <c r="M59" s="26">
        <v>54.485623003194831</v>
      </c>
      <c r="N59" s="26">
        <v>122.65814696485562</v>
      </c>
      <c r="O59" s="26">
        <v>75.731629392971016</v>
      </c>
      <c r="P59" s="26">
        <v>6.8977635782747617</v>
      </c>
      <c r="Q59" s="26">
        <v>16.507987220447305</v>
      </c>
      <c r="R59" s="26">
        <v>65.60063897763564</v>
      </c>
      <c r="S59" s="26">
        <v>33.437699680511123</v>
      </c>
      <c r="T59" s="26">
        <v>31.05750798722044</v>
      </c>
      <c r="U59" s="26">
        <v>91.699680511181725</v>
      </c>
      <c r="V59" s="26">
        <v>141.80830670926412</v>
      </c>
      <c r="W59" s="27"/>
      <c r="X59" s="24" t="s">
        <v>209</v>
      </c>
      <c r="Y59" s="30" t="s">
        <v>345</v>
      </c>
      <c r="Z59" s="24" t="s">
        <v>368</v>
      </c>
      <c r="AA59" s="28" t="s">
        <v>294</v>
      </c>
      <c r="AB59" s="24" t="s">
        <v>209</v>
      </c>
      <c r="AC59" s="30" t="s">
        <v>345</v>
      </c>
      <c r="AD59" s="30" t="s">
        <v>368</v>
      </c>
      <c r="AE59" s="36">
        <v>43265</v>
      </c>
    </row>
    <row r="60" spans="1:31" ht="15.75" x14ac:dyDescent="0.25">
      <c r="A60" s="23" t="s">
        <v>399</v>
      </c>
      <c r="B60" s="24" t="s">
        <v>400</v>
      </c>
      <c r="C60" s="24" t="s">
        <v>401</v>
      </c>
      <c r="D60" s="24" t="s">
        <v>319</v>
      </c>
      <c r="E60" s="29">
        <v>7032</v>
      </c>
      <c r="F60" s="24" t="s">
        <v>402</v>
      </c>
      <c r="G60" s="24" t="s">
        <v>236</v>
      </c>
      <c r="H60" s="24" t="s">
        <v>208</v>
      </c>
      <c r="I60" s="25">
        <v>73.680155642023394</v>
      </c>
      <c r="J60" s="26">
        <v>57.999999999999929</v>
      </c>
      <c r="K60" s="26">
        <v>38.913738019169294</v>
      </c>
      <c r="L60" s="26">
        <v>65.686900958466467</v>
      </c>
      <c r="M60" s="26">
        <v>50.073482428115007</v>
      </c>
      <c r="N60" s="26">
        <v>132.63578274760386</v>
      </c>
      <c r="O60" s="26">
        <v>59.415335463258714</v>
      </c>
      <c r="P60" s="26">
        <v>14.45047923322684</v>
      </c>
      <c r="Q60" s="26">
        <v>6.1725239616613425</v>
      </c>
      <c r="R60" s="26">
        <v>68.680511182108646</v>
      </c>
      <c r="S60" s="26">
        <v>31.744408945686914</v>
      </c>
      <c r="T60" s="26">
        <v>47.948881789137353</v>
      </c>
      <c r="U60" s="26">
        <v>64.300319488817806</v>
      </c>
      <c r="V60" s="26">
        <v>121.51757188498387</v>
      </c>
      <c r="W60" s="27"/>
      <c r="X60" s="24" t="s">
        <v>209</v>
      </c>
      <c r="Y60" s="30" t="s">
        <v>293</v>
      </c>
      <c r="Z60" s="24" t="s">
        <v>211</v>
      </c>
      <c r="AA60" s="28" t="s">
        <v>219</v>
      </c>
      <c r="AB60" s="24" t="s">
        <v>209</v>
      </c>
      <c r="AC60" s="30" t="s">
        <v>293</v>
      </c>
      <c r="AD60" s="30" t="s">
        <v>211</v>
      </c>
      <c r="AE60" s="36">
        <v>43328</v>
      </c>
    </row>
    <row r="61" spans="1:31" ht="15.75" x14ac:dyDescent="0.25">
      <c r="A61" s="23" t="s">
        <v>420</v>
      </c>
      <c r="B61" s="24" t="s">
        <v>421</v>
      </c>
      <c r="C61" s="24" t="s">
        <v>337</v>
      </c>
      <c r="D61" s="24" t="s">
        <v>217</v>
      </c>
      <c r="E61" s="29">
        <v>31537</v>
      </c>
      <c r="F61" s="24" t="s">
        <v>218</v>
      </c>
      <c r="G61" s="24" t="s">
        <v>207</v>
      </c>
      <c r="H61" s="24" t="s">
        <v>5</v>
      </c>
      <c r="I61" s="25">
        <v>40.022614451185902</v>
      </c>
      <c r="J61" s="26">
        <v>26.054313099041526</v>
      </c>
      <c r="K61" s="26">
        <v>29.16293929712462</v>
      </c>
      <c r="L61" s="26">
        <v>92.025559105431228</v>
      </c>
      <c r="M61" s="26">
        <v>62.587859424920026</v>
      </c>
      <c r="N61" s="26">
        <v>167.96166134185236</v>
      </c>
      <c r="O61" s="26">
        <v>41.869009584664511</v>
      </c>
      <c r="P61" s="26">
        <v>0</v>
      </c>
      <c r="Q61" s="26">
        <v>0</v>
      </c>
      <c r="R61" s="26">
        <v>104.29392971245986</v>
      </c>
      <c r="S61" s="26">
        <v>42.290734824281145</v>
      </c>
      <c r="T61" s="26">
        <v>21.418530351437699</v>
      </c>
      <c r="U61" s="26">
        <v>41.827476038338631</v>
      </c>
      <c r="V61" s="26">
        <v>125.95846645367364</v>
      </c>
      <c r="W61" s="27">
        <v>338</v>
      </c>
      <c r="X61" s="24" t="s">
        <v>209</v>
      </c>
      <c r="Y61" s="30" t="s">
        <v>210</v>
      </c>
      <c r="Z61" s="24" t="s">
        <v>211</v>
      </c>
      <c r="AA61" s="28" t="s">
        <v>338</v>
      </c>
      <c r="AB61" s="24" t="s">
        <v>238</v>
      </c>
      <c r="AC61" s="30"/>
      <c r="AD61" s="30"/>
      <c r="AE61" s="36"/>
    </row>
    <row r="62" spans="1:31" ht="15.75" x14ac:dyDescent="0.25">
      <c r="A62" s="23" t="s">
        <v>10</v>
      </c>
      <c r="B62" s="24" t="s">
        <v>406</v>
      </c>
      <c r="C62" s="24" t="s">
        <v>37</v>
      </c>
      <c r="D62" s="24" t="s">
        <v>234</v>
      </c>
      <c r="E62" s="29">
        <v>71303</v>
      </c>
      <c r="F62" s="24" t="s">
        <v>235</v>
      </c>
      <c r="G62" s="24" t="s">
        <v>407</v>
      </c>
      <c r="H62" s="24" t="s">
        <v>5</v>
      </c>
      <c r="I62" s="25">
        <v>2.9712365099689002</v>
      </c>
      <c r="J62" s="26">
        <v>92.396166134176667</v>
      </c>
      <c r="K62" s="26">
        <v>37.613418530350827</v>
      </c>
      <c r="L62" s="26">
        <v>41.817891373801231</v>
      </c>
      <c r="M62" s="26">
        <v>34.533546325878739</v>
      </c>
      <c r="N62" s="26">
        <v>108.41533546324868</v>
      </c>
      <c r="O62" s="26">
        <v>97.90734824280203</v>
      </c>
      <c r="P62" s="26">
        <v>2.5559105431309903E-2</v>
      </c>
      <c r="Q62" s="26">
        <v>1.2779552715654952E-2</v>
      </c>
      <c r="R62" s="26">
        <v>48.1884984025547</v>
      </c>
      <c r="S62" s="26">
        <v>23.332268370607448</v>
      </c>
      <c r="T62" s="26">
        <v>36.341853035143473</v>
      </c>
      <c r="U62" s="26">
        <v>98.498402555900881</v>
      </c>
      <c r="V62" s="26">
        <v>203.92651757185109</v>
      </c>
      <c r="W62" s="27">
        <v>1170</v>
      </c>
      <c r="X62" s="24" t="s">
        <v>238</v>
      </c>
      <c r="Y62" s="30"/>
      <c r="Z62" s="24"/>
      <c r="AA62" s="28"/>
      <c r="AB62" s="24" t="s">
        <v>238</v>
      </c>
      <c r="AC62" s="30"/>
      <c r="AD62" s="30"/>
      <c r="AE62" s="36"/>
    </row>
    <row r="63" spans="1:31" ht="15.75" x14ac:dyDescent="0.25">
      <c r="A63" s="23" t="s">
        <v>19</v>
      </c>
      <c r="B63" s="24" t="s">
        <v>422</v>
      </c>
      <c r="C63" s="24" t="s">
        <v>370</v>
      </c>
      <c r="D63" s="24" t="s">
        <v>222</v>
      </c>
      <c r="E63" s="29">
        <v>78041</v>
      </c>
      <c r="F63" s="24" t="s">
        <v>223</v>
      </c>
      <c r="G63" s="24" t="s">
        <v>207</v>
      </c>
      <c r="H63" s="24" t="s">
        <v>208</v>
      </c>
      <c r="I63" s="25">
        <v>32.644374999999997</v>
      </c>
      <c r="J63" s="26">
        <v>180.52396166134113</v>
      </c>
      <c r="K63" s="26">
        <v>6.2715654952076676</v>
      </c>
      <c r="L63" s="26">
        <v>6.7284345047923324</v>
      </c>
      <c r="M63" s="26">
        <v>8.1309904153354644</v>
      </c>
      <c r="N63" s="26">
        <v>0.36421725239616592</v>
      </c>
      <c r="O63" s="26">
        <v>0.53993610223642152</v>
      </c>
      <c r="P63" s="26">
        <v>24.105431309904159</v>
      </c>
      <c r="Q63" s="26">
        <v>176.64536741214019</v>
      </c>
      <c r="R63" s="26">
        <v>7.3386581469648569</v>
      </c>
      <c r="S63" s="26">
        <v>5.6517571884984026</v>
      </c>
      <c r="T63" s="26">
        <v>11.648562300319496</v>
      </c>
      <c r="U63" s="26">
        <v>177.0159744408941</v>
      </c>
      <c r="V63" s="26">
        <v>107.26198083067057</v>
      </c>
      <c r="W63" s="27"/>
      <c r="X63" s="24" t="s">
        <v>209</v>
      </c>
      <c r="Y63" s="30" t="s">
        <v>345</v>
      </c>
      <c r="Z63" s="24" t="s">
        <v>368</v>
      </c>
      <c r="AA63" s="28" t="s">
        <v>423</v>
      </c>
      <c r="AB63" s="24" t="s">
        <v>209</v>
      </c>
      <c r="AC63" s="30" t="s">
        <v>345</v>
      </c>
      <c r="AD63" s="30" t="s">
        <v>368</v>
      </c>
      <c r="AE63" s="36">
        <v>43258</v>
      </c>
    </row>
    <row r="64" spans="1:31" ht="15.75" x14ac:dyDescent="0.25">
      <c r="A64" s="23" t="s">
        <v>39</v>
      </c>
      <c r="B64" s="24" t="s">
        <v>430</v>
      </c>
      <c r="C64" s="24" t="s">
        <v>431</v>
      </c>
      <c r="D64" s="24" t="s">
        <v>432</v>
      </c>
      <c r="E64" s="29">
        <v>74447</v>
      </c>
      <c r="F64" s="24" t="s">
        <v>314</v>
      </c>
      <c r="G64" s="24" t="s">
        <v>236</v>
      </c>
      <c r="H64" s="24" t="s">
        <v>5</v>
      </c>
      <c r="I64" s="25">
        <v>47.5983402489627</v>
      </c>
      <c r="J64" s="26">
        <v>99.348242811501379</v>
      </c>
      <c r="K64" s="26">
        <v>43.258785942491983</v>
      </c>
      <c r="L64" s="26">
        <v>24.060702875399365</v>
      </c>
      <c r="M64" s="26">
        <v>24.092651757188509</v>
      </c>
      <c r="N64" s="26">
        <v>100.95846645367398</v>
      </c>
      <c r="O64" s="26">
        <v>89.801916932907048</v>
      </c>
      <c r="P64" s="26">
        <v>0</v>
      </c>
      <c r="Q64" s="26">
        <v>0</v>
      </c>
      <c r="R64" s="26">
        <v>45.345047923322689</v>
      </c>
      <c r="S64" s="26">
        <v>23.760383386581484</v>
      </c>
      <c r="T64" s="26">
        <v>32.153354632587842</v>
      </c>
      <c r="U64" s="26">
        <v>89.501597444089157</v>
      </c>
      <c r="V64" s="26">
        <v>100.98402555910515</v>
      </c>
      <c r="W64" s="27"/>
      <c r="X64" s="24" t="s">
        <v>209</v>
      </c>
      <c r="Y64" s="30" t="s">
        <v>210</v>
      </c>
      <c r="Z64" s="24" t="s">
        <v>211</v>
      </c>
      <c r="AA64" s="28" t="s">
        <v>433</v>
      </c>
      <c r="AB64" s="24" t="s">
        <v>209</v>
      </c>
      <c r="AC64" s="30" t="s">
        <v>210</v>
      </c>
      <c r="AD64" s="30" t="s">
        <v>211</v>
      </c>
      <c r="AE64" s="36">
        <v>43377</v>
      </c>
    </row>
    <row r="65" spans="1:31" ht="15.75" x14ac:dyDescent="0.25">
      <c r="A65" s="23" t="s">
        <v>56</v>
      </c>
      <c r="B65" s="24" t="s">
        <v>436</v>
      </c>
      <c r="C65" s="24" t="s">
        <v>437</v>
      </c>
      <c r="D65" s="24" t="s">
        <v>319</v>
      </c>
      <c r="E65" s="29">
        <v>7601</v>
      </c>
      <c r="F65" s="24" t="s">
        <v>402</v>
      </c>
      <c r="G65" s="24" t="s">
        <v>292</v>
      </c>
      <c r="H65" s="24" t="s">
        <v>208</v>
      </c>
      <c r="I65" s="25">
        <v>69.933901918976503</v>
      </c>
      <c r="J65" s="26">
        <v>62.827476038338673</v>
      </c>
      <c r="K65" s="26">
        <v>26.865814696485607</v>
      </c>
      <c r="L65" s="26">
        <v>59.380191693290712</v>
      </c>
      <c r="M65" s="26">
        <v>36.054313099041529</v>
      </c>
      <c r="N65" s="26">
        <v>105.69329073482419</v>
      </c>
      <c r="O65" s="26">
        <v>62.504792332268323</v>
      </c>
      <c r="P65" s="26">
        <v>7.6166134185303491</v>
      </c>
      <c r="Q65" s="26">
        <v>9.3130990415335457</v>
      </c>
      <c r="R65" s="26">
        <v>42.808306709265182</v>
      </c>
      <c r="S65" s="26">
        <v>31.130990415335472</v>
      </c>
      <c r="T65" s="26">
        <v>40.028753993610231</v>
      </c>
      <c r="U65" s="26">
        <v>71.159744408945642</v>
      </c>
      <c r="V65" s="26">
        <v>101.84664536741191</v>
      </c>
      <c r="W65" s="27"/>
      <c r="X65" s="24" t="s">
        <v>209</v>
      </c>
      <c r="Y65" s="30" t="s">
        <v>345</v>
      </c>
      <c r="Z65" s="24" t="s">
        <v>346</v>
      </c>
      <c r="AA65" s="28" t="s">
        <v>919</v>
      </c>
      <c r="AB65" s="24" t="s">
        <v>209</v>
      </c>
      <c r="AC65" s="30" t="s">
        <v>345</v>
      </c>
      <c r="AD65" s="30" t="s">
        <v>368</v>
      </c>
      <c r="AE65" s="36">
        <v>43524</v>
      </c>
    </row>
    <row r="66" spans="1:31" ht="15.75" x14ac:dyDescent="0.25">
      <c r="A66" s="23" t="s">
        <v>438</v>
      </c>
      <c r="B66" s="24" t="s">
        <v>439</v>
      </c>
      <c r="C66" s="24" t="s">
        <v>54</v>
      </c>
      <c r="D66" s="24" t="s">
        <v>440</v>
      </c>
      <c r="E66" s="29">
        <v>89015</v>
      </c>
      <c r="F66" s="24" t="s">
        <v>441</v>
      </c>
      <c r="G66" s="24" t="s">
        <v>292</v>
      </c>
      <c r="H66" s="24" t="s">
        <v>208</v>
      </c>
      <c r="I66" s="25">
        <v>44.021097046413502</v>
      </c>
      <c r="J66" s="26">
        <v>50.469648562300158</v>
      </c>
      <c r="K66" s="26">
        <v>47.549520766773078</v>
      </c>
      <c r="L66" s="26">
        <v>51.003194888178911</v>
      </c>
      <c r="M66" s="26">
        <v>35.667731629392989</v>
      </c>
      <c r="N66" s="26">
        <v>98.968051118210866</v>
      </c>
      <c r="O66" s="26">
        <v>63.948881789137232</v>
      </c>
      <c r="P66" s="26">
        <v>14.501597444089455</v>
      </c>
      <c r="Q66" s="26">
        <v>7.2715654952076765</v>
      </c>
      <c r="R66" s="26">
        <v>45.239616613418526</v>
      </c>
      <c r="S66" s="26">
        <v>32.607028753993603</v>
      </c>
      <c r="T66" s="26">
        <v>35.523961661341843</v>
      </c>
      <c r="U66" s="26">
        <v>71.319488817891084</v>
      </c>
      <c r="V66" s="26">
        <v>113.65814696485585</v>
      </c>
      <c r="W66" s="27"/>
      <c r="X66" s="24" t="s">
        <v>209</v>
      </c>
      <c r="Y66" s="30" t="s">
        <v>345</v>
      </c>
      <c r="Z66" s="24" t="s">
        <v>368</v>
      </c>
      <c r="AA66" s="28" t="s">
        <v>427</v>
      </c>
      <c r="AB66" s="24" t="s">
        <v>209</v>
      </c>
      <c r="AC66" s="30" t="s">
        <v>345</v>
      </c>
      <c r="AD66" s="30" t="s">
        <v>368</v>
      </c>
      <c r="AE66" s="36">
        <v>43300</v>
      </c>
    </row>
    <row r="67" spans="1:31" ht="15.75" x14ac:dyDescent="0.25">
      <c r="A67" s="23" t="s">
        <v>424</v>
      </c>
      <c r="B67" s="24" t="s">
        <v>425</v>
      </c>
      <c r="C67" s="24" t="s">
        <v>426</v>
      </c>
      <c r="D67" s="24" t="s">
        <v>53</v>
      </c>
      <c r="E67" s="29">
        <v>35901</v>
      </c>
      <c r="F67" s="24" t="s">
        <v>235</v>
      </c>
      <c r="G67" s="24" t="s">
        <v>292</v>
      </c>
      <c r="H67" s="24" t="s">
        <v>5</v>
      </c>
      <c r="I67" s="25">
        <v>23.272005772005802</v>
      </c>
      <c r="J67" s="26">
        <v>66.121405750798928</v>
      </c>
      <c r="K67" s="26">
        <v>31.025559105431139</v>
      </c>
      <c r="L67" s="26">
        <v>38.517571884984044</v>
      </c>
      <c r="M67" s="26">
        <v>41.357827476038331</v>
      </c>
      <c r="N67" s="26">
        <v>99.712460063897922</v>
      </c>
      <c r="O67" s="26">
        <v>76.345047923322838</v>
      </c>
      <c r="P67" s="26">
        <v>0.60063897763578278</v>
      </c>
      <c r="Q67" s="26">
        <v>0.36421725239616609</v>
      </c>
      <c r="R67" s="26">
        <v>59.306709265175783</v>
      </c>
      <c r="S67" s="26">
        <v>20.261980830670883</v>
      </c>
      <c r="T67" s="26">
        <v>20.93929712460055</v>
      </c>
      <c r="U67" s="26">
        <v>76.514376996805282</v>
      </c>
      <c r="V67" s="26">
        <v>151.67731629393037</v>
      </c>
      <c r="W67" s="27"/>
      <c r="X67" s="24" t="s">
        <v>209</v>
      </c>
      <c r="Y67" s="30" t="s">
        <v>345</v>
      </c>
      <c r="Z67" s="24" t="s">
        <v>368</v>
      </c>
      <c r="AA67" s="28" t="s">
        <v>427</v>
      </c>
      <c r="AB67" s="24" t="s">
        <v>209</v>
      </c>
      <c r="AC67" s="30" t="s">
        <v>345</v>
      </c>
      <c r="AD67" s="30" t="s">
        <v>368</v>
      </c>
      <c r="AE67" s="36">
        <v>43300</v>
      </c>
    </row>
    <row r="68" spans="1:31" ht="15.75" x14ac:dyDescent="0.25">
      <c r="A68" s="23" t="s">
        <v>428</v>
      </c>
      <c r="B68" s="24" t="s">
        <v>429</v>
      </c>
      <c r="C68" s="24" t="s">
        <v>27</v>
      </c>
      <c r="D68" s="24" t="s">
        <v>319</v>
      </c>
      <c r="E68" s="29">
        <v>7201</v>
      </c>
      <c r="F68" s="24" t="s">
        <v>320</v>
      </c>
      <c r="G68" s="24" t="s">
        <v>224</v>
      </c>
      <c r="H68" s="24" t="s">
        <v>208</v>
      </c>
      <c r="I68" s="25">
        <v>45.090909090909101</v>
      </c>
      <c r="J68" s="26">
        <v>126.00638977635712</v>
      </c>
      <c r="K68" s="26">
        <v>43.73801916932905</v>
      </c>
      <c r="L68" s="26">
        <v>1.0159744408945688</v>
      </c>
      <c r="M68" s="26">
        <v>0.56549520766773131</v>
      </c>
      <c r="N68" s="26">
        <v>49.75399361022361</v>
      </c>
      <c r="O68" s="26">
        <v>104.80511182108592</v>
      </c>
      <c r="P68" s="26">
        <v>2.798722044728434</v>
      </c>
      <c r="Q68" s="26">
        <v>13.968051118210887</v>
      </c>
      <c r="R68" s="26">
        <v>7.1757188498402567</v>
      </c>
      <c r="S68" s="26">
        <v>10.945686900958469</v>
      </c>
      <c r="T68" s="26">
        <v>34.485623003194881</v>
      </c>
      <c r="U68" s="26">
        <v>118.71884984025499</v>
      </c>
      <c r="V68" s="26">
        <v>106.12460063897701</v>
      </c>
      <c r="W68" s="27">
        <v>285</v>
      </c>
      <c r="X68" s="24" t="s">
        <v>209</v>
      </c>
      <c r="Y68" s="30" t="s">
        <v>210</v>
      </c>
      <c r="Z68" s="24" t="s">
        <v>211</v>
      </c>
      <c r="AA68" s="28" t="s">
        <v>283</v>
      </c>
      <c r="AB68" s="24" t="s">
        <v>209</v>
      </c>
      <c r="AC68" s="30" t="s">
        <v>210</v>
      </c>
      <c r="AD68" s="30" t="s">
        <v>211</v>
      </c>
      <c r="AE68" s="36">
        <v>43385</v>
      </c>
    </row>
    <row r="69" spans="1:31" ht="15.75" x14ac:dyDescent="0.25">
      <c r="A69" s="23" t="s">
        <v>38</v>
      </c>
      <c r="B69" s="24" t="s">
        <v>445</v>
      </c>
      <c r="C69" s="24" t="s">
        <v>446</v>
      </c>
      <c r="D69" s="24" t="s">
        <v>440</v>
      </c>
      <c r="E69" s="29">
        <v>89060</v>
      </c>
      <c r="F69" s="24" t="s">
        <v>441</v>
      </c>
      <c r="G69" s="24" t="s">
        <v>292</v>
      </c>
      <c r="H69" s="24" t="s">
        <v>208</v>
      </c>
      <c r="I69" s="25">
        <v>77.057931034482806</v>
      </c>
      <c r="J69" s="26">
        <v>84.66134185303514</v>
      </c>
      <c r="K69" s="26">
        <v>20.434504792332266</v>
      </c>
      <c r="L69" s="26">
        <v>34.833865814696495</v>
      </c>
      <c r="M69" s="26">
        <v>27.463258785942472</v>
      </c>
      <c r="N69" s="26">
        <v>68.105431309904134</v>
      </c>
      <c r="O69" s="26">
        <v>41.277955271565453</v>
      </c>
      <c r="P69" s="26">
        <v>10.926517571884984</v>
      </c>
      <c r="Q69" s="26">
        <v>47.083067092651739</v>
      </c>
      <c r="R69" s="26">
        <v>38.01597444089456</v>
      </c>
      <c r="S69" s="26">
        <v>21.42492012779552</v>
      </c>
      <c r="T69" s="26">
        <v>19.460063897763579</v>
      </c>
      <c r="U69" s="26">
        <v>88.492012779552709</v>
      </c>
      <c r="V69" s="26">
        <v>99.613418530351424</v>
      </c>
      <c r="W69" s="27"/>
      <c r="X69" s="24" t="s">
        <v>209</v>
      </c>
      <c r="Y69" s="30" t="s">
        <v>293</v>
      </c>
      <c r="Z69" s="24" t="s">
        <v>211</v>
      </c>
      <c r="AA69" s="28" t="s">
        <v>447</v>
      </c>
      <c r="AB69" s="24" t="s">
        <v>209</v>
      </c>
      <c r="AC69" s="30" t="s">
        <v>293</v>
      </c>
      <c r="AD69" s="30" t="s">
        <v>211</v>
      </c>
      <c r="AE69" s="36">
        <v>43307</v>
      </c>
    </row>
    <row r="70" spans="1:31" ht="15.75" x14ac:dyDescent="0.25">
      <c r="A70" s="23" t="s">
        <v>918</v>
      </c>
      <c r="B70" s="24" t="s">
        <v>917</v>
      </c>
      <c r="C70" s="24" t="s">
        <v>277</v>
      </c>
      <c r="D70" s="24" t="s">
        <v>222</v>
      </c>
      <c r="E70" s="29">
        <v>77301</v>
      </c>
      <c r="F70" s="24" t="s">
        <v>278</v>
      </c>
      <c r="G70" s="24" t="s">
        <v>236</v>
      </c>
      <c r="H70" s="24" t="s">
        <v>208</v>
      </c>
      <c r="I70" s="25">
        <v>33.423710208561999</v>
      </c>
      <c r="J70" s="26">
        <v>84.805111821086129</v>
      </c>
      <c r="K70" s="26">
        <v>37.74440894568685</v>
      </c>
      <c r="L70" s="26">
        <v>14.207667731629391</v>
      </c>
      <c r="M70" s="26">
        <v>15.111821086261985</v>
      </c>
      <c r="N70" s="26">
        <v>50.198083067092632</v>
      </c>
      <c r="O70" s="26">
        <v>65.859424920127793</v>
      </c>
      <c r="P70" s="26">
        <v>11.571884984025555</v>
      </c>
      <c r="Q70" s="26">
        <v>24.239616613418551</v>
      </c>
      <c r="R70" s="26">
        <v>24.488817891373788</v>
      </c>
      <c r="S70" s="26">
        <v>12.341853035143766</v>
      </c>
      <c r="T70" s="26">
        <v>24.869009584664514</v>
      </c>
      <c r="U70" s="26">
        <v>90.169329073482302</v>
      </c>
      <c r="V70" s="26">
        <v>116.20766773162951</v>
      </c>
      <c r="W70" s="27"/>
      <c r="X70" s="24" t="s">
        <v>238</v>
      </c>
      <c r="Y70" s="30"/>
      <c r="Z70" s="24"/>
      <c r="AA70" s="28" t="s">
        <v>356</v>
      </c>
      <c r="AB70" s="24" t="s">
        <v>238</v>
      </c>
      <c r="AC70" s="30"/>
      <c r="AD70" s="30"/>
      <c r="AE70" s="36"/>
    </row>
    <row r="71" spans="1:31" ht="15.75" x14ac:dyDescent="0.25">
      <c r="A71" s="23" t="s">
        <v>451</v>
      </c>
      <c r="B71" s="24" t="s">
        <v>452</v>
      </c>
      <c r="C71" s="24" t="s">
        <v>453</v>
      </c>
      <c r="D71" s="24" t="s">
        <v>205</v>
      </c>
      <c r="E71" s="29">
        <v>95901</v>
      </c>
      <c r="F71" s="24" t="s">
        <v>386</v>
      </c>
      <c r="G71" s="24" t="s">
        <v>236</v>
      </c>
      <c r="H71" s="24" t="s">
        <v>208</v>
      </c>
      <c r="I71" s="25">
        <v>78.857142857142904</v>
      </c>
      <c r="J71" s="26">
        <v>10.626198083067093</v>
      </c>
      <c r="K71" s="26">
        <v>17.012779552715674</v>
      </c>
      <c r="L71" s="26">
        <v>37.884984025559071</v>
      </c>
      <c r="M71" s="26">
        <v>71.635782747603784</v>
      </c>
      <c r="N71" s="26">
        <v>114.08945686900925</v>
      </c>
      <c r="O71" s="26">
        <v>14.450479233226844</v>
      </c>
      <c r="P71" s="26">
        <v>7.1118210862619815</v>
      </c>
      <c r="Q71" s="26">
        <v>1.5079872204472842</v>
      </c>
      <c r="R71" s="26">
        <v>81.43450479233212</v>
      </c>
      <c r="S71" s="26">
        <v>21.504792332268384</v>
      </c>
      <c r="T71" s="26">
        <v>18.268370607028764</v>
      </c>
      <c r="U71" s="26">
        <v>15.952076677316303</v>
      </c>
      <c r="V71" s="26">
        <v>95.702875399360764</v>
      </c>
      <c r="W71" s="27"/>
      <c r="X71" s="24" t="s">
        <v>209</v>
      </c>
      <c r="Y71" s="30" t="s">
        <v>345</v>
      </c>
      <c r="Z71" s="24" t="s">
        <v>368</v>
      </c>
      <c r="AA71" s="28" t="s">
        <v>357</v>
      </c>
      <c r="AB71" s="24" t="s">
        <v>209</v>
      </c>
      <c r="AC71" s="30" t="s">
        <v>345</v>
      </c>
      <c r="AD71" s="30" t="s">
        <v>368</v>
      </c>
      <c r="AE71" s="36">
        <v>43420</v>
      </c>
    </row>
    <row r="72" spans="1:31" ht="15.75" x14ac:dyDescent="0.25">
      <c r="A72" s="23" t="s">
        <v>466</v>
      </c>
      <c r="B72" s="24" t="s">
        <v>467</v>
      </c>
      <c r="C72" s="24" t="s">
        <v>468</v>
      </c>
      <c r="D72" s="24" t="s">
        <v>469</v>
      </c>
      <c r="E72" s="29">
        <v>49014</v>
      </c>
      <c r="F72" s="24" t="s">
        <v>461</v>
      </c>
      <c r="G72" s="24" t="s">
        <v>236</v>
      </c>
      <c r="H72" s="24" t="s">
        <v>208</v>
      </c>
      <c r="I72" s="25">
        <v>42.392781316348199</v>
      </c>
      <c r="J72" s="26">
        <v>35.150159744408917</v>
      </c>
      <c r="K72" s="26">
        <v>50.840255591054301</v>
      </c>
      <c r="L72" s="26">
        <v>32.44408945686903</v>
      </c>
      <c r="M72" s="26">
        <v>17.961661341853031</v>
      </c>
      <c r="N72" s="26">
        <v>82.210862619808253</v>
      </c>
      <c r="O72" s="26">
        <v>31.153354632587881</v>
      </c>
      <c r="P72" s="26">
        <v>11.335463258785945</v>
      </c>
      <c r="Q72" s="26">
        <v>11.696485623003202</v>
      </c>
      <c r="R72" s="26">
        <v>41.226837060702884</v>
      </c>
      <c r="S72" s="26">
        <v>23.587859424920136</v>
      </c>
      <c r="T72" s="26">
        <v>29.210862619808299</v>
      </c>
      <c r="U72" s="26">
        <v>42.370607028754016</v>
      </c>
      <c r="V72" s="26">
        <v>85.003194888178825</v>
      </c>
      <c r="W72" s="27">
        <v>75</v>
      </c>
      <c r="X72" s="24" t="s">
        <v>209</v>
      </c>
      <c r="Y72" s="30" t="s">
        <v>345</v>
      </c>
      <c r="Z72" s="24" t="s">
        <v>346</v>
      </c>
      <c r="AA72" s="28" t="s">
        <v>913</v>
      </c>
      <c r="AB72" s="24" t="s">
        <v>209</v>
      </c>
      <c r="AC72" s="30" t="s">
        <v>345</v>
      </c>
      <c r="AD72" s="30" t="s">
        <v>368</v>
      </c>
      <c r="AE72" s="36">
        <v>43531</v>
      </c>
    </row>
    <row r="73" spans="1:31" ht="15.75" x14ac:dyDescent="0.25">
      <c r="A73" s="23" t="s">
        <v>454</v>
      </c>
      <c r="B73" s="24" t="s">
        <v>455</v>
      </c>
      <c r="C73" s="24" t="s">
        <v>456</v>
      </c>
      <c r="D73" s="24" t="s">
        <v>222</v>
      </c>
      <c r="E73" s="29">
        <v>76031</v>
      </c>
      <c r="F73" s="24" t="s">
        <v>314</v>
      </c>
      <c r="G73" s="24" t="s">
        <v>236</v>
      </c>
      <c r="H73" s="24" t="s">
        <v>5</v>
      </c>
      <c r="I73" s="25">
        <v>22.261054421768701</v>
      </c>
      <c r="J73" s="26">
        <v>61.683706070287016</v>
      </c>
      <c r="K73" s="26">
        <v>28.661341853035214</v>
      </c>
      <c r="L73" s="26">
        <v>24.670926517571932</v>
      </c>
      <c r="M73" s="26">
        <v>19.24600638977639</v>
      </c>
      <c r="N73" s="26">
        <v>82.884984025558197</v>
      </c>
      <c r="O73" s="26">
        <v>51.373801916932429</v>
      </c>
      <c r="P73" s="26">
        <v>0</v>
      </c>
      <c r="Q73" s="26">
        <v>3.1948881789137379E-3</v>
      </c>
      <c r="R73" s="26">
        <v>32.172523961661398</v>
      </c>
      <c r="S73" s="26">
        <v>20.98402555910549</v>
      </c>
      <c r="T73" s="26">
        <v>30.070287539936185</v>
      </c>
      <c r="U73" s="26">
        <v>51.035143769967576</v>
      </c>
      <c r="V73" s="26">
        <v>71.143769968049909</v>
      </c>
      <c r="W73" s="27"/>
      <c r="X73" s="24" t="s">
        <v>209</v>
      </c>
      <c r="Y73" s="30" t="s">
        <v>210</v>
      </c>
      <c r="Z73" s="24" t="s">
        <v>211</v>
      </c>
      <c r="AA73" s="28" t="s">
        <v>344</v>
      </c>
      <c r="AB73" s="24" t="s">
        <v>209</v>
      </c>
      <c r="AC73" s="30" t="s">
        <v>210</v>
      </c>
      <c r="AD73" s="30" t="s">
        <v>211</v>
      </c>
      <c r="AE73" s="36">
        <v>43335</v>
      </c>
    </row>
    <row r="74" spans="1:31" ht="15.75" x14ac:dyDescent="0.25">
      <c r="A74" s="23" t="s">
        <v>442</v>
      </c>
      <c r="B74" s="24" t="s">
        <v>443</v>
      </c>
      <c r="C74" s="24" t="s">
        <v>444</v>
      </c>
      <c r="D74" s="24" t="s">
        <v>350</v>
      </c>
      <c r="E74" s="29">
        <v>18428</v>
      </c>
      <c r="F74" s="24" t="s">
        <v>351</v>
      </c>
      <c r="G74" s="24" t="s">
        <v>236</v>
      </c>
      <c r="H74" s="24" t="s">
        <v>5</v>
      </c>
      <c r="I74" s="25">
        <v>67.150187734668293</v>
      </c>
      <c r="J74" s="26">
        <v>51.578274760383323</v>
      </c>
      <c r="K74" s="26">
        <v>18.74760383386581</v>
      </c>
      <c r="L74" s="26">
        <v>37.38019169329074</v>
      </c>
      <c r="M74" s="26">
        <v>23.642172523961666</v>
      </c>
      <c r="N74" s="26">
        <v>80.07667731629391</v>
      </c>
      <c r="O74" s="26">
        <v>51.23961661341847</v>
      </c>
      <c r="P74" s="26">
        <v>1.5974440894568689E-2</v>
      </c>
      <c r="Q74" s="26">
        <v>1.5974440894568689E-2</v>
      </c>
      <c r="R74" s="26">
        <v>38.440894568690112</v>
      </c>
      <c r="S74" s="26">
        <v>15.472843450479234</v>
      </c>
      <c r="T74" s="26">
        <v>26.214057507987206</v>
      </c>
      <c r="U74" s="26">
        <v>51.220447284344978</v>
      </c>
      <c r="V74" s="26">
        <v>76.642172523961506</v>
      </c>
      <c r="W74" s="27"/>
      <c r="X74" s="24" t="s">
        <v>209</v>
      </c>
      <c r="Y74" s="30" t="s">
        <v>293</v>
      </c>
      <c r="Z74" s="24" t="s">
        <v>211</v>
      </c>
      <c r="AA74" s="28" t="s">
        <v>304</v>
      </c>
      <c r="AB74" s="24" t="s">
        <v>209</v>
      </c>
      <c r="AC74" s="30" t="s">
        <v>293</v>
      </c>
      <c r="AD74" s="30" t="s">
        <v>211</v>
      </c>
      <c r="AE74" s="36">
        <v>43146</v>
      </c>
    </row>
    <row r="75" spans="1:31" ht="15.75" x14ac:dyDescent="0.25">
      <c r="A75" s="23" t="s">
        <v>434</v>
      </c>
      <c r="B75" s="24" t="s">
        <v>435</v>
      </c>
      <c r="C75" s="24" t="s">
        <v>50</v>
      </c>
      <c r="D75" s="24" t="s">
        <v>332</v>
      </c>
      <c r="E75" s="29">
        <v>80010</v>
      </c>
      <c r="F75" s="24" t="s">
        <v>333</v>
      </c>
      <c r="G75" s="24" t="s">
        <v>224</v>
      </c>
      <c r="H75" s="24" t="s">
        <v>208</v>
      </c>
      <c r="I75" s="25">
        <v>79.757294429708196</v>
      </c>
      <c r="J75" s="26">
        <v>91.226837060702948</v>
      </c>
      <c r="K75" s="26">
        <v>5.9009584664536732</v>
      </c>
      <c r="L75" s="26">
        <v>18.932907348242807</v>
      </c>
      <c r="M75" s="26">
        <v>14.958466453674125</v>
      </c>
      <c r="N75" s="26">
        <v>26.920127795527144</v>
      </c>
      <c r="O75" s="26">
        <v>78.130990415335518</v>
      </c>
      <c r="P75" s="26">
        <v>11.12779552715655</v>
      </c>
      <c r="Q75" s="26">
        <v>14.840255591054309</v>
      </c>
      <c r="R75" s="26">
        <v>23.04153354632588</v>
      </c>
      <c r="S75" s="26">
        <v>6.6325878594249179</v>
      </c>
      <c r="T75" s="26">
        <v>8.341853035143771</v>
      </c>
      <c r="U75" s="26">
        <v>93.003194888178982</v>
      </c>
      <c r="V75" s="26">
        <v>83.485623003194902</v>
      </c>
      <c r="W75" s="27">
        <v>432</v>
      </c>
      <c r="X75" s="24" t="s">
        <v>209</v>
      </c>
      <c r="Y75" s="30" t="s">
        <v>210</v>
      </c>
      <c r="Z75" s="24" t="s">
        <v>211</v>
      </c>
      <c r="AA75" s="28" t="s">
        <v>334</v>
      </c>
      <c r="AB75" s="24" t="s">
        <v>238</v>
      </c>
      <c r="AC75" s="30"/>
      <c r="AD75" s="30"/>
      <c r="AE75" s="36"/>
    </row>
    <row r="76" spans="1:31" ht="15.75" x14ac:dyDescent="0.25">
      <c r="A76" s="23" t="s">
        <v>916</v>
      </c>
      <c r="B76" s="24" t="s">
        <v>915</v>
      </c>
      <c r="C76" s="24" t="s">
        <v>382</v>
      </c>
      <c r="D76" s="24" t="s">
        <v>240</v>
      </c>
      <c r="E76" s="29">
        <v>85132</v>
      </c>
      <c r="F76" s="24" t="s">
        <v>241</v>
      </c>
      <c r="G76" s="24" t="s">
        <v>292</v>
      </c>
      <c r="H76" s="24" t="s">
        <v>5</v>
      </c>
      <c r="I76" s="25">
        <v>52.180107526881699</v>
      </c>
      <c r="J76" s="26">
        <v>18.015974440894574</v>
      </c>
      <c r="K76" s="26">
        <v>11.012779552715662</v>
      </c>
      <c r="L76" s="26">
        <v>61.587859424920147</v>
      </c>
      <c r="M76" s="26">
        <v>38.920127795527151</v>
      </c>
      <c r="N76" s="26">
        <v>86.175718849839996</v>
      </c>
      <c r="O76" s="26">
        <v>32.140575079872228</v>
      </c>
      <c r="P76" s="26">
        <v>2.7635782747603841</v>
      </c>
      <c r="Q76" s="26">
        <v>8.4568690095846613</v>
      </c>
      <c r="R76" s="26">
        <v>35.325878594249197</v>
      </c>
      <c r="S76" s="26">
        <v>27.57188498402558</v>
      </c>
      <c r="T76" s="26">
        <v>25.316293929712479</v>
      </c>
      <c r="U76" s="26">
        <v>41.322683706070258</v>
      </c>
      <c r="V76" s="26">
        <v>61.849840255590841</v>
      </c>
      <c r="W76" s="27"/>
      <c r="X76" s="24" t="s">
        <v>209</v>
      </c>
      <c r="Y76" s="30" t="s">
        <v>293</v>
      </c>
      <c r="Z76" s="24" t="s">
        <v>211</v>
      </c>
      <c r="AA76" s="28" t="s">
        <v>354</v>
      </c>
      <c r="AB76" s="24" t="s">
        <v>209</v>
      </c>
      <c r="AC76" s="30" t="s">
        <v>293</v>
      </c>
      <c r="AD76" s="30" t="s">
        <v>211</v>
      </c>
      <c r="AE76" s="36">
        <v>43342</v>
      </c>
    </row>
    <row r="77" spans="1:31" ht="15.75" x14ac:dyDescent="0.25">
      <c r="A77" s="23" t="s">
        <v>15</v>
      </c>
      <c r="B77" s="24" t="s">
        <v>381</v>
      </c>
      <c r="C77" s="24" t="s">
        <v>382</v>
      </c>
      <c r="D77" s="24" t="s">
        <v>240</v>
      </c>
      <c r="E77" s="29">
        <v>85232</v>
      </c>
      <c r="F77" s="24" t="s">
        <v>241</v>
      </c>
      <c r="G77" s="24" t="s">
        <v>407</v>
      </c>
      <c r="H77" s="24" t="s">
        <v>5</v>
      </c>
      <c r="I77" s="25">
        <v>1.76362919823094</v>
      </c>
      <c r="J77" s="26">
        <v>66.469648562294381</v>
      </c>
      <c r="K77" s="26">
        <v>37.182108626197433</v>
      </c>
      <c r="L77" s="26">
        <v>15.856230031949359</v>
      </c>
      <c r="M77" s="26">
        <v>9.7252396166135746</v>
      </c>
      <c r="N77" s="26">
        <v>61.725239616605577</v>
      </c>
      <c r="O77" s="26">
        <v>56.022364217248366</v>
      </c>
      <c r="P77" s="26">
        <v>4.4249201277955281</v>
      </c>
      <c r="Q77" s="26">
        <v>7.060702875399441</v>
      </c>
      <c r="R77" s="26">
        <v>15.996805111821727</v>
      </c>
      <c r="S77" s="26">
        <v>12.616613418530788</v>
      </c>
      <c r="T77" s="26">
        <v>37.511182108625952</v>
      </c>
      <c r="U77" s="26">
        <v>63.10862619807714</v>
      </c>
      <c r="V77" s="26">
        <v>110.15335463256402</v>
      </c>
      <c r="W77" s="27">
        <v>374</v>
      </c>
      <c r="X77" s="24" t="s">
        <v>238</v>
      </c>
      <c r="Y77" s="30"/>
      <c r="Z77" s="24"/>
      <c r="AA77" s="28"/>
      <c r="AB77" s="24" t="s">
        <v>238</v>
      </c>
      <c r="AC77" s="30"/>
      <c r="AD77" s="30"/>
      <c r="AE77" s="36"/>
    </row>
    <row r="78" spans="1:31" ht="15.75" x14ac:dyDescent="0.25">
      <c r="A78" s="23" t="s">
        <v>457</v>
      </c>
      <c r="B78" s="24" t="s">
        <v>458</v>
      </c>
      <c r="C78" s="24" t="s">
        <v>459</v>
      </c>
      <c r="D78" s="24" t="s">
        <v>35</v>
      </c>
      <c r="E78" s="29">
        <v>2747</v>
      </c>
      <c r="F78" s="24" t="s">
        <v>394</v>
      </c>
      <c r="G78" s="24" t="s">
        <v>236</v>
      </c>
      <c r="H78" s="24" t="s">
        <v>208</v>
      </c>
      <c r="I78" s="25">
        <v>97.711618257261406</v>
      </c>
      <c r="J78" s="26">
        <v>16.821086261980838</v>
      </c>
      <c r="K78" s="26">
        <v>12.725239616613409</v>
      </c>
      <c r="L78" s="26">
        <v>39.246006389776355</v>
      </c>
      <c r="M78" s="26">
        <v>59.063897763578247</v>
      </c>
      <c r="N78" s="26">
        <v>77.054313099041536</v>
      </c>
      <c r="O78" s="26">
        <v>42.261980830670929</v>
      </c>
      <c r="P78" s="26">
        <v>5.8466453674121404</v>
      </c>
      <c r="Q78" s="26">
        <v>2.6932907348242816</v>
      </c>
      <c r="R78" s="26">
        <v>56.603833865814671</v>
      </c>
      <c r="S78" s="26">
        <v>9.7252396166134183</v>
      </c>
      <c r="T78" s="26">
        <v>16.44728434504793</v>
      </c>
      <c r="U78" s="26">
        <v>45.079872204472856</v>
      </c>
      <c r="V78" s="26">
        <v>73.894568690095838</v>
      </c>
      <c r="W78" s="27"/>
      <c r="X78" s="24" t="s">
        <v>209</v>
      </c>
      <c r="Y78" s="30" t="s">
        <v>293</v>
      </c>
      <c r="Z78" s="24" t="s">
        <v>211</v>
      </c>
      <c r="AA78" s="28" t="s">
        <v>264</v>
      </c>
      <c r="AB78" s="24" t="s">
        <v>209</v>
      </c>
      <c r="AC78" s="30" t="s">
        <v>293</v>
      </c>
      <c r="AD78" s="30" t="s">
        <v>211</v>
      </c>
      <c r="AE78" s="36">
        <v>43230</v>
      </c>
    </row>
    <row r="79" spans="1:31" ht="15.75" x14ac:dyDescent="0.25">
      <c r="A79" s="23" t="s">
        <v>462</v>
      </c>
      <c r="B79" s="24" t="s">
        <v>463</v>
      </c>
      <c r="C79" s="24" t="s">
        <v>464</v>
      </c>
      <c r="D79" s="24" t="s">
        <v>419</v>
      </c>
      <c r="E79" s="29">
        <v>62992</v>
      </c>
      <c r="F79" s="24" t="s">
        <v>43</v>
      </c>
      <c r="G79" s="24" t="s">
        <v>236</v>
      </c>
      <c r="H79" s="24" t="s">
        <v>208</v>
      </c>
      <c r="I79" s="25">
        <v>24.1361161524501</v>
      </c>
      <c r="J79" s="26">
        <v>41.383386581469686</v>
      </c>
      <c r="K79" s="26">
        <v>18.460063897763586</v>
      </c>
      <c r="L79" s="26">
        <v>33.089456869009645</v>
      </c>
      <c r="M79" s="26">
        <v>29.955271565495266</v>
      </c>
      <c r="N79" s="26">
        <v>76.479233226836769</v>
      </c>
      <c r="O79" s="26">
        <v>37.17571884984028</v>
      </c>
      <c r="P79" s="26">
        <v>4.5686900958466454</v>
      </c>
      <c r="Q79" s="26">
        <v>4.6645367412140555</v>
      </c>
      <c r="R79" s="26">
        <v>32.246006389776412</v>
      </c>
      <c r="S79" s="26">
        <v>25.274760383386621</v>
      </c>
      <c r="T79" s="26">
        <v>24.083067092651781</v>
      </c>
      <c r="U79" s="26">
        <v>41.284345047923345</v>
      </c>
      <c r="V79" s="26">
        <v>79.635782747603329</v>
      </c>
      <c r="W79" s="27"/>
      <c r="X79" s="24" t="s">
        <v>209</v>
      </c>
      <c r="Y79" s="30" t="s">
        <v>210</v>
      </c>
      <c r="Z79" s="24" t="s">
        <v>211</v>
      </c>
      <c r="AA79" s="28" t="s">
        <v>914</v>
      </c>
      <c r="AB79" s="24" t="s">
        <v>209</v>
      </c>
      <c r="AC79" s="30" t="s">
        <v>210</v>
      </c>
      <c r="AD79" s="30" t="s">
        <v>211</v>
      </c>
      <c r="AE79" s="36">
        <v>43538</v>
      </c>
    </row>
    <row r="80" spans="1:31" ht="15.75" x14ac:dyDescent="0.25">
      <c r="A80" s="23" t="s">
        <v>34</v>
      </c>
      <c r="B80" s="24" t="s">
        <v>491</v>
      </c>
      <c r="C80" s="24" t="s">
        <v>492</v>
      </c>
      <c r="D80" s="24" t="s">
        <v>363</v>
      </c>
      <c r="E80" s="29">
        <v>10924</v>
      </c>
      <c r="F80" s="24" t="s">
        <v>402</v>
      </c>
      <c r="G80" s="24" t="s">
        <v>236</v>
      </c>
      <c r="H80" s="24" t="s">
        <v>208</v>
      </c>
      <c r="I80" s="25">
        <v>86.758620689655203</v>
      </c>
      <c r="J80" s="26">
        <v>28.338658146964853</v>
      </c>
      <c r="K80" s="26">
        <v>23.054313099041529</v>
      </c>
      <c r="L80" s="26">
        <v>38.507987220447305</v>
      </c>
      <c r="M80" s="26">
        <v>17.431309904153363</v>
      </c>
      <c r="N80" s="26">
        <v>67.329073482428129</v>
      </c>
      <c r="O80" s="26">
        <v>38.14376996805111</v>
      </c>
      <c r="P80" s="26">
        <v>0.29392971246006389</v>
      </c>
      <c r="Q80" s="26">
        <v>1.5654952076677315</v>
      </c>
      <c r="R80" s="26">
        <v>23.539936102236425</v>
      </c>
      <c r="S80" s="26">
        <v>15.722044728434508</v>
      </c>
      <c r="T80" s="26">
        <v>29.712460063897762</v>
      </c>
      <c r="U80" s="26">
        <v>38.357827476038324</v>
      </c>
      <c r="V80" s="26">
        <v>47.223642172523952</v>
      </c>
      <c r="W80" s="27"/>
      <c r="X80" s="24" t="s">
        <v>209</v>
      </c>
      <c r="Y80" s="30" t="s">
        <v>345</v>
      </c>
      <c r="Z80" s="24" t="s">
        <v>368</v>
      </c>
      <c r="AA80" s="28" t="s">
        <v>490</v>
      </c>
      <c r="AB80" s="24" t="s">
        <v>209</v>
      </c>
      <c r="AC80" s="30" t="s">
        <v>345</v>
      </c>
      <c r="AD80" s="30" t="s">
        <v>368</v>
      </c>
      <c r="AE80" s="36">
        <v>43209</v>
      </c>
    </row>
    <row r="81" spans="1:31" ht="15.75" x14ac:dyDescent="0.25">
      <c r="A81" s="23" t="s">
        <v>485</v>
      </c>
      <c r="B81" s="24" t="s">
        <v>486</v>
      </c>
      <c r="C81" s="24" t="s">
        <v>33</v>
      </c>
      <c r="D81" s="24" t="s">
        <v>460</v>
      </c>
      <c r="E81" s="29">
        <v>45011</v>
      </c>
      <c r="F81" s="24" t="s">
        <v>461</v>
      </c>
      <c r="G81" s="24" t="s">
        <v>236</v>
      </c>
      <c r="H81" s="24" t="s">
        <v>208</v>
      </c>
      <c r="I81" s="25">
        <v>45.207906295754</v>
      </c>
      <c r="J81" s="26">
        <v>30.993610223642168</v>
      </c>
      <c r="K81" s="26">
        <v>25.830670926517563</v>
      </c>
      <c r="L81" s="26">
        <v>31.070287539936125</v>
      </c>
      <c r="M81" s="26">
        <v>13.926517571884984</v>
      </c>
      <c r="N81" s="26">
        <v>62.750798722044699</v>
      </c>
      <c r="O81" s="26">
        <v>30.939297124600632</v>
      </c>
      <c r="P81" s="26">
        <v>3.4376996805111824</v>
      </c>
      <c r="Q81" s="26">
        <v>4.6932907348242807</v>
      </c>
      <c r="R81" s="26">
        <v>17.341853035143767</v>
      </c>
      <c r="S81" s="26">
        <v>21.303514376996795</v>
      </c>
      <c r="T81" s="26">
        <v>28.584664536741226</v>
      </c>
      <c r="U81" s="26">
        <v>34.591054313099036</v>
      </c>
      <c r="V81" s="26">
        <v>36.878594249201292</v>
      </c>
      <c r="W81" s="27"/>
      <c r="X81" s="24" t="s">
        <v>209</v>
      </c>
      <c r="Y81" s="30" t="s">
        <v>345</v>
      </c>
      <c r="Z81" s="24" t="s">
        <v>368</v>
      </c>
      <c r="AA81" s="28" t="s">
        <v>411</v>
      </c>
      <c r="AB81" s="24" t="s">
        <v>209</v>
      </c>
      <c r="AC81" s="30" t="s">
        <v>345</v>
      </c>
      <c r="AD81" s="30" t="s">
        <v>368</v>
      </c>
      <c r="AE81" s="36">
        <v>43154</v>
      </c>
    </row>
    <row r="82" spans="1:31" ht="15.75" x14ac:dyDescent="0.25">
      <c r="A82" s="23" t="s">
        <v>481</v>
      </c>
      <c r="B82" s="24" t="s">
        <v>482</v>
      </c>
      <c r="C82" s="24" t="s">
        <v>483</v>
      </c>
      <c r="D82" s="24" t="s">
        <v>484</v>
      </c>
      <c r="E82" s="29">
        <v>41005</v>
      </c>
      <c r="F82" s="24" t="s">
        <v>43</v>
      </c>
      <c r="G82" s="24" t="s">
        <v>292</v>
      </c>
      <c r="H82" s="24" t="s">
        <v>208</v>
      </c>
      <c r="I82" s="25">
        <v>40.505913272010503</v>
      </c>
      <c r="J82" s="26">
        <v>24.495207667731648</v>
      </c>
      <c r="K82" s="26">
        <v>15.46964856230033</v>
      </c>
      <c r="L82" s="26">
        <v>32.942492012779525</v>
      </c>
      <c r="M82" s="26">
        <v>28.079872204472839</v>
      </c>
      <c r="N82" s="26">
        <v>75.044728434504748</v>
      </c>
      <c r="O82" s="26">
        <v>23.907348242811519</v>
      </c>
      <c r="P82" s="26">
        <v>1.3514376996805111</v>
      </c>
      <c r="Q82" s="26">
        <v>0.68370607028753982</v>
      </c>
      <c r="R82" s="26">
        <v>28.907348242811501</v>
      </c>
      <c r="S82" s="26">
        <v>27.629392971245998</v>
      </c>
      <c r="T82" s="26">
        <v>20.08306709265177</v>
      </c>
      <c r="U82" s="26">
        <v>24.367412140575095</v>
      </c>
      <c r="V82" s="26">
        <v>49.98402555910544</v>
      </c>
      <c r="W82" s="27"/>
      <c r="X82" s="24" t="s">
        <v>209</v>
      </c>
      <c r="Y82" s="30" t="s">
        <v>345</v>
      </c>
      <c r="Z82" s="24" t="s">
        <v>346</v>
      </c>
      <c r="AA82" s="28" t="s">
        <v>913</v>
      </c>
      <c r="AB82" s="24" t="s">
        <v>209</v>
      </c>
      <c r="AC82" s="30" t="s">
        <v>345</v>
      </c>
      <c r="AD82" s="30" t="s">
        <v>368</v>
      </c>
      <c r="AE82" s="36">
        <v>43531</v>
      </c>
    </row>
    <row r="83" spans="1:31" ht="15.75" x14ac:dyDescent="0.25">
      <c r="A83" s="23" t="s">
        <v>478</v>
      </c>
      <c r="B83" s="24" t="s">
        <v>479</v>
      </c>
      <c r="C83" s="24" t="s">
        <v>480</v>
      </c>
      <c r="D83" s="24" t="s">
        <v>419</v>
      </c>
      <c r="E83" s="29">
        <v>60901</v>
      </c>
      <c r="F83" s="24" t="s">
        <v>43</v>
      </c>
      <c r="G83" s="24" t="s">
        <v>292</v>
      </c>
      <c r="H83" s="24" t="s">
        <v>5</v>
      </c>
      <c r="I83" s="25">
        <v>11.6028368794326</v>
      </c>
      <c r="J83" s="26">
        <v>34.993610223642207</v>
      </c>
      <c r="K83" s="26">
        <v>13.118210862619815</v>
      </c>
      <c r="L83" s="26">
        <v>17.718849840255608</v>
      </c>
      <c r="M83" s="26">
        <v>29.303514376996905</v>
      </c>
      <c r="N83" s="26">
        <v>64.137380191692898</v>
      </c>
      <c r="O83" s="26">
        <v>30.476038338658181</v>
      </c>
      <c r="P83" s="26">
        <v>0.35782747603833859</v>
      </c>
      <c r="Q83" s="26">
        <v>0.16293929712460062</v>
      </c>
      <c r="R83" s="26">
        <v>34.287539936102299</v>
      </c>
      <c r="S83" s="26">
        <v>17.83706070287543</v>
      </c>
      <c r="T83" s="26">
        <v>12.287539936102245</v>
      </c>
      <c r="U83" s="26">
        <v>30.722044728434554</v>
      </c>
      <c r="V83" s="26">
        <v>68.517571884983482</v>
      </c>
      <c r="W83" s="27"/>
      <c r="X83" s="24" t="s">
        <v>209</v>
      </c>
      <c r="Y83" s="30" t="s">
        <v>345</v>
      </c>
      <c r="Z83" s="24" t="s">
        <v>368</v>
      </c>
      <c r="AA83" s="28" t="s">
        <v>383</v>
      </c>
      <c r="AB83" s="24" t="s">
        <v>209</v>
      </c>
      <c r="AC83" s="30" t="s">
        <v>345</v>
      </c>
      <c r="AD83" s="30" t="s">
        <v>368</v>
      </c>
      <c r="AE83" s="36">
        <v>43202</v>
      </c>
    </row>
    <row r="84" spans="1:31" ht="15.75" x14ac:dyDescent="0.25">
      <c r="A84" s="23" t="s">
        <v>487</v>
      </c>
      <c r="B84" s="24" t="s">
        <v>488</v>
      </c>
      <c r="C84" s="24" t="s">
        <v>489</v>
      </c>
      <c r="D84" s="24" t="s">
        <v>465</v>
      </c>
      <c r="E84" s="29">
        <v>53039</v>
      </c>
      <c r="F84" s="24" t="s">
        <v>43</v>
      </c>
      <c r="G84" s="24" t="s">
        <v>292</v>
      </c>
      <c r="H84" s="24" t="s">
        <v>208</v>
      </c>
      <c r="I84" s="25">
        <v>28.455555555555598</v>
      </c>
      <c r="J84" s="26">
        <v>13.341853035143782</v>
      </c>
      <c r="K84" s="26">
        <v>11.067092651757198</v>
      </c>
      <c r="L84" s="26">
        <v>40.396166134185265</v>
      </c>
      <c r="M84" s="26">
        <v>29.760383386581491</v>
      </c>
      <c r="N84" s="26">
        <v>71.134185303514144</v>
      </c>
      <c r="O84" s="26">
        <v>18.424920127795531</v>
      </c>
      <c r="P84" s="26">
        <v>4.3322683706070277</v>
      </c>
      <c r="Q84" s="26">
        <v>0.67412140575079882</v>
      </c>
      <c r="R84" s="26">
        <v>22.78274760383389</v>
      </c>
      <c r="S84" s="26">
        <v>33.156549520766781</v>
      </c>
      <c r="T84" s="26">
        <v>18.517571884984026</v>
      </c>
      <c r="U84" s="26">
        <v>20.108626198083073</v>
      </c>
      <c r="V84" s="26">
        <v>48.095846645367409</v>
      </c>
      <c r="W84" s="27"/>
      <c r="X84" s="24" t="s">
        <v>209</v>
      </c>
      <c r="Y84" s="30" t="s">
        <v>345</v>
      </c>
      <c r="Z84" s="24" t="s">
        <v>368</v>
      </c>
      <c r="AA84" s="28" t="s">
        <v>490</v>
      </c>
      <c r="AB84" s="24" t="s">
        <v>209</v>
      </c>
      <c r="AC84" s="30" t="s">
        <v>345</v>
      </c>
      <c r="AD84" s="30" t="s">
        <v>368</v>
      </c>
      <c r="AE84" s="36">
        <v>43209</v>
      </c>
    </row>
    <row r="85" spans="1:31" ht="15.75" x14ac:dyDescent="0.25">
      <c r="A85" s="23" t="s">
        <v>470</v>
      </c>
      <c r="B85" s="24" t="s">
        <v>471</v>
      </c>
      <c r="C85" s="24" t="s">
        <v>472</v>
      </c>
      <c r="D85" s="24" t="s">
        <v>46</v>
      </c>
      <c r="E85" s="29">
        <v>21863</v>
      </c>
      <c r="F85" s="24" t="s">
        <v>473</v>
      </c>
      <c r="G85" s="24" t="s">
        <v>236</v>
      </c>
      <c r="H85" s="24" t="s">
        <v>208</v>
      </c>
      <c r="I85" s="25">
        <v>77.05</v>
      </c>
      <c r="J85" s="26">
        <v>23.40894568690095</v>
      </c>
      <c r="K85" s="26">
        <v>7.9488817891373786</v>
      </c>
      <c r="L85" s="26">
        <v>22.90095846645368</v>
      </c>
      <c r="M85" s="26">
        <v>35.805111821086264</v>
      </c>
      <c r="N85" s="26">
        <v>57.664536741214029</v>
      </c>
      <c r="O85" s="26">
        <v>26.348242811501592</v>
      </c>
      <c r="P85" s="26">
        <v>3.460063897763578</v>
      </c>
      <c r="Q85" s="26">
        <v>2.591054313099042</v>
      </c>
      <c r="R85" s="26">
        <v>32.511182108626215</v>
      </c>
      <c r="S85" s="26">
        <v>15.319488817891378</v>
      </c>
      <c r="T85" s="26">
        <v>13.4664536741214</v>
      </c>
      <c r="U85" s="26">
        <v>28.766773162939295</v>
      </c>
      <c r="V85" s="26">
        <v>60.418530351437667</v>
      </c>
      <c r="W85" s="27"/>
      <c r="X85" s="24" t="s">
        <v>209</v>
      </c>
      <c r="Y85" s="30" t="s">
        <v>345</v>
      </c>
      <c r="Z85" s="24" t="s">
        <v>368</v>
      </c>
      <c r="AA85" s="28" t="s">
        <v>474</v>
      </c>
      <c r="AB85" s="24" t="s">
        <v>209</v>
      </c>
      <c r="AC85" s="30" t="s">
        <v>345</v>
      </c>
      <c r="AD85" s="30" t="s">
        <v>368</v>
      </c>
      <c r="AE85" s="36">
        <v>43328</v>
      </c>
    </row>
    <row r="86" spans="1:31" ht="15.75" x14ac:dyDescent="0.25">
      <c r="A86" s="23" t="s">
        <v>502</v>
      </c>
      <c r="B86" s="24" t="s">
        <v>503</v>
      </c>
      <c r="C86" s="24" t="s">
        <v>504</v>
      </c>
      <c r="D86" s="24" t="s">
        <v>432</v>
      </c>
      <c r="E86" s="29">
        <v>74647</v>
      </c>
      <c r="F86" s="24" t="s">
        <v>314</v>
      </c>
      <c r="G86" s="24" t="s">
        <v>236</v>
      </c>
      <c r="H86" s="24" t="s">
        <v>11</v>
      </c>
      <c r="I86" s="25">
        <v>77.581325301204799</v>
      </c>
      <c r="J86" s="26">
        <v>57.182108626198051</v>
      </c>
      <c r="K86" s="26">
        <v>17.642172523961662</v>
      </c>
      <c r="L86" s="26">
        <v>6.8849840255591053</v>
      </c>
      <c r="M86" s="26">
        <v>6.4920127795527174</v>
      </c>
      <c r="N86" s="26">
        <v>18.415335463258788</v>
      </c>
      <c r="O86" s="26">
        <v>7.5910543130990442</v>
      </c>
      <c r="P86" s="26">
        <v>13.808306709265178</v>
      </c>
      <c r="Q86" s="26">
        <v>48.386581469648519</v>
      </c>
      <c r="R86" s="26">
        <v>11.584664536741215</v>
      </c>
      <c r="S86" s="26">
        <v>7.5463258785942493</v>
      </c>
      <c r="T86" s="26">
        <v>13.092651757188495</v>
      </c>
      <c r="U86" s="26">
        <v>55.977635782747562</v>
      </c>
      <c r="V86" s="26">
        <v>38.690095846645384</v>
      </c>
      <c r="W86" s="27"/>
      <c r="X86" s="24" t="s">
        <v>209</v>
      </c>
      <c r="Y86" s="30" t="s">
        <v>210</v>
      </c>
      <c r="Z86" s="24" t="s">
        <v>211</v>
      </c>
      <c r="AA86" s="28" t="s">
        <v>289</v>
      </c>
      <c r="AB86" s="24" t="s">
        <v>238</v>
      </c>
      <c r="AC86" s="30"/>
      <c r="AD86" s="30"/>
      <c r="AE86" s="36"/>
    </row>
    <row r="87" spans="1:31" ht="15.75" x14ac:dyDescent="0.25">
      <c r="A87" s="23" t="s">
        <v>505</v>
      </c>
      <c r="B87" s="24" t="s">
        <v>506</v>
      </c>
      <c r="C87" s="24" t="s">
        <v>507</v>
      </c>
      <c r="D87" s="24" t="s">
        <v>329</v>
      </c>
      <c r="E87" s="29">
        <v>32327</v>
      </c>
      <c r="F87" s="24" t="s">
        <v>36</v>
      </c>
      <c r="G87" s="24" t="s">
        <v>236</v>
      </c>
      <c r="H87" s="24" t="s">
        <v>5</v>
      </c>
      <c r="I87" s="25">
        <v>37.5811594202899</v>
      </c>
      <c r="J87" s="26">
        <v>10.798722044728439</v>
      </c>
      <c r="K87" s="26">
        <v>10.846645367412151</v>
      </c>
      <c r="L87" s="26">
        <v>26.159744408945702</v>
      </c>
      <c r="M87" s="26">
        <v>34.769968051118212</v>
      </c>
      <c r="N87" s="26">
        <v>65.990415335463197</v>
      </c>
      <c r="O87" s="26">
        <v>16.584664536741219</v>
      </c>
      <c r="P87" s="26">
        <v>0</v>
      </c>
      <c r="Q87" s="26">
        <v>0</v>
      </c>
      <c r="R87" s="26">
        <v>41.750798722044699</v>
      </c>
      <c r="S87" s="26">
        <v>14.083067092651763</v>
      </c>
      <c r="T87" s="26">
        <v>10.603833865814698</v>
      </c>
      <c r="U87" s="26">
        <v>16.137380191693293</v>
      </c>
      <c r="V87" s="26">
        <v>71.04792332268363</v>
      </c>
      <c r="W87" s="27"/>
      <c r="X87" s="24" t="s">
        <v>209</v>
      </c>
      <c r="Y87" s="30" t="s">
        <v>345</v>
      </c>
      <c r="Z87" s="24" t="s">
        <v>368</v>
      </c>
      <c r="AA87" s="28" t="s">
        <v>352</v>
      </c>
      <c r="AB87" s="24" t="s">
        <v>209</v>
      </c>
      <c r="AC87" s="30" t="s">
        <v>345</v>
      </c>
      <c r="AD87" s="30" t="s">
        <v>368</v>
      </c>
      <c r="AE87" s="36">
        <v>43447</v>
      </c>
    </row>
    <row r="88" spans="1:31" ht="15.75" x14ac:dyDescent="0.25">
      <c r="A88" s="23" t="s">
        <v>7</v>
      </c>
      <c r="B88" s="24" t="s">
        <v>493</v>
      </c>
      <c r="C88" s="24" t="s">
        <v>494</v>
      </c>
      <c r="D88" s="24" t="s">
        <v>234</v>
      </c>
      <c r="E88" s="29">
        <v>70655</v>
      </c>
      <c r="F88" s="24" t="s">
        <v>235</v>
      </c>
      <c r="G88" s="24" t="s">
        <v>236</v>
      </c>
      <c r="H88" s="24" t="s">
        <v>5</v>
      </c>
      <c r="I88" s="25">
        <v>75.959183673469397</v>
      </c>
      <c r="J88" s="26">
        <v>44.715654952076662</v>
      </c>
      <c r="K88" s="26">
        <v>31.955271565495224</v>
      </c>
      <c r="L88" s="26">
        <v>2.2108626198083061</v>
      </c>
      <c r="M88" s="26">
        <v>1.0447284345047922</v>
      </c>
      <c r="N88" s="26">
        <v>13.492012779552724</v>
      </c>
      <c r="O88" s="26">
        <v>66.434504792332319</v>
      </c>
      <c r="P88" s="26">
        <v>0</v>
      </c>
      <c r="Q88" s="26">
        <v>0</v>
      </c>
      <c r="R88" s="26">
        <v>3.2843450479233223</v>
      </c>
      <c r="S88" s="26">
        <v>1.1182108626198084</v>
      </c>
      <c r="T88" s="26">
        <v>9.7412140575079906</v>
      </c>
      <c r="U88" s="26">
        <v>65.782747603833897</v>
      </c>
      <c r="V88" s="26">
        <v>43.214057507987199</v>
      </c>
      <c r="W88" s="27"/>
      <c r="X88" s="24" t="s">
        <v>209</v>
      </c>
      <c r="Y88" s="30" t="s">
        <v>210</v>
      </c>
      <c r="Z88" s="24" t="s">
        <v>211</v>
      </c>
      <c r="AA88" s="28" t="s">
        <v>495</v>
      </c>
      <c r="AB88" s="24" t="s">
        <v>209</v>
      </c>
      <c r="AC88" s="30" t="s">
        <v>210</v>
      </c>
      <c r="AD88" s="30" t="s">
        <v>374</v>
      </c>
      <c r="AE88" s="36">
        <v>43510</v>
      </c>
    </row>
    <row r="89" spans="1:31" ht="15.75" x14ac:dyDescent="0.25">
      <c r="A89" s="23" t="s">
        <v>31</v>
      </c>
      <c r="B89" s="24" t="s">
        <v>501</v>
      </c>
      <c r="C89" s="24" t="s">
        <v>370</v>
      </c>
      <c r="D89" s="24" t="s">
        <v>222</v>
      </c>
      <c r="E89" s="29">
        <v>78046</v>
      </c>
      <c r="F89" s="24" t="s">
        <v>223</v>
      </c>
      <c r="G89" s="24" t="s">
        <v>207</v>
      </c>
      <c r="H89" s="24" t="s">
        <v>208</v>
      </c>
      <c r="I89" s="25">
        <v>38.527932960893899</v>
      </c>
      <c r="J89" s="26">
        <v>27.533546325878596</v>
      </c>
      <c r="K89" s="26">
        <v>3.3738019169329081</v>
      </c>
      <c r="L89" s="26">
        <v>13.916932907348233</v>
      </c>
      <c r="M89" s="26">
        <v>33.466453674121432</v>
      </c>
      <c r="N89" s="26">
        <v>35.383386581469651</v>
      </c>
      <c r="O89" s="26">
        <v>37.277955271565482</v>
      </c>
      <c r="P89" s="26">
        <v>2.8210862619808301</v>
      </c>
      <c r="Q89" s="26">
        <v>2.8083067092651763</v>
      </c>
      <c r="R89" s="26">
        <v>16.757188498402563</v>
      </c>
      <c r="S89" s="26">
        <v>9.4089456869009567</v>
      </c>
      <c r="T89" s="26">
        <v>11.971246006389777</v>
      </c>
      <c r="U89" s="26">
        <v>40.153354632587835</v>
      </c>
      <c r="V89" s="26">
        <v>48.223642172523988</v>
      </c>
      <c r="W89" s="27"/>
      <c r="X89" s="24" t="s">
        <v>209</v>
      </c>
      <c r="Y89" s="30" t="s">
        <v>210</v>
      </c>
      <c r="Z89" s="24" t="s">
        <v>211</v>
      </c>
      <c r="AA89" s="28" t="s">
        <v>249</v>
      </c>
      <c r="AB89" s="24" t="s">
        <v>209</v>
      </c>
      <c r="AC89" s="30" t="s">
        <v>210</v>
      </c>
      <c r="AD89" s="30" t="s">
        <v>211</v>
      </c>
      <c r="AE89" s="36">
        <v>43503</v>
      </c>
    </row>
    <row r="90" spans="1:31" ht="15.75" x14ac:dyDescent="0.25">
      <c r="A90" s="23" t="s">
        <v>512</v>
      </c>
      <c r="B90" s="24" t="s">
        <v>513</v>
      </c>
      <c r="C90" s="24" t="s">
        <v>514</v>
      </c>
      <c r="D90" s="24" t="s">
        <v>515</v>
      </c>
      <c r="E90" s="29">
        <v>3820</v>
      </c>
      <c r="F90" s="24" t="s">
        <v>394</v>
      </c>
      <c r="G90" s="24" t="s">
        <v>236</v>
      </c>
      <c r="H90" s="24" t="s">
        <v>208</v>
      </c>
      <c r="I90" s="25">
        <v>18.382696804364802</v>
      </c>
      <c r="J90" s="26">
        <v>26.488817891373824</v>
      </c>
      <c r="K90" s="26">
        <v>8.5942492012779557</v>
      </c>
      <c r="L90" s="26">
        <v>18.546325878594242</v>
      </c>
      <c r="M90" s="26">
        <v>24.619808306709299</v>
      </c>
      <c r="N90" s="26">
        <v>39.351437699680623</v>
      </c>
      <c r="O90" s="26">
        <v>30.220447284345095</v>
      </c>
      <c r="P90" s="26">
        <v>4.3642172523961662</v>
      </c>
      <c r="Q90" s="26">
        <v>4.3130990415335448</v>
      </c>
      <c r="R90" s="26">
        <v>25.795527156549579</v>
      </c>
      <c r="S90" s="26">
        <v>8.8019169329073446</v>
      </c>
      <c r="T90" s="26">
        <v>9.3194888178913722</v>
      </c>
      <c r="U90" s="26">
        <v>34.332268370607082</v>
      </c>
      <c r="V90" s="26">
        <v>53.581469648562546</v>
      </c>
      <c r="W90" s="27"/>
      <c r="X90" s="24" t="s">
        <v>209</v>
      </c>
      <c r="Y90" s="30" t="s">
        <v>293</v>
      </c>
      <c r="Z90" s="24" t="s">
        <v>211</v>
      </c>
      <c r="AA90" s="28" t="s">
        <v>298</v>
      </c>
      <c r="AB90" s="24" t="s">
        <v>209</v>
      </c>
      <c r="AC90" s="30" t="s">
        <v>293</v>
      </c>
      <c r="AD90" s="30" t="s">
        <v>211</v>
      </c>
      <c r="AE90" s="36">
        <v>43447</v>
      </c>
    </row>
    <row r="91" spans="1:31" ht="15.75" x14ac:dyDescent="0.25">
      <c r="A91" s="23" t="s">
        <v>517</v>
      </c>
      <c r="B91" s="24" t="s">
        <v>518</v>
      </c>
      <c r="C91" s="24" t="s">
        <v>446</v>
      </c>
      <c r="D91" s="24" t="s">
        <v>440</v>
      </c>
      <c r="E91" s="29">
        <v>89060</v>
      </c>
      <c r="F91" s="24" t="s">
        <v>441</v>
      </c>
      <c r="G91" s="24" t="s">
        <v>236</v>
      </c>
      <c r="H91" s="24" t="s">
        <v>208</v>
      </c>
      <c r="I91" s="25">
        <v>47.983957219251302</v>
      </c>
      <c r="J91" s="26">
        <v>20.019169329073488</v>
      </c>
      <c r="K91" s="26">
        <v>6.2300319488817903</v>
      </c>
      <c r="L91" s="26">
        <v>22.642172523961666</v>
      </c>
      <c r="M91" s="26">
        <v>27.821086261980838</v>
      </c>
      <c r="N91" s="26">
        <v>52.709265175718826</v>
      </c>
      <c r="O91" s="26">
        <v>24.003194888178918</v>
      </c>
      <c r="P91" s="26">
        <v>0</v>
      </c>
      <c r="Q91" s="26">
        <v>0</v>
      </c>
      <c r="R91" s="26">
        <v>29.843450479233233</v>
      </c>
      <c r="S91" s="26">
        <v>13.920127795527165</v>
      </c>
      <c r="T91" s="26">
        <v>8.6549520766773131</v>
      </c>
      <c r="U91" s="26">
        <v>24.293929712460066</v>
      </c>
      <c r="V91" s="26">
        <v>52.68051118210856</v>
      </c>
      <c r="W91" s="27"/>
      <c r="X91" s="24" t="s">
        <v>209</v>
      </c>
      <c r="Y91" s="30" t="s">
        <v>345</v>
      </c>
      <c r="Z91" s="24" t="s">
        <v>368</v>
      </c>
      <c r="AA91" s="28" t="s">
        <v>495</v>
      </c>
      <c r="AB91" s="24" t="s">
        <v>209</v>
      </c>
      <c r="AC91" s="30" t="s">
        <v>345</v>
      </c>
      <c r="AD91" s="30" t="s">
        <v>390</v>
      </c>
      <c r="AE91" s="36">
        <v>43616</v>
      </c>
    </row>
    <row r="92" spans="1:31" ht="15.75" x14ac:dyDescent="0.25">
      <c r="A92" s="23" t="s">
        <v>497</v>
      </c>
      <c r="B92" s="24" t="s">
        <v>498</v>
      </c>
      <c r="C92" s="24" t="s">
        <v>499</v>
      </c>
      <c r="D92" s="24" t="s">
        <v>500</v>
      </c>
      <c r="E92" s="29">
        <v>2863</v>
      </c>
      <c r="F92" s="24" t="s">
        <v>394</v>
      </c>
      <c r="G92" s="24" t="s">
        <v>292</v>
      </c>
      <c r="H92" s="24" t="s">
        <v>5</v>
      </c>
      <c r="I92" s="25">
        <v>71.107611548556406</v>
      </c>
      <c r="J92" s="26">
        <v>23.693290734824281</v>
      </c>
      <c r="K92" s="26">
        <v>4.9808306709265171</v>
      </c>
      <c r="L92" s="26">
        <v>14.738019169329073</v>
      </c>
      <c r="M92" s="26">
        <v>32.939297124600635</v>
      </c>
      <c r="N92" s="26">
        <v>41.063897763578261</v>
      </c>
      <c r="O92" s="26">
        <v>35.287539936102228</v>
      </c>
      <c r="P92" s="26">
        <v>0</v>
      </c>
      <c r="Q92" s="26">
        <v>0</v>
      </c>
      <c r="R92" s="26">
        <v>26.383386581469647</v>
      </c>
      <c r="S92" s="26">
        <v>6.7923322683706076</v>
      </c>
      <c r="T92" s="26">
        <v>7.8881789137380185</v>
      </c>
      <c r="U92" s="26">
        <v>35.287539936102228</v>
      </c>
      <c r="V92" s="26">
        <v>42.070287539936075</v>
      </c>
      <c r="W92" s="27"/>
      <c r="X92" s="24" t="s">
        <v>209</v>
      </c>
      <c r="Y92" s="30" t="s">
        <v>345</v>
      </c>
      <c r="Z92" s="24" t="s">
        <v>368</v>
      </c>
      <c r="AA92" s="28" t="s">
        <v>383</v>
      </c>
      <c r="AB92" s="24" t="s">
        <v>209</v>
      </c>
      <c r="AC92" s="30" t="s">
        <v>345</v>
      </c>
      <c r="AD92" s="30" t="s">
        <v>390</v>
      </c>
      <c r="AE92" s="36">
        <v>42670</v>
      </c>
    </row>
    <row r="93" spans="1:31" ht="15.75" x14ac:dyDescent="0.25">
      <c r="A93" s="23" t="s">
        <v>530</v>
      </c>
      <c r="B93" s="24" t="s">
        <v>531</v>
      </c>
      <c r="C93" s="24" t="s">
        <v>532</v>
      </c>
      <c r="D93" s="24" t="s">
        <v>350</v>
      </c>
      <c r="E93" s="29">
        <v>17745</v>
      </c>
      <c r="F93" s="24" t="s">
        <v>351</v>
      </c>
      <c r="G93" s="24" t="s">
        <v>292</v>
      </c>
      <c r="H93" s="24" t="s">
        <v>5</v>
      </c>
      <c r="I93" s="25">
        <v>29.7895408163265</v>
      </c>
      <c r="J93" s="26">
        <v>2.3514376996805111</v>
      </c>
      <c r="K93" s="26">
        <v>18.568690095846648</v>
      </c>
      <c r="L93" s="26">
        <v>35.421725239616627</v>
      </c>
      <c r="M93" s="26">
        <v>18.479233226837067</v>
      </c>
      <c r="N93" s="26">
        <v>73.798722044728294</v>
      </c>
      <c r="O93" s="26">
        <v>1.0223642172523963</v>
      </c>
      <c r="P93" s="26">
        <v>0</v>
      </c>
      <c r="Q93" s="26">
        <v>0</v>
      </c>
      <c r="R93" s="26">
        <v>52.971246006389663</v>
      </c>
      <c r="S93" s="26">
        <v>18.65814696485624</v>
      </c>
      <c r="T93" s="26">
        <v>2.2012779552715651</v>
      </c>
      <c r="U93" s="26">
        <v>0.99041533546325877</v>
      </c>
      <c r="V93" s="26">
        <v>71.69329073482416</v>
      </c>
      <c r="W93" s="27"/>
      <c r="X93" s="24" t="s">
        <v>209</v>
      </c>
      <c r="Y93" s="30" t="s">
        <v>345</v>
      </c>
      <c r="Z93" s="24" t="s">
        <v>346</v>
      </c>
      <c r="AA93" s="28" t="s">
        <v>246</v>
      </c>
      <c r="AB93" s="24" t="s">
        <v>209</v>
      </c>
      <c r="AC93" s="30" t="s">
        <v>345</v>
      </c>
      <c r="AD93" s="30" t="s">
        <v>368</v>
      </c>
      <c r="AE93" s="36">
        <v>43412</v>
      </c>
    </row>
    <row r="94" spans="1:31" ht="15.75" x14ac:dyDescent="0.25">
      <c r="A94" s="23" t="s">
        <v>526</v>
      </c>
      <c r="B94" s="24" t="s">
        <v>527</v>
      </c>
      <c r="C94" s="24" t="s">
        <v>528</v>
      </c>
      <c r="D94" s="24" t="s">
        <v>529</v>
      </c>
      <c r="E94" s="29">
        <v>66845</v>
      </c>
      <c r="F94" s="24" t="s">
        <v>43</v>
      </c>
      <c r="G94" s="24" t="s">
        <v>236</v>
      </c>
      <c r="H94" s="24" t="s">
        <v>208</v>
      </c>
      <c r="I94" s="25">
        <v>36.955555555555598</v>
      </c>
      <c r="J94" s="26">
        <v>7.4281150159744413</v>
      </c>
      <c r="K94" s="26">
        <v>33.805111821086278</v>
      </c>
      <c r="L94" s="26">
        <v>21.658146964856229</v>
      </c>
      <c r="M94" s="26">
        <v>6.3130990415335457</v>
      </c>
      <c r="N94" s="26">
        <v>45.204472843450475</v>
      </c>
      <c r="O94" s="26">
        <v>21.214057507987221</v>
      </c>
      <c r="P94" s="26">
        <v>2.0830670926517572</v>
      </c>
      <c r="Q94" s="26">
        <v>0.7028753993610225</v>
      </c>
      <c r="R94" s="26">
        <v>20.833865814696495</v>
      </c>
      <c r="S94" s="26">
        <v>12.194888178913743</v>
      </c>
      <c r="T94" s="26">
        <v>14.246006389776364</v>
      </c>
      <c r="U94" s="26">
        <v>21.92971246006389</v>
      </c>
      <c r="V94" s="26">
        <v>46.805111821086378</v>
      </c>
      <c r="W94" s="27"/>
      <c r="X94" s="24" t="s">
        <v>209</v>
      </c>
      <c r="Y94" s="30" t="s">
        <v>345</v>
      </c>
      <c r="Z94" s="24" t="s">
        <v>368</v>
      </c>
      <c r="AA94" s="28" t="s">
        <v>523</v>
      </c>
      <c r="AB94" s="24" t="s">
        <v>209</v>
      </c>
      <c r="AC94" s="30" t="s">
        <v>345</v>
      </c>
      <c r="AD94" s="30" t="s">
        <v>368</v>
      </c>
      <c r="AE94" s="36">
        <v>43293</v>
      </c>
    </row>
    <row r="95" spans="1:31" ht="15.75" x14ac:dyDescent="0.25">
      <c r="A95" s="23" t="s">
        <v>508</v>
      </c>
      <c r="B95" s="24" t="s">
        <v>509</v>
      </c>
      <c r="C95" s="24" t="s">
        <v>510</v>
      </c>
      <c r="D95" s="24" t="s">
        <v>222</v>
      </c>
      <c r="E95" s="29">
        <v>79521</v>
      </c>
      <c r="F95" s="24" t="s">
        <v>314</v>
      </c>
      <c r="G95" s="24" t="s">
        <v>292</v>
      </c>
      <c r="H95" s="24" t="s">
        <v>208</v>
      </c>
      <c r="I95" s="25">
        <v>48.685925925925901</v>
      </c>
      <c r="J95" s="26">
        <v>43.527156549520754</v>
      </c>
      <c r="K95" s="26">
        <v>11.083067092651758</v>
      </c>
      <c r="L95" s="26">
        <v>8.6389776357827532</v>
      </c>
      <c r="M95" s="26">
        <v>5.5463258785942466</v>
      </c>
      <c r="N95" s="26">
        <v>19.686900958466438</v>
      </c>
      <c r="O95" s="26">
        <v>5.7380191693290739</v>
      </c>
      <c r="P95" s="26">
        <v>7.7571884984025559</v>
      </c>
      <c r="Q95" s="26">
        <v>35.613418530351403</v>
      </c>
      <c r="R95" s="26">
        <v>13.300319488817886</v>
      </c>
      <c r="S95" s="26">
        <v>6.3099041533546307</v>
      </c>
      <c r="T95" s="26">
        <v>7.8019169329073463</v>
      </c>
      <c r="U95" s="26">
        <v>41.383386581469608</v>
      </c>
      <c r="V95" s="26">
        <v>36.610223642172485</v>
      </c>
      <c r="W95" s="27"/>
      <c r="X95" s="24" t="s">
        <v>209</v>
      </c>
      <c r="Y95" s="30" t="s">
        <v>345</v>
      </c>
      <c r="Z95" s="24" t="s">
        <v>368</v>
      </c>
      <c r="AA95" s="28" t="s">
        <v>511</v>
      </c>
      <c r="AB95" s="24" t="s">
        <v>209</v>
      </c>
      <c r="AC95" s="30" t="s">
        <v>210</v>
      </c>
      <c r="AD95" s="30" t="s">
        <v>211</v>
      </c>
      <c r="AE95" s="36">
        <v>42775</v>
      </c>
    </row>
    <row r="96" spans="1:31" ht="15.75" x14ac:dyDescent="0.25">
      <c r="A96" s="23" t="s">
        <v>519</v>
      </c>
      <c r="B96" s="24" t="s">
        <v>520</v>
      </c>
      <c r="C96" s="24" t="s">
        <v>521</v>
      </c>
      <c r="D96" s="24" t="s">
        <v>522</v>
      </c>
      <c r="E96" s="29">
        <v>68801</v>
      </c>
      <c r="F96" s="24" t="s">
        <v>398</v>
      </c>
      <c r="G96" s="24" t="s">
        <v>236</v>
      </c>
      <c r="H96" s="24" t="s">
        <v>208</v>
      </c>
      <c r="I96" s="25">
        <v>50.292343387471</v>
      </c>
      <c r="J96" s="26">
        <v>10.690095846645375</v>
      </c>
      <c r="K96" s="26">
        <v>13.233226837060702</v>
      </c>
      <c r="L96" s="26">
        <v>21.811501597444103</v>
      </c>
      <c r="M96" s="26">
        <v>16.469648562300318</v>
      </c>
      <c r="N96" s="26">
        <v>50.025559105431284</v>
      </c>
      <c r="O96" s="26">
        <v>7.2747603833865817</v>
      </c>
      <c r="P96" s="26">
        <v>4.2747603833865817</v>
      </c>
      <c r="Q96" s="26">
        <v>0.62939297124600635</v>
      </c>
      <c r="R96" s="26">
        <v>18.130990415335464</v>
      </c>
      <c r="S96" s="26">
        <v>23.258785942492022</v>
      </c>
      <c r="T96" s="26">
        <v>13.191693290734825</v>
      </c>
      <c r="U96" s="26">
        <v>7.6230031948881791</v>
      </c>
      <c r="V96" s="26">
        <v>39.776357827476048</v>
      </c>
      <c r="W96" s="27"/>
      <c r="X96" s="24" t="s">
        <v>209</v>
      </c>
      <c r="Y96" s="30" t="s">
        <v>345</v>
      </c>
      <c r="Z96" s="24" t="s">
        <v>368</v>
      </c>
      <c r="AA96" s="28" t="s">
        <v>523</v>
      </c>
      <c r="AB96" s="24" t="s">
        <v>209</v>
      </c>
      <c r="AC96" s="30" t="s">
        <v>345</v>
      </c>
      <c r="AD96" s="30" t="s">
        <v>368</v>
      </c>
      <c r="AE96" s="36">
        <v>43293</v>
      </c>
    </row>
    <row r="97" spans="1:31" ht="15.75" x14ac:dyDescent="0.25">
      <c r="A97" s="23" t="s">
        <v>30</v>
      </c>
      <c r="B97" s="24" t="s">
        <v>496</v>
      </c>
      <c r="C97" s="24" t="s">
        <v>44</v>
      </c>
      <c r="D97" s="24" t="s">
        <v>273</v>
      </c>
      <c r="E97" s="29">
        <v>87021</v>
      </c>
      <c r="F97" s="24" t="s">
        <v>274</v>
      </c>
      <c r="G97" s="24" t="s">
        <v>236</v>
      </c>
      <c r="H97" s="24" t="s">
        <v>5</v>
      </c>
      <c r="I97" s="25">
        <v>39.787234042553202</v>
      </c>
      <c r="J97" s="26">
        <v>42.146964856230049</v>
      </c>
      <c r="K97" s="26">
        <v>13.456869009584674</v>
      </c>
      <c r="L97" s="26">
        <v>2.2939297124600633</v>
      </c>
      <c r="M97" s="26">
        <v>1.9520766773162939</v>
      </c>
      <c r="N97" s="26">
        <v>22.073482428115028</v>
      </c>
      <c r="O97" s="26">
        <v>37.402555910543171</v>
      </c>
      <c r="P97" s="26">
        <v>0.25239616613418531</v>
      </c>
      <c r="Q97" s="26">
        <v>0.12140575079872204</v>
      </c>
      <c r="R97" s="26">
        <v>2.6837060702875397</v>
      </c>
      <c r="S97" s="26">
        <v>2.2140575079872207</v>
      </c>
      <c r="T97" s="26">
        <v>18.246006389776358</v>
      </c>
      <c r="U97" s="26">
        <v>36.706070287539987</v>
      </c>
      <c r="V97" s="26">
        <v>48.821086261980795</v>
      </c>
      <c r="W97" s="27">
        <v>150</v>
      </c>
      <c r="X97" s="24" t="s">
        <v>209</v>
      </c>
      <c r="Y97" s="30" t="s">
        <v>210</v>
      </c>
      <c r="Z97" s="24" t="s">
        <v>211</v>
      </c>
      <c r="AA97" s="28" t="s">
        <v>219</v>
      </c>
      <c r="AB97" s="24" t="s">
        <v>209</v>
      </c>
      <c r="AC97" s="30" t="s">
        <v>210</v>
      </c>
      <c r="AD97" s="30" t="s">
        <v>211</v>
      </c>
      <c r="AE97" s="36">
        <v>43230</v>
      </c>
    </row>
    <row r="98" spans="1:31" ht="15.75" x14ac:dyDescent="0.25">
      <c r="A98" s="23" t="s">
        <v>564</v>
      </c>
      <c r="B98" s="24" t="s">
        <v>565</v>
      </c>
      <c r="C98" s="24" t="s">
        <v>566</v>
      </c>
      <c r="D98" s="24" t="s">
        <v>397</v>
      </c>
      <c r="E98" s="29">
        <v>56007</v>
      </c>
      <c r="F98" s="24" t="s">
        <v>398</v>
      </c>
      <c r="G98" s="24" t="s">
        <v>236</v>
      </c>
      <c r="H98" s="24" t="s">
        <v>5</v>
      </c>
      <c r="I98" s="25">
        <v>41.623711340206199</v>
      </c>
      <c r="J98" s="26">
        <v>6.0862619808306766</v>
      </c>
      <c r="K98" s="26">
        <v>9.6102236421725244</v>
      </c>
      <c r="L98" s="26">
        <v>22.741214057507992</v>
      </c>
      <c r="M98" s="26">
        <v>19.929712460063904</v>
      </c>
      <c r="N98" s="26">
        <v>45.214057507987249</v>
      </c>
      <c r="O98" s="26">
        <v>13.115015974440899</v>
      </c>
      <c r="P98" s="26">
        <v>3.8338658146964855E-2</v>
      </c>
      <c r="Q98" s="26">
        <v>0</v>
      </c>
      <c r="R98" s="26">
        <v>20.734824281150168</v>
      </c>
      <c r="S98" s="26">
        <v>15.485623003194888</v>
      </c>
      <c r="T98" s="26">
        <v>9.0990415335463286</v>
      </c>
      <c r="U98" s="26">
        <v>13.047923322683712</v>
      </c>
      <c r="V98" s="26">
        <v>43.073482428115</v>
      </c>
      <c r="W98" s="27"/>
      <c r="X98" s="24" t="s">
        <v>209</v>
      </c>
      <c r="Y98" s="30" t="s">
        <v>345</v>
      </c>
      <c r="Z98" s="24" t="s">
        <v>368</v>
      </c>
      <c r="AA98" s="28" t="s">
        <v>490</v>
      </c>
      <c r="AB98" s="24" t="s">
        <v>209</v>
      </c>
      <c r="AC98" s="30" t="s">
        <v>345</v>
      </c>
      <c r="AD98" s="30" t="s">
        <v>368</v>
      </c>
      <c r="AE98" s="36">
        <v>43202</v>
      </c>
    </row>
    <row r="99" spans="1:31" ht="15.75" x14ac:dyDescent="0.25">
      <c r="A99" s="23" t="s">
        <v>567</v>
      </c>
      <c r="B99" s="24" t="s">
        <v>568</v>
      </c>
      <c r="C99" s="24" t="s">
        <v>14</v>
      </c>
      <c r="D99" s="24" t="s">
        <v>569</v>
      </c>
      <c r="E99" s="29">
        <v>47834</v>
      </c>
      <c r="F99" s="24" t="s">
        <v>43</v>
      </c>
      <c r="G99" s="24" t="s">
        <v>292</v>
      </c>
      <c r="H99" s="24" t="s">
        <v>5</v>
      </c>
      <c r="I99" s="25">
        <v>8.8889496717724299</v>
      </c>
      <c r="J99" s="26">
        <v>16.166134185303559</v>
      </c>
      <c r="K99" s="26">
        <v>7.801916932907357</v>
      </c>
      <c r="L99" s="26">
        <v>17.20127795527161</v>
      </c>
      <c r="M99" s="26">
        <v>13.162939297124634</v>
      </c>
      <c r="N99" s="26">
        <v>34.629392971246141</v>
      </c>
      <c r="O99" s="26">
        <v>17.690095846645409</v>
      </c>
      <c r="P99" s="26">
        <v>1.2587859424920127</v>
      </c>
      <c r="Q99" s="26">
        <v>0.75399361022364231</v>
      </c>
      <c r="R99" s="26">
        <v>13.207667731629423</v>
      </c>
      <c r="S99" s="26">
        <v>10.763578274760416</v>
      </c>
      <c r="T99" s="26">
        <v>12.009584664536769</v>
      </c>
      <c r="U99" s="26">
        <v>18.351437699680556</v>
      </c>
      <c r="V99" s="26">
        <v>28.5207667731631</v>
      </c>
      <c r="W99" s="27"/>
      <c r="X99" s="24" t="s">
        <v>209</v>
      </c>
      <c r="Y99" s="30" t="s">
        <v>293</v>
      </c>
      <c r="Z99" s="24" t="s">
        <v>211</v>
      </c>
      <c r="AA99" s="28" t="s">
        <v>415</v>
      </c>
      <c r="AB99" s="24" t="s">
        <v>209</v>
      </c>
      <c r="AC99" s="30" t="s">
        <v>293</v>
      </c>
      <c r="AD99" s="30" t="s">
        <v>211</v>
      </c>
      <c r="AE99" s="36">
        <v>43252</v>
      </c>
    </row>
    <row r="100" spans="1:31" ht="15.75" x14ac:dyDescent="0.25">
      <c r="A100" s="23" t="s">
        <v>26</v>
      </c>
      <c r="B100" s="24" t="s">
        <v>524</v>
      </c>
      <c r="C100" s="24" t="s">
        <v>525</v>
      </c>
      <c r="D100" s="24" t="s">
        <v>469</v>
      </c>
      <c r="E100" s="29">
        <v>48161</v>
      </c>
      <c r="F100" s="24" t="s">
        <v>461</v>
      </c>
      <c r="G100" s="24" t="s">
        <v>236</v>
      </c>
      <c r="H100" s="24" t="s">
        <v>5</v>
      </c>
      <c r="I100" s="25">
        <v>20.821339950372199</v>
      </c>
      <c r="J100" s="26">
        <v>19.507987220447337</v>
      </c>
      <c r="K100" s="26">
        <v>24.833865814696495</v>
      </c>
      <c r="L100" s="26">
        <v>6.9073482428114987</v>
      </c>
      <c r="M100" s="26">
        <v>1.7507987220447281</v>
      </c>
      <c r="N100" s="26">
        <v>24.6613418530352</v>
      </c>
      <c r="O100" s="26">
        <v>28.335463258786042</v>
      </c>
      <c r="P100" s="26">
        <v>0</v>
      </c>
      <c r="Q100" s="26">
        <v>3.1948881789137379E-3</v>
      </c>
      <c r="R100" s="26">
        <v>7.48562300319489</v>
      </c>
      <c r="S100" s="26">
        <v>7.6773162939297093</v>
      </c>
      <c r="T100" s="26">
        <v>9.4824281150159688</v>
      </c>
      <c r="U100" s="26">
        <v>28.35463258785952</v>
      </c>
      <c r="V100" s="26">
        <v>31.773162939297293</v>
      </c>
      <c r="W100" s="27"/>
      <c r="X100" s="24" t="s">
        <v>209</v>
      </c>
      <c r="Y100" s="30" t="s">
        <v>345</v>
      </c>
      <c r="Z100" s="24" t="s">
        <v>368</v>
      </c>
      <c r="AA100" s="28" t="s">
        <v>474</v>
      </c>
      <c r="AB100" s="24" t="s">
        <v>209</v>
      </c>
      <c r="AC100" s="30" t="s">
        <v>345</v>
      </c>
      <c r="AD100" s="30" t="s">
        <v>368</v>
      </c>
      <c r="AE100" s="36">
        <v>43328</v>
      </c>
    </row>
    <row r="101" spans="1:31" ht="15.75" x14ac:dyDescent="0.25">
      <c r="A101" s="23" t="s">
        <v>556</v>
      </c>
      <c r="B101" s="24" t="s">
        <v>557</v>
      </c>
      <c r="C101" s="24" t="s">
        <v>558</v>
      </c>
      <c r="D101" s="24" t="s">
        <v>397</v>
      </c>
      <c r="E101" s="29">
        <v>56201</v>
      </c>
      <c r="F101" s="24" t="s">
        <v>398</v>
      </c>
      <c r="G101" s="24" t="s">
        <v>236</v>
      </c>
      <c r="H101" s="24" t="s">
        <v>208</v>
      </c>
      <c r="I101" s="25">
        <v>59.368794326241101</v>
      </c>
      <c r="J101" s="26">
        <v>7.2268370607028745</v>
      </c>
      <c r="K101" s="26">
        <v>5.6709265175718873</v>
      </c>
      <c r="L101" s="26">
        <v>29.555910543131002</v>
      </c>
      <c r="M101" s="26">
        <v>10.40894568690096</v>
      </c>
      <c r="N101" s="26">
        <v>28.019169329073488</v>
      </c>
      <c r="O101" s="26">
        <v>10.70926517571885</v>
      </c>
      <c r="P101" s="26">
        <v>12.348242811501596</v>
      </c>
      <c r="Q101" s="26">
        <v>1.7859424920127798</v>
      </c>
      <c r="R101" s="26">
        <v>26.236421725239612</v>
      </c>
      <c r="S101" s="26">
        <v>6.035143769968049</v>
      </c>
      <c r="T101" s="26">
        <v>8.0798722044728475</v>
      </c>
      <c r="U101" s="26">
        <v>12.511182108626199</v>
      </c>
      <c r="V101" s="26">
        <v>43.677316293929756</v>
      </c>
      <c r="W101" s="27"/>
      <c r="X101" s="24" t="s">
        <v>209</v>
      </c>
      <c r="Y101" s="30" t="s">
        <v>345</v>
      </c>
      <c r="Z101" s="24" t="s">
        <v>368</v>
      </c>
      <c r="AA101" s="28" t="s">
        <v>523</v>
      </c>
      <c r="AB101" s="24" t="s">
        <v>209</v>
      </c>
      <c r="AC101" s="30" t="s">
        <v>345</v>
      </c>
      <c r="AD101" s="30" t="s">
        <v>368</v>
      </c>
      <c r="AE101" s="36">
        <v>43440</v>
      </c>
    </row>
    <row r="102" spans="1:31" ht="15.75" x14ac:dyDescent="0.25">
      <c r="A102" s="23" t="s">
        <v>540</v>
      </c>
      <c r="B102" s="24" t="s">
        <v>541</v>
      </c>
      <c r="C102" s="24" t="s">
        <v>542</v>
      </c>
      <c r="D102" s="24" t="s">
        <v>543</v>
      </c>
      <c r="E102" s="29">
        <v>50627</v>
      </c>
      <c r="F102" s="24" t="s">
        <v>398</v>
      </c>
      <c r="G102" s="24" t="s">
        <v>236</v>
      </c>
      <c r="H102" s="24" t="s">
        <v>208</v>
      </c>
      <c r="I102" s="25">
        <v>36.0052219321149</v>
      </c>
      <c r="J102" s="26">
        <v>8.4057507987220479</v>
      </c>
      <c r="K102" s="26">
        <v>15.549520766773163</v>
      </c>
      <c r="L102" s="26">
        <v>10.329073482428118</v>
      </c>
      <c r="M102" s="26">
        <v>16.955271565495213</v>
      </c>
      <c r="N102" s="26">
        <v>44.287539936102235</v>
      </c>
      <c r="O102" s="26">
        <v>5.8562300319488809</v>
      </c>
      <c r="P102" s="26">
        <v>0.77955271565495199</v>
      </c>
      <c r="Q102" s="26">
        <v>0.31629392971246006</v>
      </c>
      <c r="R102" s="26">
        <v>19.766773162939309</v>
      </c>
      <c r="S102" s="26">
        <v>14.67731629392971</v>
      </c>
      <c r="T102" s="26">
        <v>10.808306709265176</v>
      </c>
      <c r="U102" s="26">
        <v>5.9872204472843435</v>
      </c>
      <c r="V102" s="26">
        <v>34.766773162939309</v>
      </c>
      <c r="W102" s="27"/>
      <c r="X102" s="24" t="s">
        <v>209</v>
      </c>
      <c r="Y102" s="30" t="s">
        <v>345</v>
      </c>
      <c r="Z102" s="24" t="s">
        <v>368</v>
      </c>
      <c r="AA102" s="28" t="s">
        <v>544</v>
      </c>
      <c r="AB102" s="24" t="s">
        <v>209</v>
      </c>
      <c r="AC102" s="30" t="s">
        <v>345</v>
      </c>
      <c r="AD102" s="30" t="s">
        <v>368</v>
      </c>
      <c r="AE102" s="36">
        <v>43356</v>
      </c>
    </row>
    <row r="103" spans="1:31" ht="15.75" x14ac:dyDescent="0.25">
      <c r="A103" s="23" t="s">
        <v>52</v>
      </c>
      <c r="B103" s="24" t="s">
        <v>570</v>
      </c>
      <c r="C103" s="24" t="s">
        <v>571</v>
      </c>
      <c r="D103" s="24" t="s">
        <v>460</v>
      </c>
      <c r="E103" s="29">
        <v>44024</v>
      </c>
      <c r="F103" s="24" t="s">
        <v>461</v>
      </c>
      <c r="G103" s="24" t="s">
        <v>292</v>
      </c>
      <c r="H103" s="24" t="s">
        <v>208</v>
      </c>
      <c r="I103" s="25">
        <v>46.334532374100696</v>
      </c>
      <c r="J103" s="26">
        <v>17.246006389776362</v>
      </c>
      <c r="K103" s="26">
        <v>13.290734824281152</v>
      </c>
      <c r="L103" s="26">
        <v>10.268370607028753</v>
      </c>
      <c r="M103" s="26">
        <v>8.4760383386581495</v>
      </c>
      <c r="N103" s="26">
        <v>27.175718849840266</v>
      </c>
      <c r="O103" s="26">
        <v>17.980830670926519</v>
      </c>
      <c r="P103" s="26">
        <v>1.7284345047923324</v>
      </c>
      <c r="Q103" s="26">
        <v>2.3961661341853042</v>
      </c>
      <c r="R103" s="26">
        <v>8.670926517571889</v>
      </c>
      <c r="S103" s="26">
        <v>8.230031948881793</v>
      </c>
      <c r="T103" s="26">
        <v>12.214057507987217</v>
      </c>
      <c r="U103" s="26">
        <v>20.166134185303513</v>
      </c>
      <c r="V103" s="26">
        <v>24.977635782747598</v>
      </c>
      <c r="W103" s="27"/>
      <c r="X103" s="24" t="s">
        <v>209</v>
      </c>
      <c r="Y103" s="30" t="s">
        <v>345</v>
      </c>
      <c r="Z103" s="24" t="s">
        <v>346</v>
      </c>
      <c r="AA103" s="28" t="s">
        <v>237</v>
      </c>
      <c r="AB103" s="24" t="s">
        <v>209</v>
      </c>
      <c r="AC103" s="30" t="s">
        <v>345</v>
      </c>
      <c r="AD103" s="30" t="s">
        <v>374</v>
      </c>
      <c r="AE103" s="36">
        <v>43433</v>
      </c>
    </row>
    <row r="104" spans="1:31" ht="15.75" x14ac:dyDescent="0.25">
      <c r="A104" s="23" t="s">
        <v>536</v>
      </c>
      <c r="B104" s="24" t="s">
        <v>537</v>
      </c>
      <c r="C104" s="24" t="s">
        <v>538</v>
      </c>
      <c r="D104" s="24" t="s">
        <v>46</v>
      </c>
      <c r="E104" s="29">
        <v>20794</v>
      </c>
      <c r="F104" s="24" t="s">
        <v>473</v>
      </c>
      <c r="G104" s="24" t="s">
        <v>236</v>
      </c>
      <c r="H104" s="24" t="s">
        <v>5</v>
      </c>
      <c r="I104" s="25">
        <v>53.386706948640501</v>
      </c>
      <c r="J104" s="26">
        <v>3.2236421725239617</v>
      </c>
      <c r="K104" s="26">
        <v>4.7699680511182123</v>
      </c>
      <c r="L104" s="26">
        <v>15.952076677316287</v>
      </c>
      <c r="M104" s="26">
        <v>24.399361022364229</v>
      </c>
      <c r="N104" s="26">
        <v>41.258785942491969</v>
      </c>
      <c r="O104" s="26">
        <v>7.0830670926517589</v>
      </c>
      <c r="P104" s="26">
        <v>3.1948881789137379E-3</v>
      </c>
      <c r="Q104" s="26">
        <v>0</v>
      </c>
      <c r="R104" s="26">
        <v>22.271565495207682</v>
      </c>
      <c r="S104" s="26">
        <v>8.8913738019169379</v>
      </c>
      <c r="T104" s="26">
        <v>7.9904153354632612</v>
      </c>
      <c r="U104" s="26">
        <v>9.1916932907348254</v>
      </c>
      <c r="V104" s="26">
        <v>31.047923322683705</v>
      </c>
      <c r="W104" s="27"/>
      <c r="X104" s="24" t="s">
        <v>209</v>
      </c>
      <c r="Y104" s="30" t="s">
        <v>210</v>
      </c>
      <c r="Z104" s="24" t="s">
        <v>211</v>
      </c>
      <c r="AA104" s="28" t="s">
        <v>354</v>
      </c>
      <c r="AB104" s="24" t="s">
        <v>209</v>
      </c>
      <c r="AC104" s="30" t="s">
        <v>210</v>
      </c>
      <c r="AD104" s="30" t="s">
        <v>539</v>
      </c>
      <c r="AE104" s="36">
        <v>43433</v>
      </c>
    </row>
    <row r="105" spans="1:31" ht="15.75" x14ac:dyDescent="0.25">
      <c r="A105" s="23" t="s">
        <v>553</v>
      </c>
      <c r="B105" s="24" t="s">
        <v>554</v>
      </c>
      <c r="C105" s="24" t="s">
        <v>555</v>
      </c>
      <c r="D105" s="24" t="s">
        <v>240</v>
      </c>
      <c r="E105" s="29">
        <v>85349</v>
      </c>
      <c r="F105" s="24" t="s">
        <v>256</v>
      </c>
      <c r="G105" s="24" t="s">
        <v>236</v>
      </c>
      <c r="H105" s="24" t="s">
        <v>208</v>
      </c>
      <c r="I105" s="25">
        <v>5.4450657894736798</v>
      </c>
      <c r="J105" s="26">
        <v>38.303514376996901</v>
      </c>
      <c r="K105" s="26">
        <v>7.7763578274761986</v>
      </c>
      <c r="L105" s="26">
        <v>0.92012779552715762</v>
      </c>
      <c r="M105" s="26">
        <v>1.3035143769968047</v>
      </c>
      <c r="N105" s="26">
        <v>9.0479233226838964</v>
      </c>
      <c r="O105" s="26">
        <v>26.734824281150253</v>
      </c>
      <c r="P105" s="26">
        <v>0.77635782747603965</v>
      </c>
      <c r="Q105" s="26">
        <v>11.744408945686933</v>
      </c>
      <c r="R105" s="26">
        <v>2.7348242811501553</v>
      </c>
      <c r="S105" s="26">
        <v>1.8370607028753967</v>
      </c>
      <c r="T105" s="26">
        <v>5.1214057507987389</v>
      </c>
      <c r="U105" s="26">
        <v>38.610223642172684</v>
      </c>
      <c r="V105" s="26">
        <v>43.55591054313085</v>
      </c>
      <c r="W105" s="27">
        <v>100</v>
      </c>
      <c r="X105" s="24" t="s">
        <v>209</v>
      </c>
      <c r="Y105" s="30" t="s">
        <v>345</v>
      </c>
      <c r="Z105" s="24" t="s">
        <v>368</v>
      </c>
      <c r="AA105" s="28" t="s">
        <v>411</v>
      </c>
      <c r="AB105" s="24" t="s">
        <v>209</v>
      </c>
      <c r="AC105" s="30" t="s">
        <v>345</v>
      </c>
      <c r="AD105" s="30" t="s">
        <v>368</v>
      </c>
      <c r="AE105" s="36">
        <v>43223</v>
      </c>
    </row>
    <row r="106" spans="1:31" ht="15.75" x14ac:dyDescent="0.25">
      <c r="A106" s="23" t="s">
        <v>16</v>
      </c>
      <c r="B106" s="24" t="s">
        <v>550</v>
      </c>
      <c r="C106" s="24" t="s">
        <v>551</v>
      </c>
      <c r="D106" s="24" t="s">
        <v>460</v>
      </c>
      <c r="E106" s="29">
        <v>44883</v>
      </c>
      <c r="F106" s="24" t="s">
        <v>461</v>
      </c>
      <c r="G106" s="24" t="s">
        <v>236</v>
      </c>
      <c r="H106" s="24" t="s">
        <v>208</v>
      </c>
      <c r="I106" s="25">
        <v>38.952662721893503</v>
      </c>
      <c r="J106" s="26">
        <v>33.169329073482437</v>
      </c>
      <c r="K106" s="26">
        <v>4.5303514376996787</v>
      </c>
      <c r="L106" s="26">
        <v>4.757188498402555</v>
      </c>
      <c r="M106" s="26">
        <v>4.9520766773162945</v>
      </c>
      <c r="N106" s="26">
        <v>15.095846645367407</v>
      </c>
      <c r="O106" s="26">
        <v>28.875399361022378</v>
      </c>
      <c r="P106" s="26">
        <v>1.0670926517571886</v>
      </c>
      <c r="Q106" s="26">
        <v>2.370607028753994</v>
      </c>
      <c r="R106" s="26">
        <v>4.843450479233228</v>
      </c>
      <c r="S106" s="26">
        <v>4.5654952076677313</v>
      </c>
      <c r="T106" s="26">
        <v>7.2460063897763565</v>
      </c>
      <c r="U106" s="26">
        <v>30.753993610223656</v>
      </c>
      <c r="V106" s="26">
        <v>25.750798722044728</v>
      </c>
      <c r="W106" s="27"/>
      <c r="X106" s="24" t="s">
        <v>209</v>
      </c>
      <c r="Y106" s="30" t="s">
        <v>345</v>
      </c>
      <c r="Z106" s="24" t="s">
        <v>374</v>
      </c>
      <c r="AA106" s="28" t="s">
        <v>283</v>
      </c>
      <c r="AB106" s="24" t="s">
        <v>209</v>
      </c>
      <c r="AC106" s="30" t="s">
        <v>345</v>
      </c>
      <c r="AD106" s="30" t="s">
        <v>368</v>
      </c>
      <c r="AE106" s="36">
        <v>43377</v>
      </c>
    </row>
    <row r="107" spans="1:31" ht="15.75" x14ac:dyDescent="0.25">
      <c r="A107" s="23" t="s">
        <v>545</v>
      </c>
      <c r="B107" s="24" t="s">
        <v>546</v>
      </c>
      <c r="C107" s="24" t="s">
        <v>547</v>
      </c>
      <c r="D107" s="24" t="s">
        <v>469</v>
      </c>
      <c r="E107" s="29">
        <v>48060</v>
      </c>
      <c r="F107" s="24" t="s">
        <v>461</v>
      </c>
      <c r="G107" s="24" t="s">
        <v>236</v>
      </c>
      <c r="H107" s="24" t="s">
        <v>5</v>
      </c>
      <c r="I107" s="25">
        <v>37.691056910569102</v>
      </c>
      <c r="J107" s="26">
        <v>19.383386581469654</v>
      </c>
      <c r="K107" s="26">
        <v>16.306709265175719</v>
      </c>
      <c r="L107" s="26">
        <v>8.0479233226837081</v>
      </c>
      <c r="M107" s="26">
        <v>2.0511182108626196</v>
      </c>
      <c r="N107" s="26">
        <v>23.306709265175716</v>
      </c>
      <c r="O107" s="26">
        <v>22.40894568690096</v>
      </c>
      <c r="P107" s="26">
        <v>0</v>
      </c>
      <c r="Q107" s="26">
        <v>7.3482428115015971E-2</v>
      </c>
      <c r="R107" s="26">
        <v>10.80191693290735</v>
      </c>
      <c r="S107" s="26">
        <v>6.0766773162939289</v>
      </c>
      <c r="T107" s="26">
        <v>6.6645367412140581</v>
      </c>
      <c r="U107" s="26">
        <v>22.246006389776362</v>
      </c>
      <c r="V107" s="26">
        <v>23.389776357827483</v>
      </c>
      <c r="W107" s="27"/>
      <c r="X107" s="24" t="s">
        <v>209</v>
      </c>
      <c r="Y107" s="30" t="s">
        <v>293</v>
      </c>
      <c r="Z107" s="24" t="s">
        <v>211</v>
      </c>
      <c r="AA107" s="28" t="s">
        <v>341</v>
      </c>
      <c r="AB107" s="24" t="s">
        <v>209</v>
      </c>
      <c r="AC107" s="30" t="s">
        <v>293</v>
      </c>
      <c r="AD107" s="30" t="s">
        <v>211</v>
      </c>
      <c r="AE107" s="36">
        <v>43636</v>
      </c>
    </row>
    <row r="108" spans="1:31" ht="15.75" x14ac:dyDescent="0.25">
      <c r="A108" s="23" t="s">
        <v>533</v>
      </c>
      <c r="B108" s="24" t="s">
        <v>534</v>
      </c>
      <c r="C108" s="24" t="s">
        <v>535</v>
      </c>
      <c r="D108" s="24" t="s">
        <v>432</v>
      </c>
      <c r="E108" s="29">
        <v>74103</v>
      </c>
      <c r="F108" s="24" t="s">
        <v>314</v>
      </c>
      <c r="G108" s="24" t="s">
        <v>236</v>
      </c>
      <c r="H108" s="24" t="s">
        <v>208</v>
      </c>
      <c r="I108" s="25">
        <v>42.427272727272701</v>
      </c>
      <c r="J108" s="26">
        <v>19.603833865814728</v>
      </c>
      <c r="K108" s="26">
        <v>6.083067092651758</v>
      </c>
      <c r="L108" s="26">
        <v>9.2012779552715696</v>
      </c>
      <c r="M108" s="26">
        <v>5.6134185303514386</v>
      </c>
      <c r="N108" s="26">
        <v>28.49520766773168</v>
      </c>
      <c r="O108" s="26">
        <v>11.635782747603837</v>
      </c>
      <c r="P108" s="26">
        <v>0.32907348242811507</v>
      </c>
      <c r="Q108" s="26">
        <v>4.1533546325878593E-2</v>
      </c>
      <c r="R108" s="26">
        <v>12.670926517571882</v>
      </c>
      <c r="S108" s="26">
        <v>6.3833865814696482</v>
      </c>
      <c r="T108" s="26">
        <v>9.6773162939297137</v>
      </c>
      <c r="U108" s="26">
        <v>11.769968051118214</v>
      </c>
      <c r="V108" s="26">
        <v>18.846645367412176</v>
      </c>
      <c r="W108" s="27"/>
      <c r="X108" s="24" t="s">
        <v>209</v>
      </c>
      <c r="Y108" s="30" t="s">
        <v>210</v>
      </c>
      <c r="Z108" s="24" t="s">
        <v>539</v>
      </c>
      <c r="AA108" s="28" t="s">
        <v>912</v>
      </c>
      <c r="AB108" s="24" t="s">
        <v>209</v>
      </c>
      <c r="AC108" s="30" t="s">
        <v>210</v>
      </c>
      <c r="AD108" s="30" t="s">
        <v>211</v>
      </c>
      <c r="AE108" s="36">
        <v>43490</v>
      </c>
    </row>
    <row r="109" spans="1:31" ht="15.75" x14ac:dyDescent="0.25">
      <c r="A109" s="23" t="s">
        <v>559</v>
      </c>
      <c r="B109" s="24" t="s">
        <v>560</v>
      </c>
      <c r="C109" s="24" t="s">
        <v>561</v>
      </c>
      <c r="D109" s="24" t="s">
        <v>562</v>
      </c>
      <c r="E109" s="29">
        <v>65084</v>
      </c>
      <c r="F109" s="24" t="s">
        <v>43</v>
      </c>
      <c r="G109" s="24" t="s">
        <v>236</v>
      </c>
      <c r="H109" s="24" t="s">
        <v>5</v>
      </c>
      <c r="I109" s="25">
        <v>34.927570093457902</v>
      </c>
      <c r="J109" s="26">
        <v>6.8115015974440905</v>
      </c>
      <c r="K109" s="26">
        <v>10.479233226837062</v>
      </c>
      <c r="L109" s="26">
        <v>12.536741214057503</v>
      </c>
      <c r="M109" s="26">
        <v>9.5463258785942511</v>
      </c>
      <c r="N109" s="26">
        <v>26.575079872204501</v>
      </c>
      <c r="O109" s="26">
        <v>12.373801916932909</v>
      </c>
      <c r="P109" s="26">
        <v>0.23003194888178913</v>
      </c>
      <c r="Q109" s="26">
        <v>0.19488817891373802</v>
      </c>
      <c r="R109" s="26">
        <v>13.498402555910548</v>
      </c>
      <c r="S109" s="26">
        <v>4.8913738019169326</v>
      </c>
      <c r="T109" s="26">
        <v>8.6517571884984008</v>
      </c>
      <c r="U109" s="26">
        <v>12.332268370607029</v>
      </c>
      <c r="V109" s="26">
        <v>21.859424920127772</v>
      </c>
      <c r="W109" s="27"/>
      <c r="X109" s="24" t="s">
        <v>209</v>
      </c>
      <c r="Y109" s="30" t="s">
        <v>345</v>
      </c>
      <c r="Z109" s="24" t="s">
        <v>368</v>
      </c>
      <c r="AA109" s="28" t="s">
        <v>563</v>
      </c>
      <c r="AB109" s="24" t="s">
        <v>209</v>
      </c>
      <c r="AC109" s="30" t="s">
        <v>345</v>
      </c>
      <c r="AD109" s="30" t="s">
        <v>368</v>
      </c>
      <c r="AE109" s="36">
        <v>43440</v>
      </c>
    </row>
    <row r="110" spans="1:31" ht="15.75" x14ac:dyDescent="0.25">
      <c r="A110" s="23" t="s">
        <v>41</v>
      </c>
      <c r="B110" s="24" t="s">
        <v>548</v>
      </c>
      <c r="C110" s="24" t="s">
        <v>549</v>
      </c>
      <c r="D110" s="24" t="s">
        <v>350</v>
      </c>
      <c r="E110" s="29">
        <v>19533</v>
      </c>
      <c r="F110" s="24" t="s">
        <v>351</v>
      </c>
      <c r="G110" s="24" t="s">
        <v>228</v>
      </c>
      <c r="H110" s="24" t="s">
        <v>208</v>
      </c>
      <c r="I110" s="25">
        <v>26.601307189542499</v>
      </c>
      <c r="J110" s="26">
        <v>34.015974440894574</v>
      </c>
      <c r="K110" s="26">
        <v>4.980830670926518</v>
      </c>
      <c r="L110" s="26">
        <v>0</v>
      </c>
      <c r="M110" s="26">
        <v>3.8338658146964855E-2</v>
      </c>
      <c r="N110" s="26">
        <v>0.13738019169329074</v>
      </c>
      <c r="O110" s="26">
        <v>19.683706070287524</v>
      </c>
      <c r="P110" s="26">
        <v>3.8338658146964855E-2</v>
      </c>
      <c r="Q110" s="26">
        <v>19.175718849840258</v>
      </c>
      <c r="R110" s="26">
        <v>0</v>
      </c>
      <c r="S110" s="26">
        <v>0</v>
      </c>
      <c r="T110" s="26">
        <v>0.14696485623003194</v>
      </c>
      <c r="U110" s="26">
        <v>38.888178913738066</v>
      </c>
      <c r="V110" s="26">
        <v>33.830670926517584</v>
      </c>
      <c r="W110" s="27">
        <v>96</v>
      </c>
      <c r="X110" s="24" t="s">
        <v>209</v>
      </c>
      <c r="Y110" s="30" t="s">
        <v>229</v>
      </c>
      <c r="Z110" s="24" t="s">
        <v>213</v>
      </c>
      <c r="AA110" s="28" t="s">
        <v>279</v>
      </c>
      <c r="AB110" s="24" t="s">
        <v>209</v>
      </c>
      <c r="AC110" s="30" t="s">
        <v>229</v>
      </c>
      <c r="AD110" s="30" t="s">
        <v>213</v>
      </c>
      <c r="AE110" s="36">
        <v>43783</v>
      </c>
    </row>
    <row r="111" spans="1:31" ht="15.75" x14ac:dyDescent="0.25">
      <c r="A111" s="23" t="s">
        <v>576</v>
      </c>
      <c r="B111" s="24" t="s">
        <v>577</v>
      </c>
      <c r="C111" s="24" t="s">
        <v>578</v>
      </c>
      <c r="D111" s="24" t="s">
        <v>350</v>
      </c>
      <c r="E111" s="29">
        <v>15931</v>
      </c>
      <c r="F111" s="24" t="s">
        <v>351</v>
      </c>
      <c r="G111" s="24" t="s">
        <v>292</v>
      </c>
      <c r="H111" s="24" t="s">
        <v>5</v>
      </c>
      <c r="I111" s="25">
        <v>32.0809061488673</v>
      </c>
      <c r="J111" s="26">
        <v>4.9680511182108624</v>
      </c>
      <c r="K111" s="26">
        <v>11.88178913738019</v>
      </c>
      <c r="L111" s="26">
        <v>14.015974440894567</v>
      </c>
      <c r="M111" s="26">
        <v>1.5942492012779552</v>
      </c>
      <c r="N111" s="26">
        <v>18.204472843450475</v>
      </c>
      <c r="O111" s="26">
        <v>14.143769968051117</v>
      </c>
      <c r="P111" s="26">
        <v>9.9041533546325874E-2</v>
      </c>
      <c r="Q111" s="26">
        <v>1.2779552715654952E-2</v>
      </c>
      <c r="R111" s="26">
        <v>10.3258785942492</v>
      </c>
      <c r="S111" s="26">
        <v>4.079872204472843</v>
      </c>
      <c r="T111" s="26">
        <v>3.7092651757188495</v>
      </c>
      <c r="U111" s="26">
        <v>14.345047923322683</v>
      </c>
      <c r="V111" s="26">
        <v>13.853035143769969</v>
      </c>
      <c r="W111" s="27"/>
      <c r="X111" s="24" t="s">
        <v>209</v>
      </c>
      <c r="Y111" s="30" t="s">
        <v>345</v>
      </c>
      <c r="Z111" s="24" t="s">
        <v>368</v>
      </c>
      <c r="AA111" s="28" t="s">
        <v>286</v>
      </c>
      <c r="AB111" s="24" t="s">
        <v>209</v>
      </c>
      <c r="AC111" s="30" t="s">
        <v>345</v>
      </c>
      <c r="AD111" s="30" t="s">
        <v>368</v>
      </c>
      <c r="AE111" s="36">
        <v>43412</v>
      </c>
    </row>
    <row r="112" spans="1:31" ht="15.75" x14ac:dyDescent="0.25">
      <c r="A112" s="23" t="s">
        <v>587</v>
      </c>
      <c r="B112" s="24" t="s">
        <v>588</v>
      </c>
      <c r="C112" s="24" t="s">
        <v>589</v>
      </c>
      <c r="D112" s="24" t="s">
        <v>460</v>
      </c>
      <c r="E112" s="29">
        <v>43338</v>
      </c>
      <c r="F112" s="24" t="s">
        <v>461</v>
      </c>
      <c r="G112" s="24" t="s">
        <v>236</v>
      </c>
      <c r="H112" s="24" t="s">
        <v>208</v>
      </c>
      <c r="I112" s="25">
        <v>15.3105691056911</v>
      </c>
      <c r="J112" s="26">
        <v>9.5207667731629257</v>
      </c>
      <c r="K112" s="26">
        <v>6.4856230031948812</v>
      </c>
      <c r="L112" s="26">
        <v>10.354632587859431</v>
      </c>
      <c r="M112" s="26">
        <v>5.798722044728434</v>
      </c>
      <c r="N112" s="26">
        <v>22.450479233226893</v>
      </c>
      <c r="O112" s="26">
        <v>9.0862619808306668</v>
      </c>
      <c r="P112" s="26">
        <v>0.15974440894568689</v>
      </c>
      <c r="Q112" s="26">
        <v>0.46325878594249204</v>
      </c>
      <c r="R112" s="26">
        <v>7.85623003194888</v>
      </c>
      <c r="S112" s="26">
        <v>7.9872204472843409</v>
      </c>
      <c r="T112" s="26">
        <v>6.8785942492012682</v>
      </c>
      <c r="U112" s="26">
        <v>9.4376996805111801</v>
      </c>
      <c r="V112" s="26">
        <v>28.856230031948982</v>
      </c>
      <c r="W112" s="27"/>
      <c r="X112" s="24" t="s">
        <v>209</v>
      </c>
      <c r="Y112" s="30" t="s">
        <v>345</v>
      </c>
      <c r="Z112" s="24" t="s">
        <v>368</v>
      </c>
      <c r="AA112" s="28" t="s">
        <v>590</v>
      </c>
      <c r="AB112" s="24" t="s">
        <v>209</v>
      </c>
      <c r="AC112" s="30" t="s">
        <v>345</v>
      </c>
      <c r="AD112" s="30" t="s">
        <v>368</v>
      </c>
      <c r="AE112" s="36">
        <v>42411</v>
      </c>
    </row>
    <row r="113" spans="1:31" ht="15.75" x14ac:dyDescent="0.25">
      <c r="A113" s="23" t="s">
        <v>572</v>
      </c>
      <c r="B113" s="24" t="s">
        <v>573</v>
      </c>
      <c r="C113" s="24" t="s">
        <v>574</v>
      </c>
      <c r="D113" s="24" t="s">
        <v>575</v>
      </c>
      <c r="E113" s="29">
        <v>27253</v>
      </c>
      <c r="F113" s="24" t="s">
        <v>218</v>
      </c>
      <c r="G113" s="24" t="s">
        <v>236</v>
      </c>
      <c r="H113" s="24" t="s">
        <v>208</v>
      </c>
      <c r="I113" s="25">
        <v>8.3533834586466202</v>
      </c>
      <c r="J113" s="26">
        <v>14.651757188498447</v>
      </c>
      <c r="K113" s="26">
        <v>5.7603833865814682</v>
      </c>
      <c r="L113" s="26">
        <v>4.8402555910543086</v>
      </c>
      <c r="M113" s="26">
        <v>5.6453674121405708</v>
      </c>
      <c r="N113" s="26">
        <v>17.776357827476112</v>
      </c>
      <c r="O113" s="26">
        <v>12.900958466453709</v>
      </c>
      <c r="P113" s="26">
        <v>0.15335463258785936</v>
      </c>
      <c r="Q113" s="26">
        <v>6.7092651757188496E-2</v>
      </c>
      <c r="R113" s="26">
        <v>8.1214057507987185</v>
      </c>
      <c r="S113" s="26">
        <v>4.8626198083067065</v>
      </c>
      <c r="T113" s="26">
        <v>4.8722044728434462</v>
      </c>
      <c r="U113" s="26">
        <v>13.041533546325915</v>
      </c>
      <c r="V113" s="26">
        <v>23.13738019169331</v>
      </c>
      <c r="W113" s="27"/>
      <c r="X113" s="24" t="s">
        <v>209</v>
      </c>
      <c r="Y113" s="30" t="s">
        <v>345</v>
      </c>
      <c r="Z113" s="24" t="s">
        <v>368</v>
      </c>
      <c r="AA113" s="28" t="s">
        <v>286</v>
      </c>
      <c r="AB113" s="24" t="s">
        <v>209</v>
      </c>
      <c r="AC113" s="30" t="s">
        <v>345</v>
      </c>
      <c r="AD113" s="30" t="s">
        <v>390</v>
      </c>
      <c r="AE113" s="36">
        <v>43454</v>
      </c>
    </row>
    <row r="114" spans="1:31" ht="15.75" x14ac:dyDescent="0.25">
      <c r="A114" s="23" t="s">
        <v>579</v>
      </c>
      <c r="B114" s="24" t="s">
        <v>580</v>
      </c>
      <c r="C114" s="24" t="s">
        <v>581</v>
      </c>
      <c r="D114" s="24" t="s">
        <v>582</v>
      </c>
      <c r="E114" s="29">
        <v>96819</v>
      </c>
      <c r="F114" s="24" t="s">
        <v>386</v>
      </c>
      <c r="G114" s="24" t="s">
        <v>583</v>
      </c>
      <c r="H114" s="24" t="s">
        <v>208</v>
      </c>
      <c r="I114" s="25">
        <v>98.627659574468098</v>
      </c>
      <c r="J114" s="26">
        <v>2.4536741214057503</v>
      </c>
      <c r="K114" s="26">
        <v>15.166134185303521</v>
      </c>
      <c r="L114" s="26">
        <v>6.9297124600638984</v>
      </c>
      <c r="M114" s="26">
        <v>5.3993610223642179</v>
      </c>
      <c r="N114" s="26">
        <v>17.980830670926512</v>
      </c>
      <c r="O114" s="26">
        <v>8.1469648562300332</v>
      </c>
      <c r="P114" s="26">
        <v>1.5782747603833862</v>
      </c>
      <c r="Q114" s="26">
        <v>2.2428115015974437</v>
      </c>
      <c r="R114" s="26">
        <v>10.335463258785941</v>
      </c>
      <c r="S114" s="26">
        <v>6.5079872204472835</v>
      </c>
      <c r="T114" s="26">
        <v>2.7220447284345051</v>
      </c>
      <c r="U114" s="26">
        <v>10.383386581469651</v>
      </c>
      <c r="V114" s="26">
        <v>25.696485623003195</v>
      </c>
      <c r="W114" s="27"/>
      <c r="X114" s="24" t="s">
        <v>238</v>
      </c>
      <c r="Y114" s="30"/>
      <c r="Z114" s="24"/>
      <c r="AA114" s="28"/>
      <c r="AB114" s="24" t="s">
        <v>238</v>
      </c>
      <c r="AC114" s="30"/>
      <c r="AD114" s="30"/>
      <c r="AE114" s="36"/>
    </row>
    <row r="115" spans="1:31" ht="15.75" x14ac:dyDescent="0.25">
      <c r="A115" s="23" t="s">
        <v>584</v>
      </c>
      <c r="B115" s="24" t="s">
        <v>585</v>
      </c>
      <c r="C115" s="24" t="s">
        <v>586</v>
      </c>
      <c r="D115" s="24" t="s">
        <v>543</v>
      </c>
      <c r="E115" s="29">
        <v>50313</v>
      </c>
      <c r="F115" s="24" t="s">
        <v>398</v>
      </c>
      <c r="G115" s="24" t="s">
        <v>292</v>
      </c>
      <c r="H115" s="24" t="s">
        <v>208</v>
      </c>
      <c r="I115" s="25">
        <v>23.7432835820896</v>
      </c>
      <c r="J115" s="26">
        <v>6.9968051118210894</v>
      </c>
      <c r="K115" s="26">
        <v>7.7124600638977663</v>
      </c>
      <c r="L115" s="26">
        <v>6.8690095846645383</v>
      </c>
      <c r="M115" s="26">
        <v>7.0926517571884986</v>
      </c>
      <c r="N115" s="26">
        <v>23.127795527156547</v>
      </c>
      <c r="O115" s="26">
        <v>3.7827476038338652</v>
      </c>
      <c r="P115" s="26">
        <v>1.0479233226837064</v>
      </c>
      <c r="Q115" s="26">
        <v>0.71246006389776362</v>
      </c>
      <c r="R115" s="26">
        <v>8.8849840255591062</v>
      </c>
      <c r="S115" s="26">
        <v>6.1150159744408983</v>
      </c>
      <c r="T115" s="26">
        <v>9.1916932907348272</v>
      </c>
      <c r="U115" s="26">
        <v>4.4792332268370592</v>
      </c>
      <c r="V115" s="26">
        <v>16.408945686900964</v>
      </c>
      <c r="W115" s="27"/>
      <c r="X115" s="24" t="s">
        <v>209</v>
      </c>
      <c r="Y115" s="30" t="s">
        <v>345</v>
      </c>
      <c r="Z115" s="24" t="s">
        <v>368</v>
      </c>
      <c r="AA115" s="28" t="s">
        <v>516</v>
      </c>
      <c r="AB115" s="24" t="s">
        <v>209</v>
      </c>
      <c r="AC115" s="30" t="s">
        <v>345</v>
      </c>
      <c r="AD115" s="30" t="s">
        <v>368</v>
      </c>
      <c r="AE115" s="36">
        <v>43314</v>
      </c>
    </row>
    <row r="116" spans="1:31" ht="15.75" x14ac:dyDescent="0.25">
      <c r="A116" s="23" t="s">
        <v>591</v>
      </c>
      <c r="B116" s="24" t="s">
        <v>592</v>
      </c>
      <c r="C116" s="24" t="s">
        <v>593</v>
      </c>
      <c r="D116" s="24" t="s">
        <v>469</v>
      </c>
      <c r="E116" s="29">
        <v>49783</v>
      </c>
      <c r="F116" s="24" t="s">
        <v>461</v>
      </c>
      <c r="G116" s="24" t="s">
        <v>236</v>
      </c>
      <c r="H116" s="24" t="s">
        <v>208</v>
      </c>
      <c r="I116" s="25">
        <v>65.462962962963005</v>
      </c>
      <c r="J116" s="26">
        <v>9.5718849840255569</v>
      </c>
      <c r="K116" s="26">
        <v>3.8434504792332271</v>
      </c>
      <c r="L116" s="26">
        <v>8.1437699680511173</v>
      </c>
      <c r="M116" s="26">
        <v>4.4888178913738015</v>
      </c>
      <c r="N116" s="26">
        <v>14.252396166134183</v>
      </c>
      <c r="O116" s="26">
        <v>8.3961661341853002</v>
      </c>
      <c r="P116" s="26">
        <v>1.5718849840255591</v>
      </c>
      <c r="Q116" s="26">
        <v>1.8274760383386581</v>
      </c>
      <c r="R116" s="26">
        <v>10.274760383386583</v>
      </c>
      <c r="S116" s="26">
        <v>2.3929712460063897</v>
      </c>
      <c r="T116" s="26">
        <v>3.2012779552715656</v>
      </c>
      <c r="U116" s="26">
        <v>10.178913738019169</v>
      </c>
      <c r="V116" s="26">
        <v>16.488817891373802</v>
      </c>
      <c r="W116" s="27"/>
      <c r="X116" s="24" t="s">
        <v>209</v>
      </c>
      <c r="Y116" s="30" t="s">
        <v>345</v>
      </c>
      <c r="Z116" s="24" t="s">
        <v>368</v>
      </c>
      <c r="AA116" s="28" t="s">
        <v>594</v>
      </c>
      <c r="AB116" s="24" t="s">
        <v>209</v>
      </c>
      <c r="AC116" s="30" t="s">
        <v>345</v>
      </c>
      <c r="AD116" s="30" t="s">
        <v>368</v>
      </c>
      <c r="AE116" s="36">
        <v>42803</v>
      </c>
    </row>
    <row r="117" spans="1:31" ht="15.75" x14ac:dyDescent="0.25">
      <c r="A117" s="23" t="s">
        <v>25</v>
      </c>
      <c r="B117" s="24" t="s">
        <v>598</v>
      </c>
      <c r="C117" s="24" t="s">
        <v>599</v>
      </c>
      <c r="D117" s="24" t="s">
        <v>562</v>
      </c>
      <c r="E117" s="29">
        <v>63361</v>
      </c>
      <c r="F117" s="24" t="s">
        <v>43</v>
      </c>
      <c r="G117" s="24" t="s">
        <v>236</v>
      </c>
      <c r="H117" s="24" t="s">
        <v>208</v>
      </c>
      <c r="I117" s="25">
        <v>33.4070351758794</v>
      </c>
      <c r="J117" s="26">
        <v>6.6421725239616629</v>
      </c>
      <c r="K117" s="26">
        <v>3.7763578274760379</v>
      </c>
      <c r="L117" s="26">
        <v>6.881789137380192</v>
      </c>
      <c r="M117" s="26">
        <v>7.7092651757188504</v>
      </c>
      <c r="N117" s="26">
        <v>14.884984025559106</v>
      </c>
      <c r="O117" s="26">
        <v>9.5175718849840258</v>
      </c>
      <c r="P117" s="26">
        <v>0</v>
      </c>
      <c r="Q117" s="26">
        <v>0.60702875399361034</v>
      </c>
      <c r="R117" s="26">
        <v>8.8977635782747608</v>
      </c>
      <c r="S117" s="26">
        <v>3.2460063897763578</v>
      </c>
      <c r="T117" s="26">
        <v>3.0383386581469645</v>
      </c>
      <c r="U117" s="26">
        <v>9.8274760383386592</v>
      </c>
      <c r="V117" s="26">
        <v>16.693290734824274</v>
      </c>
      <c r="W117" s="27"/>
      <c r="X117" s="24" t="s">
        <v>209</v>
      </c>
      <c r="Y117" s="30" t="s">
        <v>345</v>
      </c>
      <c r="Z117" s="24" t="s">
        <v>368</v>
      </c>
      <c r="AA117" s="28" t="s">
        <v>286</v>
      </c>
      <c r="AB117" s="24" t="s">
        <v>209</v>
      </c>
      <c r="AC117" s="30" t="s">
        <v>345</v>
      </c>
      <c r="AD117" s="30" t="s">
        <v>368</v>
      </c>
      <c r="AE117" s="36">
        <v>42957</v>
      </c>
    </row>
    <row r="118" spans="1:31" ht="15.75" x14ac:dyDescent="0.25">
      <c r="A118" s="23" t="s">
        <v>603</v>
      </c>
      <c r="B118" s="24" t="s">
        <v>604</v>
      </c>
      <c r="C118" s="24" t="s">
        <v>605</v>
      </c>
      <c r="D118" s="24" t="s">
        <v>35</v>
      </c>
      <c r="E118" s="29">
        <v>1301</v>
      </c>
      <c r="F118" s="24" t="s">
        <v>394</v>
      </c>
      <c r="G118" s="24" t="s">
        <v>292</v>
      </c>
      <c r="H118" s="24" t="s">
        <v>5</v>
      </c>
      <c r="I118" s="25">
        <v>40.362068965517203</v>
      </c>
      <c r="J118" s="26">
        <v>0.7156549520766774</v>
      </c>
      <c r="K118" s="26">
        <v>0.36421725239616609</v>
      </c>
      <c r="L118" s="26">
        <v>5.1309904153354635</v>
      </c>
      <c r="M118" s="26">
        <v>14.760383386581475</v>
      </c>
      <c r="N118" s="26">
        <v>16.415335463258788</v>
      </c>
      <c r="O118" s="26">
        <v>4.5559105431309899</v>
      </c>
      <c r="P118" s="26">
        <v>0</v>
      </c>
      <c r="Q118" s="26">
        <v>0</v>
      </c>
      <c r="R118" s="26">
        <v>12.070287539936107</v>
      </c>
      <c r="S118" s="26">
        <v>2.549520766773163</v>
      </c>
      <c r="T118" s="26">
        <v>1.7955271565495206</v>
      </c>
      <c r="U118" s="26">
        <v>4.5559105431309899</v>
      </c>
      <c r="V118" s="26">
        <v>18.626198083067102</v>
      </c>
      <c r="W118" s="27"/>
      <c r="X118" s="24" t="s">
        <v>209</v>
      </c>
      <c r="Y118" s="30" t="s">
        <v>345</v>
      </c>
      <c r="Z118" s="24" t="s">
        <v>368</v>
      </c>
      <c r="AA118" s="28" t="s">
        <v>411</v>
      </c>
      <c r="AB118" s="24" t="s">
        <v>209</v>
      </c>
      <c r="AC118" s="30" t="s">
        <v>345</v>
      </c>
      <c r="AD118" s="30" t="s">
        <v>368</v>
      </c>
      <c r="AE118" s="36">
        <v>43209</v>
      </c>
    </row>
    <row r="119" spans="1:31" ht="15.75" x14ac:dyDescent="0.25">
      <c r="A119" s="23" t="s">
        <v>595</v>
      </c>
      <c r="B119" s="24" t="s">
        <v>596</v>
      </c>
      <c r="C119" s="24" t="s">
        <v>597</v>
      </c>
      <c r="D119" s="24" t="s">
        <v>222</v>
      </c>
      <c r="E119" s="29">
        <v>78380</v>
      </c>
      <c r="F119" s="24" t="s">
        <v>278</v>
      </c>
      <c r="G119" s="24" t="s">
        <v>292</v>
      </c>
      <c r="H119" s="24" t="s">
        <v>5</v>
      </c>
      <c r="I119" s="25">
        <v>2.3461087211576102</v>
      </c>
      <c r="J119" s="26">
        <v>0.96805111821086343</v>
      </c>
      <c r="K119" s="26">
        <v>16.178913738019471</v>
      </c>
      <c r="L119" s="26">
        <v>1.472843450479232</v>
      </c>
      <c r="M119" s="26">
        <v>0.20766773162939292</v>
      </c>
      <c r="N119" s="26">
        <v>13.549520766773401</v>
      </c>
      <c r="O119" s="26">
        <v>5.274760383386603</v>
      </c>
      <c r="P119" s="26">
        <v>0</v>
      </c>
      <c r="Q119" s="26">
        <v>3.1948881789137379E-3</v>
      </c>
      <c r="R119" s="26">
        <v>1.73482428115016</v>
      </c>
      <c r="S119" s="26">
        <v>5.5623003194888119</v>
      </c>
      <c r="T119" s="26">
        <v>6.9968051118211498</v>
      </c>
      <c r="U119" s="26">
        <v>4.5335463258785875</v>
      </c>
      <c r="V119" s="26">
        <v>17.137380191693669</v>
      </c>
      <c r="W119" s="27"/>
      <c r="X119" s="24" t="s">
        <v>209</v>
      </c>
      <c r="Y119" s="30" t="s">
        <v>293</v>
      </c>
      <c r="Z119" s="24" t="s">
        <v>211</v>
      </c>
      <c r="AA119" s="28" t="s">
        <v>230</v>
      </c>
      <c r="AB119" s="24" t="s">
        <v>209</v>
      </c>
      <c r="AC119" s="30" t="s">
        <v>293</v>
      </c>
      <c r="AD119" s="30" t="s">
        <v>211</v>
      </c>
      <c r="AE119" s="36">
        <v>43475</v>
      </c>
    </row>
    <row r="120" spans="1:31" ht="15.75" x14ac:dyDescent="0.25">
      <c r="A120" s="23" t="s">
        <v>634</v>
      </c>
      <c r="B120" s="24" t="s">
        <v>635</v>
      </c>
      <c r="C120" s="24" t="s">
        <v>636</v>
      </c>
      <c r="D120" s="24" t="s">
        <v>522</v>
      </c>
      <c r="E120" s="29">
        <v>68102</v>
      </c>
      <c r="F120" s="24" t="s">
        <v>398</v>
      </c>
      <c r="G120" s="24" t="s">
        <v>236</v>
      </c>
      <c r="H120" s="24" t="s">
        <v>208</v>
      </c>
      <c r="I120" s="25">
        <v>10.092511013215899</v>
      </c>
      <c r="J120" s="26">
        <v>1.1246006389776357</v>
      </c>
      <c r="K120" s="26">
        <v>3.7987220447284327</v>
      </c>
      <c r="L120" s="26">
        <v>7.0447284345047905</v>
      </c>
      <c r="M120" s="26">
        <v>4.3290734824281136</v>
      </c>
      <c r="N120" s="26">
        <v>12.073482428115048</v>
      </c>
      <c r="O120" s="26">
        <v>1.5814696485622997</v>
      </c>
      <c r="P120" s="26">
        <v>2.0000000000000009</v>
      </c>
      <c r="Q120" s="26">
        <v>0.64217252396166136</v>
      </c>
      <c r="R120" s="26">
        <v>6.1725239616613434</v>
      </c>
      <c r="S120" s="26">
        <v>4.0894568690095801</v>
      </c>
      <c r="T120" s="26">
        <v>4.1597444089456861</v>
      </c>
      <c r="U120" s="26">
        <v>1.8753993610223647</v>
      </c>
      <c r="V120" s="26">
        <v>10.453674121405765</v>
      </c>
      <c r="W120" s="27"/>
      <c r="X120" s="24" t="s">
        <v>209</v>
      </c>
      <c r="Y120" s="30" t="s">
        <v>293</v>
      </c>
      <c r="Z120" s="24" t="s">
        <v>211</v>
      </c>
      <c r="AA120" s="28" t="s">
        <v>289</v>
      </c>
      <c r="AB120" s="24" t="s">
        <v>209</v>
      </c>
      <c r="AC120" s="30" t="s">
        <v>293</v>
      </c>
      <c r="AD120" s="30" t="s">
        <v>211</v>
      </c>
      <c r="AE120" s="36">
        <v>43398</v>
      </c>
    </row>
    <row r="121" spans="1:31" ht="15.75" x14ac:dyDescent="0.25">
      <c r="A121" s="23" t="s">
        <v>600</v>
      </c>
      <c r="B121" s="24" t="s">
        <v>601</v>
      </c>
      <c r="C121" s="24" t="s">
        <v>602</v>
      </c>
      <c r="D121" s="24" t="s">
        <v>217</v>
      </c>
      <c r="E121" s="29">
        <v>30250</v>
      </c>
      <c r="F121" s="24" t="s">
        <v>218</v>
      </c>
      <c r="G121" s="24" t="s">
        <v>257</v>
      </c>
      <c r="H121" s="24" t="s">
        <v>208</v>
      </c>
      <c r="I121" s="25">
        <v>6.4916067146282996</v>
      </c>
      <c r="J121" s="26">
        <v>4.9169329073482508</v>
      </c>
      <c r="K121" s="26">
        <v>4.5239616613418514</v>
      </c>
      <c r="L121" s="26">
        <v>4.2715654952076649</v>
      </c>
      <c r="M121" s="26">
        <v>2.4632587859424917</v>
      </c>
      <c r="N121" s="26">
        <v>9.7699680511182194</v>
      </c>
      <c r="O121" s="26">
        <v>6.4057507987220514</v>
      </c>
      <c r="P121" s="26">
        <v>0</v>
      </c>
      <c r="Q121" s="26">
        <v>0</v>
      </c>
      <c r="R121" s="26">
        <v>5.5782747603833807</v>
      </c>
      <c r="S121" s="26">
        <v>2.3450479233226833</v>
      </c>
      <c r="T121" s="26">
        <v>1.7923322683706067</v>
      </c>
      <c r="U121" s="26">
        <v>6.4600638977635851</v>
      </c>
      <c r="V121" s="26">
        <v>13.297124600639005</v>
      </c>
      <c r="W121" s="27"/>
      <c r="X121" s="24" t="s">
        <v>209</v>
      </c>
      <c r="Y121" s="30" t="s">
        <v>345</v>
      </c>
      <c r="Z121" s="24" t="s">
        <v>368</v>
      </c>
      <c r="AA121" s="28" t="s">
        <v>495</v>
      </c>
      <c r="AB121" s="24" t="s">
        <v>238</v>
      </c>
      <c r="AC121" s="30"/>
      <c r="AD121" s="30"/>
      <c r="AE121" s="36"/>
    </row>
    <row r="122" spans="1:31" ht="15.75" x14ac:dyDescent="0.25">
      <c r="A122" s="23" t="s">
        <v>610</v>
      </c>
      <c r="B122" s="24" t="s">
        <v>611</v>
      </c>
      <c r="C122" s="24" t="s">
        <v>612</v>
      </c>
      <c r="D122" s="24" t="s">
        <v>613</v>
      </c>
      <c r="E122" s="29">
        <v>84321</v>
      </c>
      <c r="F122" s="24" t="s">
        <v>441</v>
      </c>
      <c r="G122" s="24" t="s">
        <v>292</v>
      </c>
      <c r="H122" s="24" t="s">
        <v>208</v>
      </c>
      <c r="I122" s="25">
        <v>6.52149791955617</v>
      </c>
      <c r="J122" s="26">
        <v>1.8945686900958467</v>
      </c>
      <c r="K122" s="26">
        <v>2.9233226837060688</v>
      </c>
      <c r="L122" s="26">
        <v>4.8753993610223603</v>
      </c>
      <c r="M122" s="26">
        <v>4.5111821086261958</v>
      </c>
      <c r="N122" s="26">
        <v>11.21405750798724</v>
      </c>
      <c r="O122" s="26">
        <v>1.8146964856230026</v>
      </c>
      <c r="P122" s="26">
        <v>1.0287539936102237</v>
      </c>
      <c r="Q122" s="26">
        <v>0.14696485623003194</v>
      </c>
      <c r="R122" s="26">
        <v>7.1150159744408858</v>
      </c>
      <c r="S122" s="26">
        <v>4.0575079872204451</v>
      </c>
      <c r="T122" s="26">
        <v>1.4121405750798721</v>
      </c>
      <c r="U122" s="26">
        <v>1.6198083067092648</v>
      </c>
      <c r="V122" s="26">
        <v>11.255591054313113</v>
      </c>
      <c r="W122" s="27"/>
      <c r="X122" s="24" t="s">
        <v>209</v>
      </c>
      <c r="Y122" s="30" t="s">
        <v>345</v>
      </c>
      <c r="Z122" s="24" t="s">
        <v>368</v>
      </c>
      <c r="AA122" s="28" t="s">
        <v>614</v>
      </c>
      <c r="AB122" s="24" t="s">
        <v>209</v>
      </c>
      <c r="AC122" s="30" t="s">
        <v>345</v>
      </c>
      <c r="AD122" s="30" t="s">
        <v>552</v>
      </c>
      <c r="AE122" s="36">
        <v>42810</v>
      </c>
    </row>
    <row r="123" spans="1:31" ht="15.75" x14ac:dyDescent="0.25">
      <c r="A123" s="23" t="s">
        <v>618</v>
      </c>
      <c r="B123" s="24" t="s">
        <v>619</v>
      </c>
      <c r="C123" s="24" t="s">
        <v>620</v>
      </c>
      <c r="D123" s="24" t="s">
        <v>440</v>
      </c>
      <c r="E123" s="29">
        <v>89512</v>
      </c>
      <c r="F123" s="24" t="s">
        <v>441</v>
      </c>
      <c r="G123" s="24" t="s">
        <v>292</v>
      </c>
      <c r="H123" s="24" t="s">
        <v>208</v>
      </c>
      <c r="I123" s="25">
        <v>16.151291512915101</v>
      </c>
      <c r="J123" s="26">
        <v>1.6677316293929711</v>
      </c>
      <c r="K123" s="26">
        <v>3.3610223642172516</v>
      </c>
      <c r="L123" s="26">
        <v>5.057507987220446</v>
      </c>
      <c r="M123" s="26">
        <v>3.9680511182108629</v>
      </c>
      <c r="N123" s="26">
        <v>10.690095846645372</v>
      </c>
      <c r="O123" s="26">
        <v>2.4568690095846644</v>
      </c>
      <c r="P123" s="26">
        <v>0.62939297124600646</v>
      </c>
      <c r="Q123" s="26">
        <v>0.27795527156549521</v>
      </c>
      <c r="R123" s="26">
        <v>6.2939297124600628</v>
      </c>
      <c r="S123" s="26">
        <v>2.7124600638977632</v>
      </c>
      <c r="T123" s="26">
        <v>2.3035143769968056</v>
      </c>
      <c r="U123" s="26">
        <v>2.7444089456869007</v>
      </c>
      <c r="V123" s="26">
        <v>10.396166134185309</v>
      </c>
      <c r="W123" s="27"/>
      <c r="X123" s="24" t="s">
        <v>209</v>
      </c>
      <c r="Y123" s="30" t="s">
        <v>345</v>
      </c>
      <c r="Z123" s="24" t="s">
        <v>368</v>
      </c>
      <c r="AA123" s="28" t="s">
        <v>621</v>
      </c>
      <c r="AB123" s="24" t="s">
        <v>209</v>
      </c>
      <c r="AC123" s="30" t="s">
        <v>345</v>
      </c>
      <c r="AD123" s="30" t="s">
        <v>368</v>
      </c>
      <c r="AE123" s="36">
        <v>42600</v>
      </c>
    </row>
    <row r="124" spans="1:31" ht="15.75" x14ac:dyDescent="0.25">
      <c r="A124" s="23" t="s">
        <v>606</v>
      </c>
      <c r="B124" s="24" t="s">
        <v>607</v>
      </c>
      <c r="C124" s="24" t="s">
        <v>608</v>
      </c>
      <c r="D124" s="24" t="s">
        <v>332</v>
      </c>
      <c r="E124" s="29">
        <v>80814</v>
      </c>
      <c r="F124" s="24" t="s">
        <v>333</v>
      </c>
      <c r="G124" s="24" t="s">
        <v>236</v>
      </c>
      <c r="H124" s="24" t="s">
        <v>208</v>
      </c>
      <c r="I124" s="25">
        <v>37.772357723577201</v>
      </c>
      <c r="J124" s="26">
        <v>5.6996805111821089</v>
      </c>
      <c r="K124" s="26">
        <v>1.3578274760383391</v>
      </c>
      <c r="L124" s="26">
        <v>3.4313099041533519</v>
      </c>
      <c r="M124" s="26">
        <v>3.4856230031948878</v>
      </c>
      <c r="N124" s="26">
        <v>7.1022364217252356</v>
      </c>
      <c r="O124" s="26">
        <v>4.9361022364217284</v>
      </c>
      <c r="P124" s="26">
        <v>0.28753993610223638</v>
      </c>
      <c r="Q124" s="26">
        <v>1.648562300319488</v>
      </c>
      <c r="R124" s="26">
        <v>4.530351437699677</v>
      </c>
      <c r="S124" s="26">
        <v>2.1054313099041528</v>
      </c>
      <c r="T124" s="26">
        <v>0.71565495207667729</v>
      </c>
      <c r="U124" s="26">
        <v>6.6230031948881818</v>
      </c>
      <c r="V124" s="26">
        <v>12.51118210862621</v>
      </c>
      <c r="W124" s="27"/>
      <c r="X124" s="24" t="s">
        <v>209</v>
      </c>
      <c r="Y124" s="30" t="s">
        <v>345</v>
      </c>
      <c r="Z124" s="24" t="s">
        <v>552</v>
      </c>
      <c r="AA124" s="28" t="s">
        <v>344</v>
      </c>
      <c r="AB124" s="24" t="s">
        <v>609</v>
      </c>
      <c r="AC124" s="30" t="s">
        <v>345</v>
      </c>
      <c r="AD124" s="30" t="s">
        <v>368</v>
      </c>
      <c r="AE124" s="36">
        <v>43371</v>
      </c>
    </row>
    <row r="125" spans="1:31" ht="15.75" x14ac:dyDescent="0.25">
      <c r="A125" s="23" t="s">
        <v>674</v>
      </c>
      <c r="B125" s="24" t="s">
        <v>675</v>
      </c>
      <c r="C125" s="24" t="s">
        <v>676</v>
      </c>
      <c r="D125" s="24" t="s">
        <v>522</v>
      </c>
      <c r="E125" s="29">
        <v>68949</v>
      </c>
      <c r="F125" s="24" t="s">
        <v>398</v>
      </c>
      <c r="G125" s="24" t="s">
        <v>292</v>
      </c>
      <c r="H125" s="24" t="s">
        <v>208</v>
      </c>
      <c r="I125" s="25">
        <v>39.422680412371101</v>
      </c>
      <c r="J125" s="26">
        <v>2.1341853035143767</v>
      </c>
      <c r="K125" s="26">
        <v>2.881789137380192</v>
      </c>
      <c r="L125" s="26">
        <v>5.3674121405750803</v>
      </c>
      <c r="M125" s="26">
        <v>2.5047923322683703</v>
      </c>
      <c r="N125" s="26">
        <v>10.166134185303513</v>
      </c>
      <c r="O125" s="26">
        <v>2.6741214057507987</v>
      </c>
      <c r="P125" s="26">
        <v>2.8753993610223641E-2</v>
      </c>
      <c r="Q125" s="26">
        <v>1.9169329073482427E-2</v>
      </c>
      <c r="R125" s="26">
        <v>2.6900958466453679</v>
      </c>
      <c r="S125" s="26">
        <v>4.5303514376996814</v>
      </c>
      <c r="T125" s="26">
        <v>3.1916932907348246</v>
      </c>
      <c r="U125" s="26">
        <v>2.4760383386581477</v>
      </c>
      <c r="V125" s="26">
        <v>7.8626198083067091</v>
      </c>
      <c r="W125" s="27"/>
      <c r="X125" s="24" t="s">
        <v>209</v>
      </c>
      <c r="Y125" s="30" t="s">
        <v>345</v>
      </c>
      <c r="Z125" s="24" t="s">
        <v>368</v>
      </c>
      <c r="AA125" s="28" t="s">
        <v>427</v>
      </c>
      <c r="AB125" s="24" t="s">
        <v>609</v>
      </c>
      <c r="AC125" s="30" t="s">
        <v>345</v>
      </c>
      <c r="AD125" s="30" t="s">
        <v>368</v>
      </c>
      <c r="AE125" s="36">
        <v>43371</v>
      </c>
    </row>
    <row r="126" spans="1:31" ht="15.75" x14ac:dyDescent="0.25">
      <c r="A126" s="23" t="s">
        <v>615</v>
      </c>
      <c r="B126" s="24" t="s">
        <v>616</v>
      </c>
      <c r="C126" s="24" t="s">
        <v>617</v>
      </c>
      <c r="D126" s="24" t="s">
        <v>397</v>
      </c>
      <c r="E126" s="29">
        <v>55318</v>
      </c>
      <c r="F126" s="24" t="s">
        <v>398</v>
      </c>
      <c r="G126" s="24" t="s">
        <v>236</v>
      </c>
      <c r="H126" s="24" t="s">
        <v>208</v>
      </c>
      <c r="I126" s="25">
        <v>29.859060402684602</v>
      </c>
      <c r="J126" s="26">
        <v>1.0766773162939296</v>
      </c>
      <c r="K126" s="26">
        <v>1.8051118210862616</v>
      </c>
      <c r="L126" s="26">
        <v>7.7348242811501722</v>
      </c>
      <c r="M126" s="26">
        <v>2.1597444089456861</v>
      </c>
      <c r="N126" s="26">
        <v>9.4952076677316377</v>
      </c>
      <c r="O126" s="26">
        <v>2.2811501597444055</v>
      </c>
      <c r="P126" s="26">
        <v>0.58785942492012777</v>
      </c>
      <c r="Q126" s="26">
        <v>0.41214057507987223</v>
      </c>
      <c r="R126" s="26">
        <v>6.9744408945686951</v>
      </c>
      <c r="S126" s="26">
        <v>1.9233226837060702</v>
      </c>
      <c r="T126" s="26">
        <v>1.2044728434504792</v>
      </c>
      <c r="U126" s="26">
        <v>2.6741214057507943</v>
      </c>
      <c r="V126" s="26">
        <v>9.041533546325887</v>
      </c>
      <c r="W126" s="27"/>
      <c r="X126" s="24" t="s">
        <v>209</v>
      </c>
      <c r="Y126" s="30" t="s">
        <v>345</v>
      </c>
      <c r="Z126" s="24" t="s">
        <v>368</v>
      </c>
      <c r="AA126" s="28" t="s">
        <v>495</v>
      </c>
      <c r="AB126" s="24" t="s">
        <v>209</v>
      </c>
      <c r="AC126" s="30" t="s">
        <v>345</v>
      </c>
      <c r="AD126" s="30" t="s">
        <v>368</v>
      </c>
      <c r="AE126" s="36">
        <v>43055</v>
      </c>
    </row>
    <row r="127" spans="1:31" ht="15.75" x14ac:dyDescent="0.25">
      <c r="A127" s="23" t="s">
        <v>626</v>
      </c>
      <c r="B127" s="24" t="s">
        <v>627</v>
      </c>
      <c r="C127" s="24" t="s">
        <v>628</v>
      </c>
      <c r="D127" s="24" t="s">
        <v>562</v>
      </c>
      <c r="E127" s="29">
        <v>65721</v>
      </c>
      <c r="F127" s="24" t="s">
        <v>43</v>
      </c>
      <c r="G127" s="24" t="s">
        <v>236</v>
      </c>
      <c r="H127" s="24" t="s">
        <v>5</v>
      </c>
      <c r="I127" s="25">
        <v>28.141791044776099</v>
      </c>
      <c r="J127" s="26">
        <v>3.3961661341853024</v>
      </c>
      <c r="K127" s="26">
        <v>2.6517571884984026</v>
      </c>
      <c r="L127" s="26">
        <v>2.9968051118210854</v>
      </c>
      <c r="M127" s="26">
        <v>1.2268370607028753</v>
      </c>
      <c r="N127" s="26">
        <v>5.6070287539936086</v>
      </c>
      <c r="O127" s="26">
        <v>4.642172523961662</v>
      </c>
      <c r="P127" s="26">
        <v>1.9169329073482427E-2</v>
      </c>
      <c r="Q127" s="26">
        <v>3.1948881789137379E-3</v>
      </c>
      <c r="R127" s="26">
        <v>0.85623003194888192</v>
      </c>
      <c r="S127" s="26">
        <v>2.0095846645367406</v>
      </c>
      <c r="T127" s="26">
        <v>3.0255591054313098</v>
      </c>
      <c r="U127" s="26">
        <v>4.3801916932907341</v>
      </c>
      <c r="V127" s="26">
        <v>4.5591054313099031</v>
      </c>
      <c r="W127" s="27"/>
      <c r="X127" s="24" t="s">
        <v>209</v>
      </c>
      <c r="Y127" s="30" t="s">
        <v>345</v>
      </c>
      <c r="Z127" s="24" t="s">
        <v>368</v>
      </c>
      <c r="AA127" s="28" t="s">
        <v>629</v>
      </c>
      <c r="AB127" s="24" t="s">
        <v>209</v>
      </c>
      <c r="AC127" s="30" t="s">
        <v>345</v>
      </c>
      <c r="AD127" s="30" t="s">
        <v>368</v>
      </c>
      <c r="AE127" s="36">
        <v>43160</v>
      </c>
    </row>
    <row r="128" spans="1:31" ht="15.75" x14ac:dyDescent="0.25">
      <c r="A128" s="23" t="s">
        <v>622</v>
      </c>
      <c r="B128" s="24" t="s">
        <v>623</v>
      </c>
      <c r="C128" s="24" t="s">
        <v>624</v>
      </c>
      <c r="D128" s="24" t="s">
        <v>625</v>
      </c>
      <c r="E128" s="29">
        <v>29405</v>
      </c>
      <c r="F128" s="24" t="s">
        <v>218</v>
      </c>
      <c r="G128" s="24" t="s">
        <v>292</v>
      </c>
      <c r="H128" s="24" t="s">
        <v>5</v>
      </c>
      <c r="I128" s="25">
        <v>2.7089618456078099</v>
      </c>
      <c r="J128" s="26">
        <v>3.2651757188498274</v>
      </c>
      <c r="K128" s="26">
        <v>3.0159744408945541</v>
      </c>
      <c r="L128" s="26">
        <v>2.1757188498402509</v>
      </c>
      <c r="M128" s="26">
        <v>1.7476038338658142</v>
      </c>
      <c r="N128" s="26">
        <v>6.7635782747604347</v>
      </c>
      <c r="O128" s="26">
        <v>3.0319488817891247</v>
      </c>
      <c r="P128" s="26">
        <v>0.15015974440894567</v>
      </c>
      <c r="Q128" s="26">
        <v>0.25878594249201281</v>
      </c>
      <c r="R128" s="26">
        <v>2.0702875399361016</v>
      </c>
      <c r="S128" s="26">
        <v>3.1054313099041395</v>
      </c>
      <c r="T128" s="26">
        <v>1.8977635782747588</v>
      </c>
      <c r="U128" s="26">
        <v>3.1309904153354502</v>
      </c>
      <c r="V128" s="26">
        <v>6.2236421725239888</v>
      </c>
      <c r="W128" s="27"/>
      <c r="X128" s="24" t="s">
        <v>209</v>
      </c>
      <c r="Y128" s="30" t="s">
        <v>345</v>
      </c>
      <c r="Z128" s="24" t="s">
        <v>368</v>
      </c>
      <c r="AA128" s="28" t="s">
        <v>279</v>
      </c>
      <c r="AB128" s="24" t="s">
        <v>209</v>
      </c>
      <c r="AC128" s="30" t="s">
        <v>345</v>
      </c>
      <c r="AD128" s="30" t="s">
        <v>368</v>
      </c>
      <c r="AE128" s="36">
        <v>43433</v>
      </c>
    </row>
    <row r="129" spans="1:31" ht="15.75" x14ac:dyDescent="0.25">
      <c r="A129" s="23" t="s">
        <v>670</v>
      </c>
      <c r="B129" s="24" t="s">
        <v>671</v>
      </c>
      <c r="C129" s="24" t="s">
        <v>672</v>
      </c>
      <c r="D129" s="24" t="s">
        <v>673</v>
      </c>
      <c r="E129" s="29">
        <v>96910</v>
      </c>
      <c r="F129" s="24" t="s">
        <v>386</v>
      </c>
      <c r="G129" s="24" t="s">
        <v>292</v>
      </c>
      <c r="H129" s="24" t="s">
        <v>208</v>
      </c>
      <c r="I129" s="25">
        <v>39.925925925925903</v>
      </c>
      <c r="J129" s="26">
        <v>0</v>
      </c>
      <c r="K129" s="26">
        <v>5.2492012779552732</v>
      </c>
      <c r="L129" s="26">
        <v>1.6805111821086263</v>
      </c>
      <c r="M129" s="26">
        <v>2.1277955271565498</v>
      </c>
      <c r="N129" s="26">
        <v>7.2012779552715669</v>
      </c>
      <c r="O129" s="26">
        <v>1.8562300319488818</v>
      </c>
      <c r="P129" s="26">
        <v>0</v>
      </c>
      <c r="Q129" s="26">
        <v>0</v>
      </c>
      <c r="R129" s="26">
        <v>5.8658146964856233</v>
      </c>
      <c r="S129" s="26">
        <v>0.32907348242811502</v>
      </c>
      <c r="T129" s="26">
        <v>1.0063897763578273</v>
      </c>
      <c r="U129" s="26">
        <v>1.8562300319488818</v>
      </c>
      <c r="V129" s="26">
        <v>8.1661341853035161</v>
      </c>
      <c r="W129" s="27"/>
      <c r="X129" s="24" t="s">
        <v>238</v>
      </c>
      <c r="Y129" s="30"/>
      <c r="Z129" s="24"/>
      <c r="AA129" s="28"/>
      <c r="AB129" s="24" t="s">
        <v>238</v>
      </c>
      <c r="AC129" s="30"/>
      <c r="AD129" s="30"/>
      <c r="AE129" s="36"/>
    </row>
    <row r="130" spans="1:31" ht="15.75" x14ac:dyDescent="0.25">
      <c r="A130" s="23" t="s">
        <v>630</v>
      </c>
      <c r="B130" s="24" t="s">
        <v>631</v>
      </c>
      <c r="C130" s="24" t="s">
        <v>632</v>
      </c>
      <c r="D130" s="24" t="s">
        <v>633</v>
      </c>
      <c r="E130" s="29">
        <v>97058</v>
      </c>
      <c r="F130" s="24" t="s">
        <v>263</v>
      </c>
      <c r="G130" s="24" t="s">
        <v>236</v>
      </c>
      <c r="H130" s="24" t="s">
        <v>5</v>
      </c>
      <c r="I130" s="25">
        <v>31.7177419354839</v>
      </c>
      <c r="J130" s="26">
        <v>0.10223642172523961</v>
      </c>
      <c r="K130" s="26">
        <v>1.3450479233226831</v>
      </c>
      <c r="L130" s="26">
        <v>3.4952076677316279</v>
      </c>
      <c r="M130" s="26">
        <v>3.6517571884984021</v>
      </c>
      <c r="N130" s="26">
        <v>8.2619808306709324</v>
      </c>
      <c r="O130" s="26">
        <v>0.18849840255591055</v>
      </c>
      <c r="P130" s="26">
        <v>0.14376996805111819</v>
      </c>
      <c r="Q130" s="26">
        <v>0</v>
      </c>
      <c r="R130" s="26">
        <v>4.7731629392971273</v>
      </c>
      <c r="S130" s="26">
        <v>2.9009584664536732</v>
      </c>
      <c r="T130" s="26">
        <v>0.86900958466453659</v>
      </c>
      <c r="U130" s="26">
        <v>5.1118210862619806E-2</v>
      </c>
      <c r="V130" s="26">
        <v>7.6773162939297173</v>
      </c>
      <c r="W130" s="27"/>
      <c r="X130" s="24" t="s">
        <v>209</v>
      </c>
      <c r="Y130" s="30" t="s">
        <v>345</v>
      </c>
      <c r="Z130" s="24" t="s">
        <v>368</v>
      </c>
      <c r="AA130" s="28" t="s">
        <v>341</v>
      </c>
      <c r="AB130" s="24" t="s">
        <v>209</v>
      </c>
      <c r="AC130" s="30" t="s">
        <v>345</v>
      </c>
      <c r="AD130" s="30" t="s">
        <v>368</v>
      </c>
      <c r="AE130" s="36">
        <v>43447</v>
      </c>
    </row>
    <row r="131" spans="1:31" ht="15.75" x14ac:dyDescent="0.25">
      <c r="A131" s="23" t="s">
        <v>911</v>
      </c>
      <c r="B131" s="24" t="s">
        <v>910</v>
      </c>
      <c r="C131" s="24" t="s">
        <v>909</v>
      </c>
      <c r="D131" s="24" t="s">
        <v>222</v>
      </c>
      <c r="E131" s="29">
        <v>76021</v>
      </c>
      <c r="F131" s="24" t="s">
        <v>314</v>
      </c>
      <c r="G131" s="24" t="s">
        <v>236</v>
      </c>
      <c r="H131" s="24" t="s">
        <v>208</v>
      </c>
      <c r="I131" s="25">
        <v>1.2104265402843599</v>
      </c>
      <c r="J131" s="26">
        <v>7.3514376996807052</v>
      </c>
      <c r="K131" s="26">
        <v>0.22044728434504751</v>
      </c>
      <c r="L131" s="26">
        <v>0.27795527156549482</v>
      </c>
      <c r="M131" s="26">
        <v>0.34504792332268308</v>
      </c>
      <c r="N131" s="26">
        <v>4.2492012779552377</v>
      </c>
      <c r="O131" s="26">
        <v>3.2204472843450147</v>
      </c>
      <c r="P131" s="26">
        <v>0.24281150159744391</v>
      </c>
      <c r="Q131" s="26">
        <v>0.48242811501597366</v>
      </c>
      <c r="R131" s="26">
        <v>1.4504792332268355</v>
      </c>
      <c r="S131" s="26">
        <v>1.1022364217252414</v>
      </c>
      <c r="T131" s="26">
        <v>1.9169329073482355</v>
      </c>
      <c r="U131" s="26">
        <v>3.7252396166133748</v>
      </c>
      <c r="V131" s="26">
        <v>3.3290734824280808</v>
      </c>
      <c r="W131" s="27"/>
      <c r="X131" s="24" t="s">
        <v>609</v>
      </c>
      <c r="Y131" s="30" t="s">
        <v>345</v>
      </c>
      <c r="Z131" s="24" t="s">
        <v>368</v>
      </c>
      <c r="AA131" s="28" t="s">
        <v>892</v>
      </c>
      <c r="AB131" s="24" t="s">
        <v>609</v>
      </c>
      <c r="AC131" s="30" t="s">
        <v>345</v>
      </c>
      <c r="AD131" s="30" t="s">
        <v>368</v>
      </c>
      <c r="AE131" s="36">
        <v>42580</v>
      </c>
    </row>
    <row r="132" spans="1:31" ht="15.75" x14ac:dyDescent="0.25">
      <c r="A132" s="23" t="s">
        <v>908</v>
      </c>
      <c r="B132" s="24" t="s">
        <v>907</v>
      </c>
      <c r="C132" s="24" t="s">
        <v>906</v>
      </c>
      <c r="D132" s="24" t="s">
        <v>363</v>
      </c>
      <c r="E132" s="29">
        <v>12901</v>
      </c>
      <c r="F132" s="24" t="s">
        <v>364</v>
      </c>
      <c r="G132" s="24" t="s">
        <v>292</v>
      </c>
      <c r="H132" s="24" t="s">
        <v>208</v>
      </c>
      <c r="I132" s="25">
        <v>11.534391534391499</v>
      </c>
      <c r="J132" s="26">
        <v>2.6645367412140577</v>
      </c>
      <c r="K132" s="26">
        <v>3.5974440894568676</v>
      </c>
      <c r="L132" s="26">
        <v>0.50798722044728439</v>
      </c>
      <c r="M132" s="26">
        <v>1.0543130990415335</v>
      </c>
      <c r="N132" s="26">
        <v>2.5878594249201283</v>
      </c>
      <c r="O132" s="26">
        <v>3.1150159744408943</v>
      </c>
      <c r="P132" s="26">
        <v>1.6996805111821083</v>
      </c>
      <c r="Q132" s="26">
        <v>0.4217252396166134</v>
      </c>
      <c r="R132" s="26">
        <v>1.246006389776358</v>
      </c>
      <c r="S132" s="26">
        <v>0.23322683706070285</v>
      </c>
      <c r="T132" s="26">
        <v>2.8083067092651772</v>
      </c>
      <c r="U132" s="26">
        <v>3.5367412140575083</v>
      </c>
      <c r="V132" s="26">
        <v>5.5910543130990353</v>
      </c>
      <c r="W132" s="27"/>
      <c r="X132" s="24" t="s">
        <v>209</v>
      </c>
      <c r="Y132" s="30" t="s">
        <v>345</v>
      </c>
      <c r="Z132" s="24" t="s">
        <v>368</v>
      </c>
      <c r="AA132" s="28" t="s">
        <v>905</v>
      </c>
      <c r="AB132" s="24" t="s">
        <v>209</v>
      </c>
      <c r="AC132" s="30" t="s">
        <v>345</v>
      </c>
      <c r="AD132" s="30" t="s">
        <v>368</v>
      </c>
      <c r="AE132" s="36">
        <v>43139</v>
      </c>
    </row>
    <row r="133" spans="1:31" ht="15.75" x14ac:dyDescent="0.25">
      <c r="A133" s="23" t="s">
        <v>640</v>
      </c>
      <c r="B133" s="24" t="s">
        <v>641</v>
      </c>
      <c r="C133" s="24" t="s">
        <v>255</v>
      </c>
      <c r="D133" s="24" t="s">
        <v>205</v>
      </c>
      <c r="E133" s="29">
        <v>92154</v>
      </c>
      <c r="F133" s="24" t="s">
        <v>256</v>
      </c>
      <c r="G133" s="24" t="s">
        <v>0</v>
      </c>
      <c r="H133" s="24" t="s">
        <v>208</v>
      </c>
      <c r="I133" s="25">
        <v>1.7331536388140201</v>
      </c>
      <c r="J133" s="26">
        <v>7.0031948881790074</v>
      </c>
      <c r="K133" s="26">
        <v>0.29073482428114994</v>
      </c>
      <c r="L133" s="26">
        <v>0.15654952076677314</v>
      </c>
      <c r="M133" s="26">
        <v>2.2364217252396165E-2</v>
      </c>
      <c r="N133" s="26">
        <v>1.3961661341853022</v>
      </c>
      <c r="O133" s="26">
        <v>5.0702875399361265</v>
      </c>
      <c r="P133" s="26">
        <v>5.4313099041533544E-2</v>
      </c>
      <c r="Q133" s="26">
        <v>0.95207667731629486</v>
      </c>
      <c r="R133" s="26">
        <v>0.31309904153354612</v>
      </c>
      <c r="S133" s="26">
        <v>0.23003194888178899</v>
      </c>
      <c r="T133" s="26">
        <v>0.91054313099041584</v>
      </c>
      <c r="U133" s="26">
        <v>6.0191693290735593</v>
      </c>
      <c r="V133" s="26">
        <v>3.9808306709264878</v>
      </c>
      <c r="W133" s="27"/>
      <c r="X133" s="24" t="s">
        <v>238</v>
      </c>
      <c r="Y133" s="30"/>
      <c r="Z133" s="24"/>
      <c r="AA133" s="28"/>
      <c r="AB133" s="24" t="s">
        <v>238</v>
      </c>
      <c r="AC133" s="30"/>
      <c r="AD133" s="30"/>
      <c r="AE133" s="36"/>
    </row>
    <row r="134" spans="1:31" ht="15.75" x14ac:dyDescent="0.25">
      <c r="A134" s="23" t="s">
        <v>637</v>
      </c>
      <c r="B134" s="24" t="s">
        <v>638</v>
      </c>
      <c r="C134" s="24" t="s">
        <v>639</v>
      </c>
      <c r="D134" s="24" t="s">
        <v>53</v>
      </c>
      <c r="E134" s="29">
        <v>35968</v>
      </c>
      <c r="F134" s="24" t="s">
        <v>235</v>
      </c>
      <c r="G134" s="24" t="s">
        <v>292</v>
      </c>
      <c r="H134" s="24" t="s">
        <v>208</v>
      </c>
      <c r="I134" s="25">
        <v>4.7982832618025704</v>
      </c>
      <c r="J134" s="26">
        <v>3.1661341853035152</v>
      </c>
      <c r="K134" s="26">
        <v>1.5495207667731634</v>
      </c>
      <c r="L134" s="26">
        <v>2.2683706070287539</v>
      </c>
      <c r="M134" s="26">
        <v>0.16613418530351437</v>
      </c>
      <c r="N134" s="26">
        <v>4.1533546325878593E-2</v>
      </c>
      <c r="O134" s="26">
        <v>0</v>
      </c>
      <c r="P134" s="26">
        <v>3.9552715654951971</v>
      </c>
      <c r="Q134" s="26">
        <v>3.1533546325878619</v>
      </c>
      <c r="R134" s="26">
        <v>2.5846645367412093</v>
      </c>
      <c r="S134" s="26">
        <v>0.55271565495207686</v>
      </c>
      <c r="T134" s="26">
        <v>0.83706070287539924</v>
      </c>
      <c r="U134" s="26">
        <v>3.1757188498402584</v>
      </c>
      <c r="V134" s="26">
        <v>6.1821086261980689</v>
      </c>
      <c r="W134" s="27"/>
      <c r="X134" s="24" t="s">
        <v>209</v>
      </c>
      <c r="Y134" s="30" t="s">
        <v>345</v>
      </c>
      <c r="Z134" s="24" t="s">
        <v>213</v>
      </c>
      <c r="AA134" s="28" t="s">
        <v>269</v>
      </c>
      <c r="AB134" s="24" t="s">
        <v>209</v>
      </c>
      <c r="AC134" s="30" t="s">
        <v>345</v>
      </c>
      <c r="AD134" s="30" t="s">
        <v>368</v>
      </c>
      <c r="AE134" s="36">
        <v>42741</v>
      </c>
    </row>
    <row r="135" spans="1:31" ht="15.75" x14ac:dyDescent="0.25">
      <c r="A135" s="23" t="s">
        <v>642</v>
      </c>
      <c r="B135" s="24" t="s">
        <v>643</v>
      </c>
      <c r="C135" s="24" t="s">
        <v>644</v>
      </c>
      <c r="D135" s="24" t="s">
        <v>562</v>
      </c>
      <c r="E135" s="29">
        <v>64079</v>
      </c>
      <c r="F135" s="24" t="s">
        <v>43</v>
      </c>
      <c r="G135" s="24" t="s">
        <v>236</v>
      </c>
      <c r="H135" s="24" t="s">
        <v>208</v>
      </c>
      <c r="I135" s="25">
        <v>23.855421686747</v>
      </c>
      <c r="J135" s="26">
        <v>3.0734824281150157</v>
      </c>
      <c r="K135" s="26">
        <v>1.2012779552715658</v>
      </c>
      <c r="L135" s="26">
        <v>1.3162939297124598</v>
      </c>
      <c r="M135" s="26">
        <v>1.1246006389776355</v>
      </c>
      <c r="N135" s="26">
        <v>3.281150159744409</v>
      </c>
      <c r="O135" s="26">
        <v>1.4824281150159744</v>
      </c>
      <c r="P135" s="26">
        <v>1.2683706070287539</v>
      </c>
      <c r="Q135" s="26">
        <v>0.68370607028753994</v>
      </c>
      <c r="R135" s="26">
        <v>1.9169329073482426</v>
      </c>
      <c r="S135" s="26">
        <v>0.53993610223642186</v>
      </c>
      <c r="T135" s="26">
        <v>2.0926517571884986</v>
      </c>
      <c r="U135" s="26">
        <v>2.1661341853035143</v>
      </c>
      <c r="V135" s="26">
        <v>3.5303514376996792</v>
      </c>
      <c r="W135" s="27"/>
      <c r="X135" s="24" t="s">
        <v>209</v>
      </c>
      <c r="Y135" s="30" t="s">
        <v>345</v>
      </c>
      <c r="Z135" s="24" t="s">
        <v>346</v>
      </c>
      <c r="AA135" s="28" t="s">
        <v>298</v>
      </c>
      <c r="AB135" s="24" t="s">
        <v>209</v>
      </c>
      <c r="AC135" s="30" t="s">
        <v>345</v>
      </c>
      <c r="AD135" s="30" t="s">
        <v>368</v>
      </c>
      <c r="AE135" s="36">
        <v>43055</v>
      </c>
    </row>
    <row r="136" spans="1:31" ht="15.75" x14ac:dyDescent="0.25">
      <c r="A136" s="23" t="s">
        <v>649</v>
      </c>
      <c r="B136" s="24" t="s">
        <v>650</v>
      </c>
      <c r="C136" s="24" t="s">
        <v>651</v>
      </c>
      <c r="D136" s="24" t="s">
        <v>222</v>
      </c>
      <c r="E136" s="29">
        <v>75202</v>
      </c>
      <c r="F136" s="24" t="s">
        <v>314</v>
      </c>
      <c r="G136" s="24" t="s">
        <v>292</v>
      </c>
      <c r="H136" s="24" t="s">
        <v>208</v>
      </c>
      <c r="I136" s="25">
        <v>1.2069364161849701</v>
      </c>
      <c r="J136" s="26">
        <v>6.6581469648563658</v>
      </c>
      <c r="K136" s="26">
        <v>3.1948881789137379E-2</v>
      </c>
      <c r="L136" s="26">
        <v>1.5974440894568689E-2</v>
      </c>
      <c r="M136" s="26">
        <v>6.3897763578274758E-3</v>
      </c>
      <c r="N136" s="26">
        <v>3.6900958466453253</v>
      </c>
      <c r="O136" s="26">
        <v>2.530351437699661</v>
      </c>
      <c r="P136" s="26">
        <v>0.22044728434504768</v>
      </c>
      <c r="Q136" s="26">
        <v>0.27156549520766737</v>
      </c>
      <c r="R136" s="26">
        <v>1.0543130990415361</v>
      </c>
      <c r="S136" s="26">
        <v>1.1533546325878596</v>
      </c>
      <c r="T136" s="26">
        <v>1.7795527156549469</v>
      </c>
      <c r="U136" s="26">
        <v>2.7252396166133943</v>
      </c>
      <c r="V136" s="26">
        <v>2.364217252396152</v>
      </c>
      <c r="W136" s="27"/>
      <c r="X136" s="24" t="s">
        <v>609</v>
      </c>
      <c r="Y136" s="30" t="s">
        <v>345</v>
      </c>
      <c r="Z136" s="24" t="s">
        <v>368</v>
      </c>
      <c r="AA136" s="28" t="s">
        <v>652</v>
      </c>
      <c r="AB136" s="24" t="s">
        <v>238</v>
      </c>
      <c r="AC136" s="30"/>
      <c r="AD136" s="30"/>
      <c r="AE136" s="36"/>
    </row>
    <row r="137" spans="1:31" ht="15.75" x14ac:dyDescent="0.25">
      <c r="A137" s="23" t="s">
        <v>662</v>
      </c>
      <c r="B137" s="24" t="s">
        <v>663</v>
      </c>
      <c r="C137" s="24" t="s">
        <v>664</v>
      </c>
      <c r="D137" s="24" t="s">
        <v>665</v>
      </c>
      <c r="E137" s="29">
        <v>96950</v>
      </c>
      <c r="F137" s="24" t="s">
        <v>386</v>
      </c>
      <c r="G137" s="24" t="s">
        <v>292</v>
      </c>
      <c r="H137" s="24" t="s">
        <v>208</v>
      </c>
      <c r="I137" s="25">
        <v>23</v>
      </c>
      <c r="J137" s="26">
        <v>0</v>
      </c>
      <c r="K137" s="26">
        <v>5.0000000000000027</v>
      </c>
      <c r="L137" s="26">
        <v>1.3993610223642172</v>
      </c>
      <c r="M137" s="26">
        <v>0</v>
      </c>
      <c r="N137" s="26">
        <v>3.2492012779552724</v>
      </c>
      <c r="O137" s="26">
        <v>2.1309904153354626</v>
      </c>
      <c r="P137" s="26">
        <v>0.84345047923322691</v>
      </c>
      <c r="Q137" s="26">
        <v>0.1757188498402556</v>
      </c>
      <c r="R137" s="26">
        <v>1.6741214057507987</v>
      </c>
      <c r="S137" s="26">
        <v>2.4217252396166131</v>
      </c>
      <c r="T137" s="26">
        <v>0</v>
      </c>
      <c r="U137" s="26">
        <v>2.3035143769968038</v>
      </c>
      <c r="V137" s="26">
        <v>4.4696485623003213</v>
      </c>
      <c r="W137" s="27"/>
      <c r="X137" s="24" t="s">
        <v>238</v>
      </c>
      <c r="Y137" s="30"/>
      <c r="Z137" s="24"/>
      <c r="AA137" s="28"/>
      <c r="AB137" s="24" t="s">
        <v>238</v>
      </c>
      <c r="AC137" s="30"/>
      <c r="AD137" s="30"/>
      <c r="AE137" s="36"/>
    </row>
    <row r="138" spans="1:31" ht="15.75" x14ac:dyDescent="0.25">
      <c r="A138" s="23" t="s">
        <v>645</v>
      </c>
      <c r="B138" s="24" t="s">
        <v>646</v>
      </c>
      <c r="C138" s="24" t="s">
        <v>647</v>
      </c>
      <c r="D138" s="24" t="s">
        <v>329</v>
      </c>
      <c r="E138" s="29">
        <v>34112</v>
      </c>
      <c r="F138" s="24" t="s">
        <v>36</v>
      </c>
      <c r="G138" s="24" t="s">
        <v>236</v>
      </c>
      <c r="H138" s="24" t="s">
        <v>208</v>
      </c>
      <c r="I138" s="25">
        <v>2.1426953567383902</v>
      </c>
      <c r="J138" s="26">
        <v>2.5559105431309832</v>
      </c>
      <c r="K138" s="26">
        <v>1.0000000000000007</v>
      </c>
      <c r="L138" s="26">
        <v>1.683706070287539</v>
      </c>
      <c r="M138" s="26">
        <v>0.71884984025559162</v>
      </c>
      <c r="N138" s="26">
        <v>3.8498402555910389</v>
      </c>
      <c r="O138" s="26">
        <v>1.8562300319488798</v>
      </c>
      <c r="P138" s="26">
        <v>6.7092651757188496E-2</v>
      </c>
      <c r="Q138" s="26">
        <v>0.18530351437699674</v>
      </c>
      <c r="R138" s="26">
        <v>0.65495207667731636</v>
      </c>
      <c r="S138" s="26">
        <v>1.5175718849840243</v>
      </c>
      <c r="T138" s="26">
        <v>1.8594249201277926</v>
      </c>
      <c r="U138" s="26">
        <v>1.9265175718849821</v>
      </c>
      <c r="V138" s="26">
        <v>2.6325878594249108</v>
      </c>
      <c r="W138" s="27"/>
      <c r="X138" s="24" t="s">
        <v>209</v>
      </c>
      <c r="Y138" s="30" t="s">
        <v>345</v>
      </c>
      <c r="Z138" s="24" t="s">
        <v>390</v>
      </c>
      <c r="AA138" s="28" t="s">
        <v>648</v>
      </c>
      <c r="AB138" s="24" t="s">
        <v>609</v>
      </c>
      <c r="AC138" s="30" t="s">
        <v>345</v>
      </c>
      <c r="AD138" s="30" t="s">
        <v>368</v>
      </c>
      <c r="AE138" s="36">
        <v>43364</v>
      </c>
    </row>
    <row r="139" spans="1:31" ht="15.75" x14ac:dyDescent="0.25">
      <c r="A139" s="23" t="s">
        <v>55</v>
      </c>
      <c r="B139" s="24" t="s">
        <v>658</v>
      </c>
      <c r="C139" s="24" t="s">
        <v>659</v>
      </c>
      <c r="D139" s="24" t="s">
        <v>660</v>
      </c>
      <c r="E139" s="29">
        <v>939</v>
      </c>
      <c r="F139" s="24" t="s">
        <v>36</v>
      </c>
      <c r="G139" s="24" t="s">
        <v>583</v>
      </c>
      <c r="H139" s="24" t="s">
        <v>208</v>
      </c>
      <c r="I139" s="25">
        <v>10.0670391061453</v>
      </c>
      <c r="J139" s="26">
        <v>9.2651757188498399E-2</v>
      </c>
      <c r="K139" s="26">
        <v>2.4920127795527156</v>
      </c>
      <c r="L139" s="26">
        <v>1.5367412140575074</v>
      </c>
      <c r="M139" s="26">
        <v>1.5942492012779552</v>
      </c>
      <c r="N139" s="26">
        <v>4.7635782747603841</v>
      </c>
      <c r="O139" s="26">
        <v>0.74121405750798719</v>
      </c>
      <c r="P139" s="26">
        <v>0.19169329073482427</v>
      </c>
      <c r="Q139" s="26">
        <v>1.9169329073482427E-2</v>
      </c>
      <c r="R139" s="26">
        <v>2.4185303514376986</v>
      </c>
      <c r="S139" s="26">
        <v>2.4313099041533541</v>
      </c>
      <c r="T139" s="26">
        <v>0.16932907348242815</v>
      </c>
      <c r="U139" s="26">
        <v>0.69648562300319494</v>
      </c>
      <c r="V139" s="26">
        <v>5.0862619808306704</v>
      </c>
      <c r="W139" s="27"/>
      <c r="X139" s="24" t="s">
        <v>209</v>
      </c>
      <c r="Y139" s="30" t="s">
        <v>345</v>
      </c>
      <c r="Z139" s="24" t="s">
        <v>346</v>
      </c>
      <c r="AA139" s="28" t="s">
        <v>661</v>
      </c>
      <c r="AB139" s="24" t="s">
        <v>209</v>
      </c>
      <c r="AC139" s="30" t="s">
        <v>345</v>
      </c>
      <c r="AD139" s="30" t="s">
        <v>346</v>
      </c>
      <c r="AE139" s="36">
        <v>39241</v>
      </c>
    </row>
    <row r="140" spans="1:31" ht="15.75" x14ac:dyDescent="0.25">
      <c r="A140" s="23" t="s">
        <v>654</v>
      </c>
      <c r="B140" s="24" t="s">
        <v>655</v>
      </c>
      <c r="C140" s="24" t="s">
        <v>656</v>
      </c>
      <c r="D140" s="24" t="s">
        <v>613</v>
      </c>
      <c r="E140" s="29">
        <v>84737</v>
      </c>
      <c r="F140" s="24" t="s">
        <v>441</v>
      </c>
      <c r="G140" s="24" t="s">
        <v>292</v>
      </c>
      <c r="H140" s="24" t="s">
        <v>208</v>
      </c>
      <c r="I140" s="25">
        <v>7.4660633484162897</v>
      </c>
      <c r="J140" s="26">
        <v>0.26837060702875398</v>
      </c>
      <c r="K140" s="26">
        <v>4.3003194888178902</v>
      </c>
      <c r="L140" s="26">
        <v>0.64217252396166136</v>
      </c>
      <c r="M140" s="26">
        <v>0.15974440894568692</v>
      </c>
      <c r="N140" s="26">
        <v>3.7060702875399327</v>
      </c>
      <c r="O140" s="26">
        <v>1.3035143769968052</v>
      </c>
      <c r="P140" s="26">
        <v>0.2172523961661342</v>
      </c>
      <c r="Q140" s="26">
        <v>0.14376996805111819</v>
      </c>
      <c r="R140" s="26">
        <v>1.3833865814696484</v>
      </c>
      <c r="S140" s="26">
        <v>1.7348242811501595</v>
      </c>
      <c r="T140" s="26">
        <v>0.92332268370607029</v>
      </c>
      <c r="U140" s="26">
        <v>1.329073482428115</v>
      </c>
      <c r="V140" s="26">
        <v>3.6964856230031931</v>
      </c>
      <c r="W140" s="27"/>
      <c r="X140" s="24" t="s">
        <v>609</v>
      </c>
      <c r="Y140" s="30" t="s">
        <v>345</v>
      </c>
      <c r="Z140" s="24" t="s">
        <v>368</v>
      </c>
      <c r="AA140" s="28" t="s">
        <v>657</v>
      </c>
      <c r="AB140" s="24" t="s">
        <v>609</v>
      </c>
      <c r="AC140" s="30" t="s">
        <v>345</v>
      </c>
      <c r="AD140" s="30" t="s">
        <v>368</v>
      </c>
      <c r="AE140" s="36">
        <v>42978</v>
      </c>
    </row>
    <row r="141" spans="1:31" ht="15.75" x14ac:dyDescent="0.25">
      <c r="A141" s="23" t="s">
        <v>677</v>
      </c>
      <c r="B141" s="24" t="s">
        <v>678</v>
      </c>
      <c r="C141" s="24" t="s">
        <v>679</v>
      </c>
      <c r="D141" s="24" t="s">
        <v>543</v>
      </c>
      <c r="E141" s="29">
        <v>52401</v>
      </c>
      <c r="F141" s="24" t="s">
        <v>398</v>
      </c>
      <c r="G141" s="24" t="s">
        <v>292</v>
      </c>
      <c r="H141" s="24" t="s">
        <v>208</v>
      </c>
      <c r="I141" s="25">
        <v>8.7754010695187201</v>
      </c>
      <c r="J141" s="26">
        <v>1.1884984025559109</v>
      </c>
      <c r="K141" s="26">
        <v>2.4888178913738011</v>
      </c>
      <c r="L141" s="26">
        <v>0.53674121405750785</v>
      </c>
      <c r="M141" s="26">
        <v>1.0894568690095849</v>
      </c>
      <c r="N141" s="26">
        <v>3.9744408945686884</v>
      </c>
      <c r="O141" s="26">
        <v>0.96485623003194931</v>
      </c>
      <c r="P141" s="26">
        <v>0.26198083067092648</v>
      </c>
      <c r="Q141" s="26">
        <v>0.10223642172523961</v>
      </c>
      <c r="R141" s="26">
        <v>1.9936102236421729</v>
      </c>
      <c r="S141" s="26">
        <v>1.4984025559105432</v>
      </c>
      <c r="T141" s="26">
        <v>0.9361022364217253</v>
      </c>
      <c r="U141" s="26">
        <v>0.8753993610223646</v>
      </c>
      <c r="V141" s="26">
        <v>3.8146964856230006</v>
      </c>
      <c r="W141" s="27"/>
      <c r="X141" s="24" t="s">
        <v>209</v>
      </c>
      <c r="Y141" s="30" t="s">
        <v>345</v>
      </c>
      <c r="Z141" s="24" t="s">
        <v>368</v>
      </c>
      <c r="AA141" s="28" t="s">
        <v>680</v>
      </c>
      <c r="AB141" s="24" t="s">
        <v>209</v>
      </c>
      <c r="AC141" s="30" t="s">
        <v>345</v>
      </c>
      <c r="AD141" s="30" t="s">
        <v>368</v>
      </c>
      <c r="AE141" s="36">
        <v>43041</v>
      </c>
    </row>
    <row r="142" spans="1:31" ht="15.75" x14ac:dyDescent="0.25">
      <c r="A142" s="23" t="s">
        <v>666</v>
      </c>
      <c r="B142" s="24" t="s">
        <v>667</v>
      </c>
      <c r="C142" s="24" t="s">
        <v>668</v>
      </c>
      <c r="D142" s="24" t="s">
        <v>562</v>
      </c>
      <c r="E142" s="29">
        <v>63379</v>
      </c>
      <c r="F142" s="24" t="s">
        <v>43</v>
      </c>
      <c r="G142" s="24" t="s">
        <v>236</v>
      </c>
      <c r="H142" s="24" t="s">
        <v>208</v>
      </c>
      <c r="I142" s="25">
        <v>33.981818181818198</v>
      </c>
      <c r="J142" s="26">
        <v>0.68370607028753994</v>
      </c>
      <c r="K142" s="26">
        <v>0.33865814696485619</v>
      </c>
      <c r="L142" s="26">
        <v>1.6709265175718846</v>
      </c>
      <c r="M142" s="26">
        <v>2.1629392971246006</v>
      </c>
      <c r="N142" s="26">
        <v>3.559105431309904</v>
      </c>
      <c r="O142" s="26">
        <v>0.53993610223642163</v>
      </c>
      <c r="P142" s="26">
        <v>0.75718849840255598</v>
      </c>
      <c r="Q142" s="26">
        <v>0</v>
      </c>
      <c r="R142" s="26">
        <v>1.9233226837060704</v>
      </c>
      <c r="S142" s="26">
        <v>2.1022364217252396</v>
      </c>
      <c r="T142" s="26">
        <v>0.33865814696485619</v>
      </c>
      <c r="U142" s="26">
        <v>0.49201277955271555</v>
      </c>
      <c r="V142" s="26">
        <v>3.9648562300319488</v>
      </c>
      <c r="W142" s="27"/>
      <c r="X142" s="24" t="s">
        <v>609</v>
      </c>
      <c r="Y142" s="30" t="s">
        <v>345</v>
      </c>
      <c r="Z142" s="24" t="s">
        <v>368</v>
      </c>
      <c r="AA142" s="28" t="s">
        <v>669</v>
      </c>
      <c r="AB142" s="24" t="s">
        <v>609</v>
      </c>
      <c r="AC142" s="30" t="s">
        <v>345</v>
      </c>
      <c r="AD142" s="30" t="s">
        <v>368</v>
      </c>
      <c r="AE142" s="36">
        <v>42983</v>
      </c>
    </row>
    <row r="143" spans="1:31" ht="15.75" x14ac:dyDescent="0.25">
      <c r="A143" s="23" t="s">
        <v>681</v>
      </c>
      <c r="B143" s="24" t="s">
        <v>682</v>
      </c>
      <c r="C143" s="24" t="s">
        <v>683</v>
      </c>
      <c r="D143" s="24" t="s">
        <v>684</v>
      </c>
      <c r="E143" s="29">
        <v>25309</v>
      </c>
      <c r="F143" s="24" t="s">
        <v>351</v>
      </c>
      <c r="G143" s="24" t="s">
        <v>292</v>
      </c>
      <c r="H143" s="24" t="s">
        <v>208</v>
      </c>
      <c r="I143" s="25">
        <v>8.2364864864864895</v>
      </c>
      <c r="J143" s="26">
        <v>0.55271565495207653</v>
      </c>
      <c r="K143" s="26">
        <v>0.99680511182108633</v>
      </c>
      <c r="L143" s="26">
        <v>1.8019169329073479</v>
      </c>
      <c r="M143" s="26">
        <v>0.194888178913738</v>
      </c>
      <c r="N143" s="26">
        <v>2.408945686900958</v>
      </c>
      <c r="O143" s="26">
        <v>1.1373801916932906</v>
      </c>
      <c r="P143" s="26">
        <v>0</v>
      </c>
      <c r="Q143" s="26">
        <v>0</v>
      </c>
      <c r="R143" s="26">
        <v>1.4408945686900956</v>
      </c>
      <c r="S143" s="26">
        <v>0.76357827476038342</v>
      </c>
      <c r="T143" s="26">
        <v>0.33226837060702868</v>
      </c>
      <c r="U143" s="26">
        <v>1.0095846645367408</v>
      </c>
      <c r="V143" s="26">
        <v>2.8881789137380176</v>
      </c>
      <c r="W143" s="27"/>
      <c r="X143" s="24" t="s">
        <v>609</v>
      </c>
      <c r="Y143" s="30" t="s">
        <v>345</v>
      </c>
      <c r="Z143" s="24" t="s">
        <v>368</v>
      </c>
      <c r="AA143" s="28" t="s">
        <v>685</v>
      </c>
      <c r="AB143" s="24" t="s">
        <v>609</v>
      </c>
      <c r="AC143" s="30" t="s">
        <v>345</v>
      </c>
      <c r="AD143" s="30" t="s">
        <v>368</v>
      </c>
      <c r="AE143" s="36">
        <v>42996</v>
      </c>
    </row>
    <row r="144" spans="1:31" ht="15.75" x14ac:dyDescent="0.25">
      <c r="A144" s="23" t="s">
        <v>698</v>
      </c>
      <c r="B144" s="24" t="s">
        <v>699</v>
      </c>
      <c r="C144" s="24" t="s">
        <v>700</v>
      </c>
      <c r="D144" s="24" t="s">
        <v>262</v>
      </c>
      <c r="E144" s="29">
        <v>98632</v>
      </c>
      <c r="F144" s="24" t="s">
        <v>263</v>
      </c>
      <c r="G144" s="24" t="s">
        <v>701</v>
      </c>
      <c r="H144" s="24" t="s">
        <v>208</v>
      </c>
      <c r="I144" s="25">
        <v>152.833333333333</v>
      </c>
      <c r="J144" s="26">
        <v>0.89456869009584661</v>
      </c>
      <c r="K144" s="26">
        <v>0.60383386581469645</v>
      </c>
      <c r="L144" s="26">
        <v>0.40894568690095845</v>
      </c>
      <c r="M144" s="26">
        <v>1.1309904153354633</v>
      </c>
      <c r="N144" s="26">
        <v>0.36102236421725242</v>
      </c>
      <c r="O144" s="26">
        <v>2.0798722044728435</v>
      </c>
      <c r="P144" s="26">
        <v>0.597444089456869</v>
      </c>
      <c r="Q144" s="26">
        <v>0</v>
      </c>
      <c r="R144" s="26">
        <v>0.95846645367412131</v>
      </c>
      <c r="S144" s="26">
        <v>0</v>
      </c>
      <c r="T144" s="26">
        <v>0</v>
      </c>
      <c r="U144" s="26">
        <v>2.0798722044728435</v>
      </c>
      <c r="V144" s="26">
        <v>1.0958466453674121</v>
      </c>
      <c r="W144" s="27"/>
      <c r="X144" s="24" t="s">
        <v>209</v>
      </c>
      <c r="Y144" s="30" t="s">
        <v>702</v>
      </c>
      <c r="Z144" s="24" t="s">
        <v>213</v>
      </c>
      <c r="AA144" s="28" t="s">
        <v>516</v>
      </c>
      <c r="AB144" s="24" t="s">
        <v>238</v>
      </c>
      <c r="AC144" s="30"/>
      <c r="AD144" s="30"/>
      <c r="AE144" s="36"/>
    </row>
    <row r="145" spans="1:31" ht="15.75" x14ac:dyDescent="0.25">
      <c r="A145" s="23" t="s">
        <v>686</v>
      </c>
      <c r="B145" s="24" t="s">
        <v>687</v>
      </c>
      <c r="C145" s="24" t="s">
        <v>688</v>
      </c>
      <c r="D145" s="24" t="s">
        <v>689</v>
      </c>
      <c r="E145" s="29">
        <v>83318</v>
      </c>
      <c r="F145" s="24" t="s">
        <v>441</v>
      </c>
      <c r="G145" s="24" t="s">
        <v>236</v>
      </c>
      <c r="H145" s="24" t="s">
        <v>208</v>
      </c>
      <c r="I145" s="25">
        <v>4.5192307692307701</v>
      </c>
      <c r="J145" s="26">
        <v>0.71246006389776373</v>
      </c>
      <c r="K145" s="26">
        <v>0.63897763578274758</v>
      </c>
      <c r="L145" s="26">
        <v>1.0383386581469647</v>
      </c>
      <c r="M145" s="26">
        <v>0.59744408945686878</v>
      </c>
      <c r="N145" s="26">
        <v>2.638977635782747</v>
      </c>
      <c r="O145" s="26">
        <v>0.28434504792332266</v>
      </c>
      <c r="P145" s="26">
        <v>6.3897763578274758E-2</v>
      </c>
      <c r="Q145" s="26">
        <v>0</v>
      </c>
      <c r="R145" s="26">
        <v>0.74760383386581486</v>
      </c>
      <c r="S145" s="26">
        <v>0.75399361022364231</v>
      </c>
      <c r="T145" s="26">
        <v>1.201277955271566</v>
      </c>
      <c r="U145" s="26">
        <v>0.28434504792332266</v>
      </c>
      <c r="V145" s="26">
        <v>1.8753993610223643</v>
      </c>
      <c r="W145" s="27"/>
      <c r="X145" s="24" t="s">
        <v>609</v>
      </c>
      <c r="Y145" s="30" t="s">
        <v>345</v>
      </c>
      <c r="Z145" s="24" t="s">
        <v>368</v>
      </c>
      <c r="AA145" s="28" t="s">
        <v>690</v>
      </c>
      <c r="AB145" s="24" t="s">
        <v>609</v>
      </c>
      <c r="AC145" s="30" t="s">
        <v>345</v>
      </c>
      <c r="AD145" s="30" t="s">
        <v>368</v>
      </c>
      <c r="AE145" s="36">
        <v>42983</v>
      </c>
    </row>
    <row r="146" spans="1:31" ht="15.75" x14ac:dyDescent="0.25">
      <c r="A146" s="23" t="s">
        <v>707</v>
      </c>
      <c r="B146" s="24" t="s">
        <v>708</v>
      </c>
      <c r="C146" s="24" t="s">
        <v>668</v>
      </c>
      <c r="D146" s="24" t="s">
        <v>363</v>
      </c>
      <c r="E146" s="29">
        <v>12180</v>
      </c>
      <c r="F146" s="24" t="s">
        <v>364</v>
      </c>
      <c r="G146" s="24" t="s">
        <v>292</v>
      </c>
      <c r="H146" s="24" t="s">
        <v>208</v>
      </c>
      <c r="I146" s="25">
        <v>5.1642857142857101</v>
      </c>
      <c r="J146" s="26">
        <v>0.98083067092651788</v>
      </c>
      <c r="K146" s="26">
        <v>0.99041533546325877</v>
      </c>
      <c r="L146" s="26">
        <v>0.29712460063897755</v>
      </c>
      <c r="M146" s="26">
        <v>0.2044728434504792</v>
      </c>
      <c r="N146" s="26">
        <v>1.26517571884984</v>
      </c>
      <c r="O146" s="26">
        <v>0.77316293929712432</v>
      </c>
      <c r="P146" s="26">
        <v>0.31948881789137373</v>
      </c>
      <c r="Q146" s="26">
        <v>0.11501597444089456</v>
      </c>
      <c r="R146" s="26">
        <v>0.47284345047923315</v>
      </c>
      <c r="S146" s="26">
        <v>0.4472843450479233</v>
      </c>
      <c r="T146" s="26">
        <v>0.83706070287540002</v>
      </c>
      <c r="U146" s="26">
        <v>0.71565495207667718</v>
      </c>
      <c r="V146" s="26">
        <v>1.680511182108626</v>
      </c>
      <c r="W146" s="27"/>
      <c r="X146" s="24" t="s">
        <v>238</v>
      </c>
      <c r="Y146" s="30"/>
      <c r="Z146" s="24"/>
      <c r="AA146" s="28"/>
      <c r="AB146" s="24" t="s">
        <v>238</v>
      </c>
      <c r="AC146" s="30"/>
      <c r="AD146" s="30"/>
      <c r="AE146" s="36"/>
    </row>
    <row r="147" spans="1:31" ht="15.75" x14ac:dyDescent="0.25">
      <c r="A147" s="23" t="s">
        <v>704</v>
      </c>
      <c r="B147" s="24" t="s">
        <v>705</v>
      </c>
      <c r="C147" s="24" t="s">
        <v>706</v>
      </c>
      <c r="D147" s="24" t="s">
        <v>240</v>
      </c>
      <c r="E147" s="29">
        <v>85344</v>
      </c>
      <c r="F147" s="24" t="s">
        <v>241</v>
      </c>
      <c r="G147" s="24" t="s">
        <v>292</v>
      </c>
      <c r="H147" s="24" t="s">
        <v>208</v>
      </c>
      <c r="I147" s="25">
        <v>1.9175</v>
      </c>
      <c r="J147" s="26">
        <v>7.3482428115015971E-2</v>
      </c>
      <c r="K147" s="26">
        <v>2.3546325878594145</v>
      </c>
      <c r="L147" s="26">
        <v>1.5974440894568689E-2</v>
      </c>
      <c r="M147" s="26">
        <v>0</v>
      </c>
      <c r="N147" s="26">
        <v>2.2012779552715585</v>
      </c>
      <c r="O147" s="26">
        <v>0.16293929712460059</v>
      </c>
      <c r="P147" s="26">
        <v>5.1118210862619806E-2</v>
      </c>
      <c r="Q147" s="26">
        <v>2.8753993610223641E-2</v>
      </c>
      <c r="R147" s="26">
        <v>0.16932907348242815</v>
      </c>
      <c r="S147" s="26">
        <v>0.45047923322683692</v>
      </c>
      <c r="T147" s="26">
        <v>1.6293929712460056</v>
      </c>
      <c r="U147" s="26">
        <v>0.194888178913738</v>
      </c>
      <c r="V147" s="26">
        <v>2.1086261980830621</v>
      </c>
      <c r="W147" s="27"/>
      <c r="X147" s="24" t="s">
        <v>609</v>
      </c>
      <c r="Y147" s="30" t="s">
        <v>345</v>
      </c>
      <c r="Z147" s="24" t="s">
        <v>368</v>
      </c>
      <c r="AA147" s="28" t="s">
        <v>696</v>
      </c>
      <c r="AB147" s="24" t="s">
        <v>609</v>
      </c>
      <c r="AC147" s="30" t="s">
        <v>345</v>
      </c>
      <c r="AD147" s="30" t="s">
        <v>368</v>
      </c>
      <c r="AE147" s="36">
        <v>42986</v>
      </c>
    </row>
    <row r="148" spans="1:31" ht="15.75" x14ac:dyDescent="0.25">
      <c r="A148" s="23" t="s">
        <v>721</v>
      </c>
      <c r="B148" s="24" t="s">
        <v>722</v>
      </c>
      <c r="C148" s="24" t="s">
        <v>719</v>
      </c>
      <c r="D148" s="24" t="s">
        <v>625</v>
      </c>
      <c r="E148" s="29">
        <v>29072</v>
      </c>
      <c r="F148" s="24" t="s">
        <v>218</v>
      </c>
      <c r="G148" s="24" t="s">
        <v>292</v>
      </c>
      <c r="H148" s="24" t="s">
        <v>208</v>
      </c>
      <c r="I148" s="25">
        <v>1.43527204502814</v>
      </c>
      <c r="J148" s="26">
        <v>0.33546325878594224</v>
      </c>
      <c r="K148" s="26">
        <v>0.92012779552715684</v>
      </c>
      <c r="L148" s="26">
        <v>0.75399361022364264</v>
      </c>
      <c r="M148" s="26">
        <v>0.41533546325878551</v>
      </c>
      <c r="N148" s="26">
        <v>1.6453674121405748</v>
      </c>
      <c r="O148" s="26">
        <v>0.6869009584664536</v>
      </c>
      <c r="P148" s="26">
        <v>5.1118210862619806E-2</v>
      </c>
      <c r="Q148" s="26">
        <v>4.1533546325878593E-2</v>
      </c>
      <c r="R148" s="26">
        <v>0.60063897763578245</v>
      </c>
      <c r="S148" s="26">
        <v>0.48881789137380144</v>
      </c>
      <c r="T148" s="26">
        <v>0.65175718849840225</v>
      </c>
      <c r="U148" s="26">
        <v>0.68370607028753994</v>
      </c>
      <c r="V148" s="26">
        <v>1.0990415335463268</v>
      </c>
      <c r="W148" s="27"/>
      <c r="X148" s="24" t="s">
        <v>609</v>
      </c>
      <c r="Y148" s="30" t="s">
        <v>345</v>
      </c>
      <c r="Z148" s="24" t="s">
        <v>368</v>
      </c>
      <c r="AA148" s="28" t="s">
        <v>723</v>
      </c>
      <c r="AB148" s="24" t="s">
        <v>609</v>
      </c>
      <c r="AC148" s="30" t="s">
        <v>345</v>
      </c>
      <c r="AD148" s="30" t="s">
        <v>368</v>
      </c>
      <c r="AE148" s="36">
        <v>42629</v>
      </c>
    </row>
    <row r="149" spans="1:31" ht="15.75" x14ac:dyDescent="0.25">
      <c r="A149" s="23" t="s">
        <v>34</v>
      </c>
      <c r="B149" s="24" t="s">
        <v>904</v>
      </c>
      <c r="C149" s="24" t="s">
        <v>903</v>
      </c>
      <c r="D149" s="24" t="s">
        <v>329</v>
      </c>
      <c r="E149" s="29">
        <v>32839</v>
      </c>
      <c r="F149" s="24" t="s">
        <v>36</v>
      </c>
      <c r="G149" s="24" t="s">
        <v>292</v>
      </c>
      <c r="H149" s="24" t="s">
        <v>208</v>
      </c>
      <c r="I149" s="25">
        <v>1.69444444444444</v>
      </c>
      <c r="J149" s="26">
        <v>0.3546325878594247</v>
      </c>
      <c r="K149" s="26">
        <v>1.1725239616613434</v>
      </c>
      <c r="L149" s="26">
        <v>0.64536741214057491</v>
      </c>
      <c r="M149" s="26">
        <v>0.15654952076677314</v>
      </c>
      <c r="N149" s="26">
        <v>0.96166134185303598</v>
      </c>
      <c r="O149" s="26">
        <v>1.159744408945689</v>
      </c>
      <c r="P149" s="26">
        <v>5.7507987220447282E-2</v>
      </c>
      <c r="Q149" s="26">
        <v>0.15015974440894569</v>
      </c>
      <c r="R149" s="26">
        <v>0.30670926517571867</v>
      </c>
      <c r="S149" s="26">
        <v>0.39616613418530339</v>
      </c>
      <c r="T149" s="26">
        <v>0.34185303514376975</v>
      </c>
      <c r="U149" s="26">
        <v>1.2843450479233249</v>
      </c>
      <c r="V149" s="26">
        <v>0.95527156549520875</v>
      </c>
      <c r="W149" s="27"/>
      <c r="X149" s="24" t="s">
        <v>609</v>
      </c>
      <c r="Y149" s="30" t="s">
        <v>345</v>
      </c>
      <c r="Z149" s="24" t="s">
        <v>368</v>
      </c>
      <c r="AA149" s="28" t="s">
        <v>653</v>
      </c>
      <c r="AB149" s="24" t="s">
        <v>609</v>
      </c>
      <c r="AC149" s="30" t="s">
        <v>345</v>
      </c>
      <c r="AD149" s="30" t="s">
        <v>368</v>
      </c>
      <c r="AE149" s="36">
        <v>43019</v>
      </c>
    </row>
    <row r="150" spans="1:31" ht="15.75" x14ac:dyDescent="0.25">
      <c r="A150" s="23" t="s">
        <v>902</v>
      </c>
      <c r="B150" s="24" t="s">
        <v>901</v>
      </c>
      <c r="C150" s="24" t="s">
        <v>900</v>
      </c>
      <c r="D150" s="24" t="s">
        <v>689</v>
      </c>
      <c r="E150" s="29">
        <v>83647</v>
      </c>
      <c r="F150" s="24" t="s">
        <v>441</v>
      </c>
      <c r="G150" s="24" t="s">
        <v>292</v>
      </c>
      <c r="H150" s="24" t="s">
        <v>208</v>
      </c>
      <c r="I150" s="25">
        <v>2.3993808049535601</v>
      </c>
      <c r="J150" s="26">
        <v>0.31629392971245957</v>
      </c>
      <c r="K150" s="26">
        <v>0.40575079872204411</v>
      </c>
      <c r="L150" s="26">
        <v>0.79872204472843655</v>
      </c>
      <c r="M150" s="26">
        <v>0.73801916932907452</v>
      </c>
      <c r="N150" s="26">
        <v>1.8945686900958387</v>
      </c>
      <c r="O150" s="26">
        <v>0.17252396166134176</v>
      </c>
      <c r="P150" s="26">
        <v>0.18210862619808305</v>
      </c>
      <c r="Q150" s="26">
        <v>9.5846645367412137E-3</v>
      </c>
      <c r="R150" s="26">
        <v>1.086261980830671</v>
      </c>
      <c r="S150" s="26">
        <v>0.44089456869009519</v>
      </c>
      <c r="T150" s="26">
        <v>0.54632587859424897</v>
      </c>
      <c r="U150" s="26">
        <v>0.18530351437699671</v>
      </c>
      <c r="V150" s="26">
        <v>1.6038338658146929</v>
      </c>
      <c r="W150" s="27"/>
      <c r="X150" s="24" t="s">
        <v>609</v>
      </c>
      <c r="Y150" s="30" t="s">
        <v>345</v>
      </c>
      <c r="Z150" s="24" t="s">
        <v>368</v>
      </c>
      <c r="AA150" s="28" t="s">
        <v>690</v>
      </c>
      <c r="AB150" s="24" t="s">
        <v>609</v>
      </c>
      <c r="AC150" s="30" t="s">
        <v>345</v>
      </c>
      <c r="AD150" s="30" t="s">
        <v>368</v>
      </c>
      <c r="AE150" s="36">
        <v>42983</v>
      </c>
    </row>
    <row r="151" spans="1:31" ht="15.75" x14ac:dyDescent="0.25">
      <c r="A151" s="23" t="s">
        <v>51</v>
      </c>
      <c r="B151" s="24" t="s">
        <v>691</v>
      </c>
      <c r="C151" s="24" t="s">
        <v>692</v>
      </c>
      <c r="D151" s="24" t="s">
        <v>689</v>
      </c>
      <c r="E151" s="29">
        <v>83442</v>
      </c>
      <c r="F151" s="24" t="s">
        <v>441</v>
      </c>
      <c r="G151" s="24" t="s">
        <v>236</v>
      </c>
      <c r="H151" s="24" t="s">
        <v>208</v>
      </c>
      <c r="I151" s="25">
        <v>5.6239999999999997</v>
      </c>
      <c r="J151" s="26">
        <v>0.32587859424920124</v>
      </c>
      <c r="K151" s="26">
        <v>0.44728434504792325</v>
      </c>
      <c r="L151" s="26">
        <v>0.79872204472843455</v>
      </c>
      <c r="M151" s="26">
        <v>0.66134185303514381</v>
      </c>
      <c r="N151" s="26">
        <v>1.6932907348242812</v>
      </c>
      <c r="O151" s="26">
        <v>0.45367412140575059</v>
      </c>
      <c r="P151" s="26">
        <v>6.070287539936102E-2</v>
      </c>
      <c r="Q151" s="26">
        <v>2.5559105431309903E-2</v>
      </c>
      <c r="R151" s="26">
        <v>0.72523961661341874</v>
      </c>
      <c r="S151" s="26">
        <v>0.59105431309904133</v>
      </c>
      <c r="T151" s="26">
        <v>0.43450479233226846</v>
      </c>
      <c r="U151" s="26">
        <v>0.48242811501597427</v>
      </c>
      <c r="V151" s="26">
        <v>1.7763578274760388</v>
      </c>
      <c r="W151" s="27"/>
      <c r="X151" s="24" t="s">
        <v>609</v>
      </c>
      <c r="Y151" s="30" t="s">
        <v>345</v>
      </c>
      <c r="Z151" s="24" t="s">
        <v>368</v>
      </c>
      <c r="AA151" s="28" t="s">
        <v>690</v>
      </c>
      <c r="AB151" s="24" t="s">
        <v>609</v>
      </c>
      <c r="AC151" s="30" t="s">
        <v>345</v>
      </c>
      <c r="AD151" s="30" t="s">
        <v>368</v>
      </c>
      <c r="AE151" s="36">
        <v>42983</v>
      </c>
    </row>
    <row r="152" spans="1:31" ht="15.75" x14ac:dyDescent="0.25">
      <c r="A152" s="23" t="s">
        <v>693</v>
      </c>
      <c r="B152" s="24" t="s">
        <v>694</v>
      </c>
      <c r="C152" s="24" t="s">
        <v>695</v>
      </c>
      <c r="D152" s="24" t="s">
        <v>252</v>
      </c>
      <c r="E152" s="29">
        <v>39046</v>
      </c>
      <c r="F152" s="24" t="s">
        <v>235</v>
      </c>
      <c r="G152" s="24" t="s">
        <v>292</v>
      </c>
      <c r="H152" s="24" t="s">
        <v>208</v>
      </c>
      <c r="I152" s="25">
        <v>2.48</v>
      </c>
      <c r="J152" s="26">
        <v>0.11182108626198083</v>
      </c>
      <c r="K152" s="26">
        <v>0.59424920127795489</v>
      </c>
      <c r="L152" s="26">
        <v>1.1437699680511182</v>
      </c>
      <c r="M152" s="26">
        <v>0.35463258785942486</v>
      </c>
      <c r="N152" s="26">
        <v>1.0287539936102239</v>
      </c>
      <c r="O152" s="26">
        <v>0.98722044728434466</v>
      </c>
      <c r="P152" s="26">
        <v>7.3482428115015971E-2</v>
      </c>
      <c r="Q152" s="26">
        <v>0.11501597444089456</v>
      </c>
      <c r="R152" s="26">
        <v>0.14057507987220447</v>
      </c>
      <c r="S152" s="26">
        <v>0.4792332268370606</v>
      </c>
      <c r="T152" s="26">
        <v>0.50798722044728417</v>
      </c>
      <c r="U152" s="26">
        <v>1.0766773162939298</v>
      </c>
      <c r="V152" s="26">
        <v>0.84984025559105425</v>
      </c>
      <c r="W152" s="27"/>
      <c r="X152" s="24" t="s">
        <v>609</v>
      </c>
      <c r="Y152" s="30" t="s">
        <v>345</v>
      </c>
      <c r="Z152" s="24" t="s">
        <v>368</v>
      </c>
      <c r="AA152" s="28" t="s">
        <v>696</v>
      </c>
      <c r="AB152" s="24" t="s">
        <v>209</v>
      </c>
      <c r="AC152" s="30" t="s">
        <v>345</v>
      </c>
      <c r="AD152" s="30" t="s">
        <v>697</v>
      </c>
      <c r="AE152" s="36">
        <v>39591</v>
      </c>
    </row>
    <row r="153" spans="1:31" ht="15.75" x14ac:dyDescent="0.25">
      <c r="A153" s="23" t="s">
        <v>728</v>
      </c>
      <c r="B153" s="24" t="s">
        <v>729</v>
      </c>
      <c r="C153" s="24" t="s">
        <v>730</v>
      </c>
      <c r="D153" s="24" t="s">
        <v>363</v>
      </c>
      <c r="E153" s="29">
        <v>14757</v>
      </c>
      <c r="F153" s="24" t="s">
        <v>364</v>
      </c>
      <c r="G153" s="24" t="s">
        <v>236</v>
      </c>
      <c r="H153" s="24" t="s">
        <v>208</v>
      </c>
      <c r="I153" s="25">
        <v>32.375</v>
      </c>
      <c r="J153" s="26">
        <v>0.28753993610223638</v>
      </c>
      <c r="K153" s="26">
        <v>0</v>
      </c>
      <c r="L153" s="26">
        <v>0.50159744408945683</v>
      </c>
      <c r="M153" s="26">
        <v>1.0862619808306708</v>
      </c>
      <c r="N153" s="26">
        <v>2.8753993610223641E-2</v>
      </c>
      <c r="O153" s="26">
        <v>0</v>
      </c>
      <c r="P153" s="26">
        <v>1.5591054313099042</v>
      </c>
      <c r="Q153" s="26">
        <v>0.28753993610223644</v>
      </c>
      <c r="R153" s="26">
        <v>1.5399361022364215</v>
      </c>
      <c r="S153" s="26">
        <v>0</v>
      </c>
      <c r="T153" s="26">
        <v>4.7923322683706068E-2</v>
      </c>
      <c r="U153" s="26">
        <v>0.28753993610223638</v>
      </c>
      <c r="V153" s="26">
        <v>1.6741214057507987</v>
      </c>
      <c r="W153" s="27"/>
      <c r="X153" s="24" t="s">
        <v>609</v>
      </c>
      <c r="Y153" s="30" t="s">
        <v>345</v>
      </c>
      <c r="Z153" s="24" t="s">
        <v>368</v>
      </c>
      <c r="AA153" s="28" t="s">
        <v>731</v>
      </c>
      <c r="AB153" s="24" t="s">
        <v>609</v>
      </c>
      <c r="AC153" s="30" t="s">
        <v>345</v>
      </c>
      <c r="AD153" s="30" t="s">
        <v>368</v>
      </c>
      <c r="AE153" s="36">
        <v>42957</v>
      </c>
    </row>
    <row r="154" spans="1:31" ht="15.75" x14ac:dyDescent="0.25">
      <c r="A154" s="23" t="s">
        <v>713</v>
      </c>
      <c r="B154" s="24" t="s">
        <v>714</v>
      </c>
      <c r="C154" s="24" t="s">
        <v>715</v>
      </c>
      <c r="D154" s="24" t="s">
        <v>222</v>
      </c>
      <c r="E154" s="29">
        <v>78562</v>
      </c>
      <c r="F154" s="24" t="s">
        <v>223</v>
      </c>
      <c r="G154" s="24" t="s">
        <v>292</v>
      </c>
      <c r="H154" s="24" t="s">
        <v>208</v>
      </c>
      <c r="I154" s="25">
        <v>2.4883720930232598</v>
      </c>
      <c r="J154" s="26">
        <v>1.2875399361022348</v>
      </c>
      <c r="K154" s="26">
        <v>0.26517571884984015</v>
      </c>
      <c r="L154" s="26">
        <v>0.10862619808306709</v>
      </c>
      <c r="M154" s="26">
        <v>4.472843450479233E-2</v>
      </c>
      <c r="N154" s="26">
        <v>1.6805111821086223</v>
      </c>
      <c r="O154" s="26">
        <v>1.9169329073482427E-2</v>
      </c>
      <c r="P154" s="26">
        <v>3.1948881789137379E-3</v>
      </c>
      <c r="Q154" s="26">
        <v>3.1948881789137379E-3</v>
      </c>
      <c r="R154" s="26">
        <v>0.48881789137380144</v>
      </c>
      <c r="S154" s="26">
        <v>1.1884984025559091</v>
      </c>
      <c r="T154" s="26">
        <v>9.5846645367412137E-3</v>
      </c>
      <c r="U154" s="26">
        <v>1.9169329073482427E-2</v>
      </c>
      <c r="V154" s="26">
        <v>1.6485623003194851</v>
      </c>
      <c r="W154" s="27"/>
      <c r="X154" s="24" t="s">
        <v>209</v>
      </c>
      <c r="Y154" s="30" t="s">
        <v>345</v>
      </c>
      <c r="Z154" s="24" t="s">
        <v>346</v>
      </c>
      <c r="AA154" s="28" t="s">
        <v>716</v>
      </c>
      <c r="AB154" s="24" t="s">
        <v>209</v>
      </c>
      <c r="AC154" s="30" t="s">
        <v>345</v>
      </c>
      <c r="AD154" s="30" t="s">
        <v>368</v>
      </c>
      <c r="AE154" s="36">
        <v>43307</v>
      </c>
    </row>
    <row r="155" spans="1:31" ht="15.75" x14ac:dyDescent="0.25">
      <c r="A155" s="23" t="s">
        <v>717</v>
      </c>
      <c r="B155" s="24" t="s">
        <v>718</v>
      </c>
      <c r="C155" s="24" t="s">
        <v>719</v>
      </c>
      <c r="D155" s="24" t="s">
        <v>484</v>
      </c>
      <c r="E155" s="29">
        <v>40510</v>
      </c>
      <c r="F155" s="24" t="s">
        <v>43</v>
      </c>
      <c r="G155" s="24" t="s">
        <v>292</v>
      </c>
      <c r="H155" s="24" t="s">
        <v>208</v>
      </c>
      <c r="I155" s="25">
        <v>1.5714285714285701</v>
      </c>
      <c r="J155" s="26">
        <v>0.15654952076677314</v>
      </c>
      <c r="K155" s="26">
        <v>0.23322683706070271</v>
      </c>
      <c r="L155" s="26">
        <v>0.66453674121405781</v>
      </c>
      <c r="M155" s="26">
        <v>0.59424920127795544</v>
      </c>
      <c r="N155" s="26">
        <v>1.1916932907348241</v>
      </c>
      <c r="O155" s="26">
        <v>0.40575079872204445</v>
      </c>
      <c r="P155" s="26">
        <v>4.1533546325878593E-2</v>
      </c>
      <c r="Q155" s="26">
        <v>9.5846645367412137E-3</v>
      </c>
      <c r="R155" s="26">
        <v>0.45047923322683697</v>
      </c>
      <c r="S155" s="26">
        <v>0.52396166134185274</v>
      </c>
      <c r="T155" s="26">
        <v>0.26517571884984015</v>
      </c>
      <c r="U155" s="26">
        <v>0.40894568690095834</v>
      </c>
      <c r="V155" s="26">
        <v>0.72204472843450529</v>
      </c>
      <c r="W155" s="27"/>
      <c r="X155" s="24" t="s">
        <v>609</v>
      </c>
      <c r="Y155" s="30" t="s">
        <v>345</v>
      </c>
      <c r="Z155" s="24" t="s">
        <v>368</v>
      </c>
      <c r="AA155" s="28" t="s">
        <v>720</v>
      </c>
      <c r="AB155" s="24" t="s">
        <v>609</v>
      </c>
      <c r="AC155" s="30" t="s">
        <v>345</v>
      </c>
      <c r="AD155" s="30" t="s">
        <v>368</v>
      </c>
      <c r="AE155" s="36">
        <v>42983</v>
      </c>
    </row>
    <row r="156" spans="1:31" ht="15.75" x14ac:dyDescent="0.25">
      <c r="A156" s="23" t="s">
        <v>709</v>
      </c>
      <c r="B156" s="24" t="s">
        <v>710</v>
      </c>
      <c r="C156" s="24" t="s">
        <v>711</v>
      </c>
      <c r="D156" s="24" t="s">
        <v>703</v>
      </c>
      <c r="E156" s="29">
        <v>38049</v>
      </c>
      <c r="F156" s="24" t="s">
        <v>235</v>
      </c>
      <c r="G156" s="24" t="s">
        <v>292</v>
      </c>
      <c r="H156" s="24" t="s">
        <v>208</v>
      </c>
      <c r="I156" s="25">
        <v>1.62925170068027</v>
      </c>
      <c r="J156" s="26">
        <v>0.32268370607028724</v>
      </c>
      <c r="K156" s="26">
        <v>0.84984025559105514</v>
      </c>
      <c r="L156" s="26">
        <v>0.29073482428114994</v>
      </c>
      <c r="M156" s="26">
        <v>5.4313099041533544E-2</v>
      </c>
      <c r="N156" s="26">
        <v>1.0607028753993621</v>
      </c>
      <c r="O156" s="26">
        <v>0.41214057507987173</v>
      </c>
      <c r="P156" s="26">
        <v>2.8753993610223641E-2</v>
      </c>
      <c r="Q156" s="26">
        <v>1.5974440894568689E-2</v>
      </c>
      <c r="R156" s="26">
        <v>0.33226837060702852</v>
      </c>
      <c r="S156" s="26">
        <v>0.36102236421725209</v>
      </c>
      <c r="T156" s="26">
        <v>0.39936102236421694</v>
      </c>
      <c r="U156" s="26">
        <v>0.42492012779552663</v>
      </c>
      <c r="V156" s="26">
        <v>1.0383386581469662</v>
      </c>
      <c r="W156" s="27"/>
      <c r="X156" s="24" t="s">
        <v>209</v>
      </c>
      <c r="Y156" s="30" t="s">
        <v>293</v>
      </c>
      <c r="Z156" s="24" t="s">
        <v>211</v>
      </c>
      <c r="AA156" s="28" t="s">
        <v>311</v>
      </c>
      <c r="AB156" s="24" t="s">
        <v>209</v>
      </c>
      <c r="AC156" s="30" t="s">
        <v>293</v>
      </c>
      <c r="AD156" s="30" t="s">
        <v>211</v>
      </c>
      <c r="AE156" s="36">
        <v>43482</v>
      </c>
    </row>
    <row r="157" spans="1:31" ht="15.75" x14ac:dyDescent="0.25">
      <c r="A157" s="23" t="s">
        <v>899</v>
      </c>
      <c r="B157" s="24" t="s">
        <v>898</v>
      </c>
      <c r="C157" s="24" t="s">
        <v>897</v>
      </c>
      <c r="D157" s="24" t="s">
        <v>569</v>
      </c>
      <c r="E157" s="29">
        <v>46204</v>
      </c>
      <c r="F157" s="24" t="s">
        <v>43</v>
      </c>
      <c r="G157" s="24" t="s">
        <v>292</v>
      </c>
      <c r="H157" s="24" t="s">
        <v>208</v>
      </c>
      <c r="I157" s="25">
        <v>1.5067567567567599</v>
      </c>
      <c r="J157" s="26">
        <v>0.43450479233226802</v>
      </c>
      <c r="K157" s="26">
        <v>0.21086261980830667</v>
      </c>
      <c r="L157" s="26">
        <v>0.55910543130990376</v>
      </c>
      <c r="M157" s="26">
        <v>0.25878594249201275</v>
      </c>
      <c r="N157" s="26">
        <v>0.81789137380191734</v>
      </c>
      <c r="O157" s="26">
        <v>0.54952076677316253</v>
      </c>
      <c r="P157" s="26">
        <v>4.472843450479233E-2</v>
      </c>
      <c r="Q157" s="26">
        <v>5.1118210862619806E-2</v>
      </c>
      <c r="R157" s="26">
        <v>0.18849840255591049</v>
      </c>
      <c r="S157" s="26">
        <v>0.23642172523961655</v>
      </c>
      <c r="T157" s="26">
        <v>0.44089456869009586</v>
      </c>
      <c r="U157" s="26">
        <v>0.597444089456869</v>
      </c>
      <c r="V157" s="26">
        <v>0.38019169329073438</v>
      </c>
      <c r="W157" s="27"/>
      <c r="X157" s="24" t="s">
        <v>609</v>
      </c>
      <c r="Y157" s="30" t="s">
        <v>345</v>
      </c>
      <c r="Z157" s="24" t="s">
        <v>368</v>
      </c>
      <c r="AA157" s="28" t="s">
        <v>896</v>
      </c>
      <c r="AB157" s="24" t="s">
        <v>609</v>
      </c>
      <c r="AC157" s="30" t="s">
        <v>345</v>
      </c>
      <c r="AD157" s="30" t="s">
        <v>368</v>
      </c>
      <c r="AE157" s="36">
        <v>42551</v>
      </c>
    </row>
    <row r="158" spans="1:31" ht="15.75" x14ac:dyDescent="0.25">
      <c r="A158" s="23" t="s">
        <v>895</v>
      </c>
      <c r="B158" s="24" t="s">
        <v>894</v>
      </c>
      <c r="C158" s="24" t="s">
        <v>893</v>
      </c>
      <c r="D158" s="24" t="s">
        <v>222</v>
      </c>
      <c r="E158" s="29">
        <v>79118</v>
      </c>
      <c r="F158" s="24" t="s">
        <v>314</v>
      </c>
      <c r="G158" s="24" t="s">
        <v>292</v>
      </c>
      <c r="H158" s="24" t="s">
        <v>208</v>
      </c>
      <c r="I158" s="25">
        <v>1.77380952380952</v>
      </c>
      <c r="J158" s="26">
        <v>0.64536741214057525</v>
      </c>
      <c r="K158" s="26">
        <v>0.3865814696485621</v>
      </c>
      <c r="L158" s="26">
        <v>0.22683706070287524</v>
      </c>
      <c r="M158" s="26">
        <v>0.16932907348242812</v>
      </c>
      <c r="N158" s="26">
        <v>0.95846645367412264</v>
      </c>
      <c r="O158" s="26">
        <v>0.39936102236421717</v>
      </c>
      <c r="P158" s="26">
        <v>5.4313099041533544E-2</v>
      </c>
      <c r="Q158" s="26">
        <v>1.5974440894568689E-2</v>
      </c>
      <c r="R158" s="26">
        <v>0.41533546325878579</v>
      </c>
      <c r="S158" s="26">
        <v>0.25559105431309903</v>
      </c>
      <c r="T158" s="26">
        <v>0.34824281150159719</v>
      </c>
      <c r="U158" s="26">
        <v>0.40894568690095828</v>
      </c>
      <c r="V158" s="26">
        <v>0.76677316293929809</v>
      </c>
      <c r="W158" s="27"/>
      <c r="X158" s="24" t="s">
        <v>609</v>
      </c>
      <c r="Y158" s="30" t="s">
        <v>345</v>
      </c>
      <c r="Z158" s="24" t="s">
        <v>368</v>
      </c>
      <c r="AA158" s="28" t="s">
        <v>892</v>
      </c>
      <c r="AB158" s="24" t="s">
        <v>609</v>
      </c>
      <c r="AC158" s="30" t="s">
        <v>345</v>
      </c>
      <c r="AD158" s="30" t="s">
        <v>368</v>
      </c>
      <c r="AE158" s="36">
        <v>42552</v>
      </c>
    </row>
    <row r="159" spans="1:31" ht="15.75" x14ac:dyDescent="0.25">
      <c r="A159" s="23" t="s">
        <v>724</v>
      </c>
      <c r="B159" s="24" t="s">
        <v>725</v>
      </c>
      <c r="C159" s="24" t="s">
        <v>726</v>
      </c>
      <c r="D159" s="24" t="s">
        <v>522</v>
      </c>
      <c r="E159" s="29">
        <v>68731</v>
      </c>
      <c r="F159" s="24" t="s">
        <v>398</v>
      </c>
      <c r="G159" s="24" t="s">
        <v>292</v>
      </c>
      <c r="H159" s="24" t="s">
        <v>208</v>
      </c>
      <c r="I159" s="25">
        <v>3.4132231404958699</v>
      </c>
      <c r="J159" s="26">
        <v>0.10543130990415335</v>
      </c>
      <c r="K159" s="26">
        <v>0.43769968051118213</v>
      </c>
      <c r="L159" s="26">
        <v>0.69329073482428138</v>
      </c>
      <c r="M159" s="26">
        <v>0.11501597444089456</v>
      </c>
      <c r="N159" s="26">
        <v>0.94249201277955319</v>
      </c>
      <c r="O159" s="26">
        <v>0.24600638977635778</v>
      </c>
      <c r="P159" s="26">
        <v>0.13738019169329074</v>
      </c>
      <c r="Q159" s="26">
        <v>2.5559105431309903E-2</v>
      </c>
      <c r="R159" s="26">
        <v>0.31629392971246012</v>
      </c>
      <c r="S159" s="26">
        <v>0.4089456869009585</v>
      </c>
      <c r="T159" s="26">
        <v>0.33546325878594252</v>
      </c>
      <c r="U159" s="26">
        <v>0.29073482428115005</v>
      </c>
      <c r="V159" s="26">
        <v>0.58146964856229988</v>
      </c>
      <c r="W159" s="27"/>
      <c r="X159" s="24" t="s">
        <v>609</v>
      </c>
      <c r="Y159" s="30" t="s">
        <v>345</v>
      </c>
      <c r="Z159" s="24" t="s">
        <v>368</v>
      </c>
      <c r="AA159" s="28" t="s">
        <v>727</v>
      </c>
      <c r="AB159" s="24" t="s">
        <v>609</v>
      </c>
      <c r="AC159" s="30" t="s">
        <v>345</v>
      </c>
      <c r="AD159" s="30" t="s">
        <v>368</v>
      </c>
      <c r="AE159" s="36">
        <v>42999</v>
      </c>
    </row>
    <row r="160" spans="1:31" ht="15.75" x14ac:dyDescent="0.25">
      <c r="A160" s="23" t="s">
        <v>891</v>
      </c>
      <c r="B160" s="24" t="s">
        <v>890</v>
      </c>
      <c r="C160" s="24" t="s">
        <v>889</v>
      </c>
      <c r="D160" s="24" t="s">
        <v>222</v>
      </c>
      <c r="E160" s="29">
        <v>78019</v>
      </c>
      <c r="F160" s="24" t="s">
        <v>223</v>
      </c>
      <c r="G160" s="24" t="s">
        <v>292</v>
      </c>
      <c r="H160" s="24" t="s">
        <v>5</v>
      </c>
      <c r="I160" s="25">
        <v>11.893617021276601</v>
      </c>
      <c r="J160" s="26">
        <v>0.86581469648562315</v>
      </c>
      <c r="K160" s="26">
        <v>0.30031948881789144</v>
      </c>
      <c r="L160" s="26">
        <v>8.3067092651757185E-2</v>
      </c>
      <c r="M160" s="26">
        <v>7.6677316293929709E-2</v>
      </c>
      <c r="N160" s="26">
        <v>0.72523961661341851</v>
      </c>
      <c r="O160" s="26">
        <v>0.60063897763578289</v>
      </c>
      <c r="P160" s="26">
        <v>0</v>
      </c>
      <c r="Q160" s="26">
        <v>0</v>
      </c>
      <c r="R160" s="26">
        <v>3.8338658146964855E-2</v>
      </c>
      <c r="S160" s="26">
        <v>3.8338658146964855E-2</v>
      </c>
      <c r="T160" s="26">
        <v>0.64856230031948869</v>
      </c>
      <c r="U160" s="26">
        <v>0.60063897763578289</v>
      </c>
      <c r="V160" s="26">
        <v>1.2268370607028753</v>
      </c>
      <c r="W160" s="27"/>
      <c r="X160" s="24" t="s">
        <v>209</v>
      </c>
      <c r="Y160" s="30" t="s">
        <v>345</v>
      </c>
      <c r="Z160" s="24" t="s">
        <v>368</v>
      </c>
      <c r="AA160" s="28" t="s">
        <v>433</v>
      </c>
      <c r="AB160" s="24" t="s">
        <v>209</v>
      </c>
      <c r="AC160" s="30" t="s">
        <v>345</v>
      </c>
      <c r="AD160" s="30" t="s">
        <v>368</v>
      </c>
      <c r="AE160" s="36">
        <v>42999</v>
      </c>
    </row>
    <row r="161" spans="1:31" ht="15.75" x14ac:dyDescent="0.25">
      <c r="A161" s="23" t="s">
        <v>485</v>
      </c>
      <c r="B161" s="24" t="s">
        <v>888</v>
      </c>
      <c r="C161" s="24" t="s">
        <v>887</v>
      </c>
      <c r="D161" s="24" t="s">
        <v>529</v>
      </c>
      <c r="E161" s="29">
        <v>67042</v>
      </c>
      <c r="F161" s="24" t="s">
        <v>43</v>
      </c>
      <c r="G161" s="24" t="s">
        <v>292</v>
      </c>
      <c r="H161" s="24" t="s">
        <v>208</v>
      </c>
      <c r="I161" s="25">
        <v>10.4285714285714</v>
      </c>
      <c r="J161" s="26">
        <v>3.1948881789137379E-3</v>
      </c>
      <c r="K161" s="26">
        <v>0.37380191693290737</v>
      </c>
      <c r="L161" s="26">
        <v>0.76996805111821087</v>
      </c>
      <c r="M161" s="26">
        <v>0.14057507987220447</v>
      </c>
      <c r="N161" s="26">
        <v>1.2460063897763578</v>
      </c>
      <c r="O161" s="26">
        <v>1.9169329073482427E-2</v>
      </c>
      <c r="P161" s="26">
        <v>0</v>
      </c>
      <c r="Q161" s="26">
        <v>2.2364217252396165E-2</v>
      </c>
      <c r="R161" s="26">
        <v>0.73801916932907352</v>
      </c>
      <c r="S161" s="26">
        <v>0.10223642172523961</v>
      </c>
      <c r="T161" s="26">
        <v>0.3961661341853035</v>
      </c>
      <c r="U161" s="26">
        <v>5.1118210862619806E-2</v>
      </c>
      <c r="V161" s="26">
        <v>1.2044728434504794</v>
      </c>
      <c r="W161" s="27"/>
      <c r="X161" s="24" t="s">
        <v>609</v>
      </c>
      <c r="Y161" s="30" t="s">
        <v>345</v>
      </c>
      <c r="Z161" s="24" t="s">
        <v>368</v>
      </c>
      <c r="AA161" s="28" t="s">
        <v>886</v>
      </c>
      <c r="AB161" s="24" t="s">
        <v>609</v>
      </c>
      <c r="AC161" s="30" t="s">
        <v>345</v>
      </c>
      <c r="AD161" s="30" t="s">
        <v>368</v>
      </c>
      <c r="AE161" s="36">
        <v>42983</v>
      </c>
    </row>
    <row r="162" spans="1:31" ht="15.75" x14ac:dyDescent="0.25">
      <c r="A162" s="23" t="s">
        <v>885</v>
      </c>
      <c r="B162" s="24" t="s">
        <v>884</v>
      </c>
      <c r="C162" s="24" t="s">
        <v>883</v>
      </c>
      <c r="D162" s="24" t="s">
        <v>740</v>
      </c>
      <c r="E162" s="29">
        <v>57078</v>
      </c>
      <c r="F162" s="24" t="s">
        <v>398</v>
      </c>
      <c r="G162" s="24" t="s">
        <v>292</v>
      </c>
      <c r="H162" s="24" t="s">
        <v>208</v>
      </c>
      <c r="I162" s="25">
        <v>2.73170731707317</v>
      </c>
      <c r="J162" s="26">
        <v>6.070287539936102E-2</v>
      </c>
      <c r="K162" s="26">
        <v>0.16613418530351437</v>
      </c>
      <c r="L162" s="26">
        <v>0.6357827476038338</v>
      </c>
      <c r="M162" s="26">
        <v>0.23322683706070285</v>
      </c>
      <c r="N162" s="26">
        <v>0.62619808306709279</v>
      </c>
      <c r="O162" s="26">
        <v>0.38658146964856233</v>
      </c>
      <c r="P162" s="26">
        <v>6.3897763578274758E-2</v>
      </c>
      <c r="Q162" s="26">
        <v>1.9169329073482427E-2</v>
      </c>
      <c r="R162" s="26">
        <v>0.21725239616613418</v>
      </c>
      <c r="S162" s="26">
        <v>0.38019169329073493</v>
      </c>
      <c r="T162" s="26">
        <v>0.16932907348242809</v>
      </c>
      <c r="U162" s="26">
        <v>0.32907348242811496</v>
      </c>
      <c r="V162" s="26">
        <v>0.74760383386581508</v>
      </c>
      <c r="W162" s="27"/>
      <c r="X162" s="24" t="s">
        <v>609</v>
      </c>
      <c r="Y162" s="30" t="s">
        <v>345</v>
      </c>
      <c r="Z162" s="24" t="s">
        <v>368</v>
      </c>
      <c r="AA162" s="28" t="s">
        <v>727</v>
      </c>
      <c r="AB162" s="24" t="s">
        <v>609</v>
      </c>
      <c r="AC162" s="30" t="s">
        <v>345</v>
      </c>
      <c r="AD162" s="30" t="s">
        <v>368</v>
      </c>
      <c r="AE162" s="36">
        <v>42999</v>
      </c>
    </row>
    <row r="163" spans="1:31" ht="15.75" x14ac:dyDescent="0.25">
      <c r="A163" s="23" t="s">
        <v>732</v>
      </c>
      <c r="B163" s="24" t="s">
        <v>733</v>
      </c>
      <c r="C163" s="24" t="s">
        <v>632</v>
      </c>
      <c r="D163" s="24" t="s">
        <v>633</v>
      </c>
      <c r="E163" s="29">
        <v>97058</v>
      </c>
      <c r="F163" s="24" t="s">
        <v>263</v>
      </c>
      <c r="G163" s="24" t="s">
        <v>701</v>
      </c>
      <c r="H163" s="24" t="s">
        <v>208</v>
      </c>
      <c r="I163" s="25">
        <v>89.5</v>
      </c>
      <c r="J163" s="26">
        <v>0.3514376996805112</v>
      </c>
      <c r="K163" s="26">
        <v>0</v>
      </c>
      <c r="L163" s="26">
        <v>0.62939297124600635</v>
      </c>
      <c r="M163" s="26">
        <v>1.2779552715654952E-2</v>
      </c>
      <c r="N163" s="26">
        <v>0.66773162939297126</v>
      </c>
      <c r="O163" s="26">
        <v>0.32587859424920129</v>
      </c>
      <c r="P163" s="26">
        <v>0</v>
      </c>
      <c r="Q163" s="26">
        <v>0</v>
      </c>
      <c r="R163" s="26">
        <v>0.66773162939297126</v>
      </c>
      <c r="S163" s="26">
        <v>0</v>
      </c>
      <c r="T163" s="26">
        <v>0</v>
      </c>
      <c r="U163" s="26">
        <v>0.32587859424920129</v>
      </c>
      <c r="V163" s="26">
        <v>0.48242811501597449</v>
      </c>
      <c r="W163" s="27"/>
      <c r="X163" s="24" t="s">
        <v>209</v>
      </c>
      <c r="Y163" s="30" t="s">
        <v>702</v>
      </c>
      <c r="Z163" s="24" t="s">
        <v>213</v>
      </c>
      <c r="AA163" s="28" t="s">
        <v>427</v>
      </c>
      <c r="AB163" s="24" t="s">
        <v>238</v>
      </c>
      <c r="AC163" s="30"/>
      <c r="AD163" s="30"/>
      <c r="AE163" s="36"/>
    </row>
    <row r="164" spans="1:31" ht="15.75" x14ac:dyDescent="0.25">
      <c r="A164" s="23" t="s">
        <v>882</v>
      </c>
      <c r="B164" s="24" t="s">
        <v>881</v>
      </c>
      <c r="C164" s="24" t="s">
        <v>880</v>
      </c>
      <c r="D164" s="24" t="s">
        <v>879</v>
      </c>
      <c r="E164" s="29">
        <v>4102</v>
      </c>
      <c r="F164" s="24" t="s">
        <v>394</v>
      </c>
      <c r="G164" s="24" t="s">
        <v>292</v>
      </c>
      <c r="H164" s="24" t="s">
        <v>208</v>
      </c>
      <c r="I164" s="25">
        <v>2.9489795918367299</v>
      </c>
      <c r="J164" s="26">
        <v>0.46645367412140576</v>
      </c>
      <c r="K164" s="26">
        <v>0.10543130990415335</v>
      </c>
      <c r="L164" s="26">
        <v>0.23961661341853036</v>
      </c>
      <c r="M164" s="26">
        <v>0.16613418530351437</v>
      </c>
      <c r="N164" s="26">
        <v>0.33226837060702868</v>
      </c>
      <c r="O164" s="26">
        <v>0.59424920127795544</v>
      </c>
      <c r="P164" s="26">
        <v>2.5559105431309903E-2</v>
      </c>
      <c r="Q164" s="26">
        <v>2.5559105431309903E-2</v>
      </c>
      <c r="R164" s="26">
        <v>0.21086261980830667</v>
      </c>
      <c r="S164" s="26">
        <v>0.12140575079872204</v>
      </c>
      <c r="T164" s="26">
        <v>3.8338658146964855E-2</v>
      </c>
      <c r="U164" s="26">
        <v>0.60702875399361034</v>
      </c>
      <c r="V164" s="26">
        <v>0.40575079872204467</v>
      </c>
      <c r="W164" s="27"/>
      <c r="X164" s="24" t="s">
        <v>609</v>
      </c>
      <c r="Y164" s="30" t="s">
        <v>345</v>
      </c>
      <c r="Z164" s="24" t="s">
        <v>368</v>
      </c>
      <c r="AA164" s="28" t="s">
        <v>878</v>
      </c>
      <c r="AB164" s="24" t="s">
        <v>609</v>
      </c>
      <c r="AC164" s="30" t="s">
        <v>345</v>
      </c>
      <c r="AD164" s="30" t="s">
        <v>368</v>
      </c>
      <c r="AE164" s="36">
        <v>42969</v>
      </c>
    </row>
    <row r="165" spans="1:31" ht="15.75" x14ac:dyDescent="0.25">
      <c r="A165" s="23" t="s">
        <v>877</v>
      </c>
      <c r="B165" s="24" t="s">
        <v>876</v>
      </c>
      <c r="C165" s="24" t="s">
        <v>875</v>
      </c>
      <c r="D165" s="24" t="s">
        <v>222</v>
      </c>
      <c r="E165" s="29">
        <v>79401</v>
      </c>
      <c r="F165" s="24" t="s">
        <v>314</v>
      </c>
      <c r="G165" s="24" t="s">
        <v>292</v>
      </c>
      <c r="H165" s="24" t="s">
        <v>208</v>
      </c>
      <c r="I165" s="25">
        <v>1.52898550724638</v>
      </c>
      <c r="J165" s="26">
        <v>0.22364217252396162</v>
      </c>
      <c r="K165" s="26">
        <v>0.30351437699680489</v>
      </c>
      <c r="L165" s="26">
        <v>0.13099041533546324</v>
      </c>
      <c r="M165" s="26">
        <v>2.2364217252396165E-2</v>
      </c>
      <c r="N165" s="26">
        <v>0.41533546325878568</v>
      </c>
      <c r="O165" s="26">
        <v>0.24600638977635769</v>
      </c>
      <c r="P165" s="26">
        <v>9.5846645367412137E-3</v>
      </c>
      <c r="Q165" s="26">
        <v>9.5846645367412137E-3</v>
      </c>
      <c r="R165" s="26">
        <v>0.13738019169329074</v>
      </c>
      <c r="S165" s="26">
        <v>0.10223642172523961</v>
      </c>
      <c r="T165" s="26">
        <v>0.1757188498402556</v>
      </c>
      <c r="U165" s="26">
        <v>0.26517571884984009</v>
      </c>
      <c r="V165" s="26">
        <v>0.29073482428114988</v>
      </c>
      <c r="W165" s="27"/>
      <c r="X165" s="24" t="s">
        <v>609</v>
      </c>
      <c r="Y165" s="30" t="s">
        <v>345</v>
      </c>
      <c r="Z165" s="24" t="s">
        <v>368</v>
      </c>
      <c r="AA165" s="28" t="s">
        <v>652</v>
      </c>
      <c r="AB165" s="24" t="s">
        <v>609</v>
      </c>
      <c r="AC165" s="30" t="s">
        <v>345</v>
      </c>
      <c r="AD165" s="30" t="s">
        <v>368</v>
      </c>
      <c r="AE165" s="36">
        <v>42580</v>
      </c>
    </row>
    <row r="166" spans="1:31" ht="15.75" x14ac:dyDescent="0.25">
      <c r="A166" s="23" t="s">
        <v>874</v>
      </c>
      <c r="B166" s="24" t="s">
        <v>873</v>
      </c>
      <c r="C166" s="24" t="s">
        <v>872</v>
      </c>
      <c r="D166" s="24" t="s">
        <v>205</v>
      </c>
      <c r="E166" s="29">
        <v>92154</v>
      </c>
      <c r="F166" s="24" t="s">
        <v>256</v>
      </c>
      <c r="G166" s="24" t="s">
        <v>0</v>
      </c>
      <c r="H166" s="24" t="s">
        <v>208</v>
      </c>
      <c r="I166" s="25">
        <v>13</v>
      </c>
      <c r="J166" s="26">
        <v>0.63578274760383369</v>
      </c>
      <c r="K166" s="26">
        <v>0</v>
      </c>
      <c r="L166" s="26">
        <v>1.5974440894568689E-2</v>
      </c>
      <c r="M166" s="26">
        <v>0</v>
      </c>
      <c r="N166" s="26">
        <v>0</v>
      </c>
      <c r="O166" s="26">
        <v>0.36102236421725231</v>
      </c>
      <c r="P166" s="26">
        <v>0</v>
      </c>
      <c r="Q166" s="26">
        <v>0.29073482428115011</v>
      </c>
      <c r="R166" s="26">
        <v>0</v>
      </c>
      <c r="S166" s="26">
        <v>0</v>
      </c>
      <c r="T166" s="26">
        <v>0</v>
      </c>
      <c r="U166" s="26">
        <v>0.65175718849840236</v>
      </c>
      <c r="V166" s="26">
        <v>1.2779552715654952E-2</v>
      </c>
      <c r="W166" s="27"/>
      <c r="X166" s="24" t="s">
        <v>238</v>
      </c>
      <c r="Y166" s="30"/>
      <c r="Z166" s="24"/>
      <c r="AA166" s="28"/>
      <c r="AB166" s="24" t="s">
        <v>238</v>
      </c>
      <c r="AC166" s="30"/>
      <c r="AD166" s="30"/>
      <c r="AE166" s="36"/>
    </row>
    <row r="167" spans="1:31" ht="15.75" x14ac:dyDescent="0.25">
      <c r="A167" s="23" t="s">
        <v>871</v>
      </c>
      <c r="B167" s="24" t="s">
        <v>870</v>
      </c>
      <c r="C167" s="24" t="s">
        <v>869</v>
      </c>
      <c r="D167" s="24" t="s">
        <v>252</v>
      </c>
      <c r="E167" s="29">
        <v>39520</v>
      </c>
      <c r="F167" s="24" t="s">
        <v>235</v>
      </c>
      <c r="G167" s="24" t="s">
        <v>236</v>
      </c>
      <c r="H167" s="24" t="s">
        <v>208</v>
      </c>
      <c r="I167" s="25">
        <v>2.51351351351351</v>
      </c>
      <c r="J167" s="26">
        <v>3.8338658146964855E-2</v>
      </c>
      <c r="K167" s="26">
        <v>0.23322683706070282</v>
      </c>
      <c r="L167" s="26">
        <v>0.24281150159744408</v>
      </c>
      <c r="M167" s="26">
        <v>0.13418530351437699</v>
      </c>
      <c r="N167" s="26">
        <v>0.37380191693290715</v>
      </c>
      <c r="O167" s="26">
        <v>0.24600638977635786</v>
      </c>
      <c r="P167" s="26">
        <v>2.8753993610223641E-2</v>
      </c>
      <c r="Q167" s="26">
        <v>0</v>
      </c>
      <c r="R167" s="26">
        <v>8.3067092651757185E-2</v>
      </c>
      <c r="S167" s="26">
        <v>0.2108626198083067</v>
      </c>
      <c r="T167" s="26">
        <v>0.10223642172523961</v>
      </c>
      <c r="U167" s="26">
        <v>0.25239616613418531</v>
      </c>
      <c r="V167" s="26">
        <v>0.43130990415335452</v>
      </c>
      <c r="W167" s="27"/>
      <c r="X167" s="24" t="s">
        <v>238</v>
      </c>
      <c r="Y167" s="30"/>
      <c r="Z167" s="24"/>
      <c r="AA167" s="28"/>
      <c r="AB167" s="24" t="s">
        <v>238</v>
      </c>
      <c r="AC167" s="30"/>
      <c r="AD167" s="30"/>
      <c r="AE167" s="36"/>
    </row>
    <row r="168" spans="1:31" ht="15.75" x14ac:dyDescent="0.25">
      <c r="A168" s="23" t="s">
        <v>734</v>
      </c>
      <c r="B168" s="24" t="s">
        <v>735</v>
      </c>
      <c r="C168" s="24" t="s">
        <v>736</v>
      </c>
      <c r="D168" s="24" t="s">
        <v>217</v>
      </c>
      <c r="E168" s="29">
        <v>30161</v>
      </c>
      <c r="F168" s="24" t="s">
        <v>218</v>
      </c>
      <c r="G168" s="24" t="s">
        <v>292</v>
      </c>
      <c r="H168" s="24" t="s">
        <v>208</v>
      </c>
      <c r="I168" s="25">
        <v>2.02564102564103</v>
      </c>
      <c r="J168" s="26">
        <v>0.22364217252396162</v>
      </c>
      <c r="K168" s="26">
        <v>0.23003194888178913</v>
      </c>
      <c r="L168" s="26">
        <v>4.7923322683706068E-2</v>
      </c>
      <c r="M168" s="26">
        <v>2.8753993610223641E-2</v>
      </c>
      <c r="N168" s="26">
        <v>0.31309904153354634</v>
      </c>
      <c r="O168" s="26">
        <v>0.14057507987220447</v>
      </c>
      <c r="P168" s="26">
        <v>1.5974440894568689E-2</v>
      </c>
      <c r="Q168" s="26">
        <v>6.070287539936102E-2</v>
      </c>
      <c r="R168" s="26">
        <v>6.3897763578274758E-2</v>
      </c>
      <c r="S168" s="26">
        <v>6.3897763578274758E-2</v>
      </c>
      <c r="T168" s="26">
        <v>0.20447284345047922</v>
      </c>
      <c r="U168" s="26">
        <v>0.19808306709265172</v>
      </c>
      <c r="V168" s="26">
        <v>0.12460063897763578</v>
      </c>
      <c r="W168" s="27"/>
      <c r="X168" s="24" t="s">
        <v>238</v>
      </c>
      <c r="Y168" s="30"/>
      <c r="Z168" s="24"/>
      <c r="AA168" s="28"/>
      <c r="AB168" s="24" t="s">
        <v>238</v>
      </c>
      <c r="AC168" s="30"/>
      <c r="AD168" s="30"/>
      <c r="AE168" s="36"/>
    </row>
    <row r="169" spans="1:31" ht="15.75" x14ac:dyDescent="0.25">
      <c r="A169" s="23" t="s">
        <v>737</v>
      </c>
      <c r="B169" s="24" t="s">
        <v>738</v>
      </c>
      <c r="C169" s="24" t="s">
        <v>739</v>
      </c>
      <c r="D169" s="24" t="s">
        <v>222</v>
      </c>
      <c r="E169" s="29">
        <v>78840</v>
      </c>
      <c r="F169" s="24" t="s">
        <v>223</v>
      </c>
      <c r="G169" s="24" t="s">
        <v>292</v>
      </c>
      <c r="H169" s="24" t="s">
        <v>208</v>
      </c>
      <c r="I169" s="25">
        <v>1.7</v>
      </c>
      <c r="J169" s="26">
        <v>0.31629392971245984</v>
      </c>
      <c r="K169" s="26">
        <v>0.10223642172523961</v>
      </c>
      <c r="L169" s="26">
        <v>5.1118210862619806E-2</v>
      </c>
      <c r="M169" s="26">
        <v>2.5559105431309903E-2</v>
      </c>
      <c r="N169" s="26">
        <v>0.18210862619808305</v>
      </c>
      <c r="O169" s="26">
        <v>0.17252396166134182</v>
      </c>
      <c r="P169" s="26">
        <v>0.11182108626198083</v>
      </c>
      <c r="Q169" s="26">
        <v>2.8753993610223641E-2</v>
      </c>
      <c r="R169" s="26">
        <v>0.18210862619808305</v>
      </c>
      <c r="S169" s="26">
        <v>5.1118210862619806E-2</v>
      </c>
      <c r="T169" s="26">
        <v>6.070287539936102E-2</v>
      </c>
      <c r="U169" s="26">
        <v>0.20127795527156545</v>
      </c>
      <c r="V169" s="26">
        <v>0.39936102236421689</v>
      </c>
      <c r="W169" s="27"/>
      <c r="X169" s="24" t="s">
        <v>209</v>
      </c>
      <c r="Y169" s="30" t="s">
        <v>345</v>
      </c>
      <c r="Z169" s="24" t="s">
        <v>368</v>
      </c>
      <c r="AA169" s="28" t="s">
        <v>433</v>
      </c>
      <c r="AB169" s="24" t="s">
        <v>609</v>
      </c>
      <c r="AC169" s="30" t="s">
        <v>345</v>
      </c>
      <c r="AD169" s="30" t="s">
        <v>368</v>
      </c>
      <c r="AE169" s="36">
        <v>43374</v>
      </c>
    </row>
    <row r="170" spans="1:31" ht="15.75" x14ac:dyDescent="0.25">
      <c r="A170" s="23" t="s">
        <v>868</v>
      </c>
      <c r="B170" s="24" t="s">
        <v>867</v>
      </c>
      <c r="C170" s="24" t="s">
        <v>866</v>
      </c>
      <c r="D170" s="24" t="s">
        <v>569</v>
      </c>
      <c r="E170" s="29">
        <v>46802</v>
      </c>
      <c r="F170" s="24" t="s">
        <v>43</v>
      </c>
      <c r="G170" s="24" t="s">
        <v>0</v>
      </c>
      <c r="H170" s="24" t="s">
        <v>208</v>
      </c>
      <c r="I170" s="25">
        <v>1.8048780487804901</v>
      </c>
      <c r="J170" s="26">
        <v>9.2651757188498399E-2</v>
      </c>
      <c r="K170" s="26">
        <v>0.15015974440894564</v>
      </c>
      <c r="L170" s="26">
        <v>0.19488817891373794</v>
      </c>
      <c r="M170" s="26">
        <v>4.1533546325878593E-2</v>
      </c>
      <c r="N170" s="26">
        <v>0.35463258785942475</v>
      </c>
      <c r="O170" s="26">
        <v>9.9041533546325874E-2</v>
      </c>
      <c r="P170" s="26">
        <v>6.3897763578274758E-3</v>
      </c>
      <c r="Q170" s="26">
        <v>1.9169329073482427E-2</v>
      </c>
      <c r="R170" s="26">
        <v>8.3067092651757185E-2</v>
      </c>
      <c r="S170" s="26">
        <v>0.11501597444089456</v>
      </c>
      <c r="T170" s="26">
        <v>0.16293929712460059</v>
      </c>
      <c r="U170" s="26">
        <v>0.1182108626198083</v>
      </c>
      <c r="V170" s="26">
        <v>0.24281150159744408</v>
      </c>
      <c r="W170" s="27"/>
      <c r="X170" s="24" t="s">
        <v>238</v>
      </c>
      <c r="Y170" s="30"/>
      <c r="Z170" s="24"/>
      <c r="AA170" s="28"/>
      <c r="AB170" s="24" t="s">
        <v>238</v>
      </c>
      <c r="AC170" s="30"/>
      <c r="AD170" s="30"/>
      <c r="AE170" s="36"/>
    </row>
    <row r="171" spans="1:31" ht="15.75" x14ac:dyDescent="0.25">
      <c r="A171" s="23" t="s">
        <v>865</v>
      </c>
      <c r="B171" s="24" t="s">
        <v>864</v>
      </c>
      <c r="C171" s="24" t="s">
        <v>863</v>
      </c>
      <c r="D171" s="24" t="s">
        <v>419</v>
      </c>
      <c r="E171" s="29">
        <v>61061</v>
      </c>
      <c r="F171" s="24" t="s">
        <v>43</v>
      </c>
      <c r="G171" s="24" t="s">
        <v>292</v>
      </c>
      <c r="H171" s="24" t="s">
        <v>208</v>
      </c>
      <c r="I171" s="25">
        <v>2.08196721311475</v>
      </c>
      <c r="J171" s="26">
        <v>7.6677316293929709E-2</v>
      </c>
      <c r="K171" s="26">
        <v>3.8338658146964855E-2</v>
      </c>
      <c r="L171" s="26">
        <v>0.14057507987220447</v>
      </c>
      <c r="M171" s="26">
        <v>0.18210862619808305</v>
      </c>
      <c r="N171" s="26">
        <v>0.34824281150159747</v>
      </c>
      <c r="O171" s="26">
        <v>7.0287539936102233E-2</v>
      </c>
      <c r="P171" s="26">
        <v>1.9169329073482427E-2</v>
      </c>
      <c r="Q171" s="26">
        <v>0</v>
      </c>
      <c r="R171" s="26">
        <v>0.20447284345047917</v>
      </c>
      <c r="S171" s="26">
        <v>7.9872204472843447E-2</v>
      </c>
      <c r="T171" s="26">
        <v>8.3067092651757185E-2</v>
      </c>
      <c r="U171" s="26">
        <v>7.0287539936102233E-2</v>
      </c>
      <c r="V171" s="26">
        <v>0.27795527156549527</v>
      </c>
      <c r="W171" s="27"/>
      <c r="X171" s="24" t="s">
        <v>238</v>
      </c>
      <c r="Y171" s="30"/>
      <c r="Z171" s="24"/>
      <c r="AA171" s="28" t="s">
        <v>356</v>
      </c>
      <c r="AB171" s="24" t="s">
        <v>238</v>
      </c>
      <c r="AC171" s="30"/>
      <c r="AD171" s="30"/>
      <c r="AE171" s="36"/>
    </row>
    <row r="172" spans="1:31" ht="15.75" x14ac:dyDescent="0.25">
      <c r="A172" s="23" t="s">
        <v>741</v>
      </c>
      <c r="B172" s="24" t="s">
        <v>742</v>
      </c>
      <c r="C172" s="24" t="s">
        <v>743</v>
      </c>
      <c r="D172" s="24" t="s">
        <v>222</v>
      </c>
      <c r="E172" s="29">
        <v>75751</v>
      </c>
      <c r="F172" s="24" t="s">
        <v>314</v>
      </c>
      <c r="G172" s="24" t="s">
        <v>236</v>
      </c>
      <c r="H172" s="24" t="s">
        <v>208</v>
      </c>
      <c r="I172" s="25">
        <v>1.4464285714285701</v>
      </c>
      <c r="J172" s="26">
        <v>0.10862619808306709</v>
      </c>
      <c r="K172" s="26">
        <v>6.3897763578274758E-2</v>
      </c>
      <c r="L172" s="26">
        <v>7.0287539936102233E-2</v>
      </c>
      <c r="M172" s="26">
        <v>2.8753993610223641E-2</v>
      </c>
      <c r="N172" s="26">
        <v>0.21725239616613412</v>
      </c>
      <c r="O172" s="26">
        <v>4.1533546325878593E-2</v>
      </c>
      <c r="P172" s="26">
        <v>9.5846645367412137E-3</v>
      </c>
      <c r="Q172" s="26">
        <v>3.1948881789137379E-3</v>
      </c>
      <c r="R172" s="26">
        <v>6.7092651757188496E-2</v>
      </c>
      <c r="S172" s="26">
        <v>3.8338658146964855E-2</v>
      </c>
      <c r="T172" s="26">
        <v>0.12140575079872204</v>
      </c>
      <c r="U172" s="26">
        <v>4.472843450479233E-2</v>
      </c>
      <c r="V172" s="26">
        <v>8.3067092651757185E-2</v>
      </c>
      <c r="W172" s="27"/>
      <c r="X172" s="24" t="s">
        <v>238</v>
      </c>
      <c r="Y172" s="30"/>
      <c r="Z172" s="24"/>
      <c r="AA172" s="28"/>
      <c r="AB172" s="24" t="s">
        <v>238</v>
      </c>
      <c r="AC172" s="30"/>
      <c r="AD172" s="30"/>
      <c r="AE172" s="36"/>
    </row>
    <row r="173" spans="1:31" ht="15.75" x14ac:dyDescent="0.25">
      <c r="A173" s="23" t="s">
        <v>862</v>
      </c>
      <c r="B173" s="24" t="s">
        <v>861</v>
      </c>
      <c r="C173" s="24" t="s">
        <v>860</v>
      </c>
      <c r="D173" s="24" t="s">
        <v>332</v>
      </c>
      <c r="E173" s="29">
        <v>81625</v>
      </c>
      <c r="F173" s="24" t="s">
        <v>333</v>
      </c>
      <c r="G173" s="24" t="s">
        <v>236</v>
      </c>
      <c r="H173" s="24" t="s">
        <v>208</v>
      </c>
      <c r="I173" s="25">
        <v>1.75</v>
      </c>
      <c r="J173" s="26">
        <v>3.5143769968051117E-2</v>
      </c>
      <c r="K173" s="26">
        <v>6.3897763578274758E-2</v>
      </c>
      <c r="L173" s="26">
        <v>7.6677316293929709E-2</v>
      </c>
      <c r="M173" s="26">
        <v>3.1948881789137379E-2</v>
      </c>
      <c r="N173" s="26">
        <v>0.13418530351437696</v>
      </c>
      <c r="O173" s="26">
        <v>6.7092651757188496E-2</v>
      </c>
      <c r="P173" s="26">
        <v>0</v>
      </c>
      <c r="Q173" s="26">
        <v>6.3897763578274758E-3</v>
      </c>
      <c r="R173" s="26">
        <v>4.1533546325878593E-2</v>
      </c>
      <c r="S173" s="26">
        <v>6.7092651757188496E-2</v>
      </c>
      <c r="T173" s="26">
        <v>2.5559105431309903E-2</v>
      </c>
      <c r="U173" s="26">
        <v>7.3482428115015971E-2</v>
      </c>
      <c r="V173" s="26">
        <v>0.12779552715654952</v>
      </c>
      <c r="W173" s="27"/>
      <c r="X173" s="24" t="s">
        <v>609</v>
      </c>
      <c r="Y173" s="30" t="s">
        <v>345</v>
      </c>
      <c r="Z173" s="24" t="s">
        <v>368</v>
      </c>
      <c r="AA173" s="28" t="s">
        <v>712</v>
      </c>
      <c r="AB173" s="24" t="s">
        <v>609</v>
      </c>
      <c r="AC173" s="30" t="s">
        <v>345</v>
      </c>
      <c r="AD173" s="30" t="s">
        <v>368</v>
      </c>
      <c r="AE173" s="36">
        <v>42986</v>
      </c>
    </row>
    <row r="174" spans="1:31" ht="15.75" x14ac:dyDescent="0.25">
      <c r="A174" s="23" t="s">
        <v>859</v>
      </c>
      <c r="B174" s="24" t="s">
        <v>858</v>
      </c>
      <c r="C174" s="24" t="s">
        <v>288</v>
      </c>
      <c r="D174" s="24" t="s">
        <v>222</v>
      </c>
      <c r="E174" s="29">
        <v>78580</v>
      </c>
      <c r="F174" s="24" t="s">
        <v>223</v>
      </c>
      <c r="G174" s="24" t="s">
        <v>0</v>
      </c>
      <c r="H174" s="24" t="s">
        <v>208</v>
      </c>
      <c r="I174" s="25">
        <v>1.5680000000000001</v>
      </c>
      <c r="J174" s="26">
        <v>0.12140575079872204</v>
      </c>
      <c r="K174" s="26">
        <v>0</v>
      </c>
      <c r="L174" s="26">
        <v>0</v>
      </c>
      <c r="M174" s="26">
        <v>0</v>
      </c>
      <c r="N174" s="26">
        <v>0</v>
      </c>
      <c r="O174" s="26">
        <v>0</v>
      </c>
      <c r="P174" s="26">
        <v>0</v>
      </c>
      <c r="Q174" s="26">
        <v>0.12140575079872204</v>
      </c>
      <c r="R174" s="26">
        <v>0</v>
      </c>
      <c r="S174" s="26">
        <v>0</v>
      </c>
      <c r="T174" s="26">
        <v>0</v>
      </c>
      <c r="U174" s="26">
        <v>0.12140575079872204</v>
      </c>
      <c r="V174" s="26">
        <v>0</v>
      </c>
      <c r="W174" s="27"/>
      <c r="X174" s="24" t="s">
        <v>238</v>
      </c>
      <c r="Y174" s="30"/>
      <c r="Z174" s="24"/>
      <c r="AA174" s="28"/>
      <c r="AB174" s="24" t="s">
        <v>238</v>
      </c>
      <c r="AC174" s="30"/>
      <c r="AD174" s="30"/>
      <c r="AE174" s="36"/>
    </row>
    <row r="175" spans="1:31" ht="15.75" x14ac:dyDescent="0.25">
      <c r="A175" s="23" t="s">
        <v>857</v>
      </c>
      <c r="B175" s="24" t="s">
        <v>856</v>
      </c>
      <c r="C175" s="24" t="s">
        <v>855</v>
      </c>
      <c r="D175" s="24" t="s">
        <v>529</v>
      </c>
      <c r="E175" s="29">
        <v>67846</v>
      </c>
      <c r="F175" s="24" t="s">
        <v>43</v>
      </c>
      <c r="G175" s="24" t="s">
        <v>236</v>
      </c>
      <c r="H175" s="24" t="s">
        <v>208</v>
      </c>
      <c r="I175" s="25">
        <v>1.58536585365854</v>
      </c>
      <c r="J175" s="26">
        <v>0</v>
      </c>
      <c r="K175" s="26">
        <v>7.0287539936102233E-2</v>
      </c>
      <c r="L175" s="26">
        <v>3.8338658146964855E-2</v>
      </c>
      <c r="M175" s="26">
        <v>0</v>
      </c>
      <c r="N175" s="26">
        <v>3.5143769968051117E-2</v>
      </c>
      <c r="O175" s="26">
        <v>6.7092651757188496E-2</v>
      </c>
      <c r="P175" s="26">
        <v>6.3897763578274758E-3</v>
      </c>
      <c r="Q175" s="26">
        <v>0</v>
      </c>
      <c r="R175" s="26">
        <v>1.9169329073482427E-2</v>
      </c>
      <c r="S175" s="26">
        <v>1.2779552715654952E-2</v>
      </c>
      <c r="T175" s="26">
        <v>9.5846645367412137E-3</v>
      </c>
      <c r="U175" s="26">
        <v>6.7092651757188496E-2</v>
      </c>
      <c r="V175" s="26">
        <v>6.070287539936102E-2</v>
      </c>
      <c r="W175" s="27"/>
      <c r="X175" s="24" t="s">
        <v>209</v>
      </c>
      <c r="Y175" s="30" t="s">
        <v>345</v>
      </c>
      <c r="Z175" s="24" t="s">
        <v>346</v>
      </c>
      <c r="AA175" s="28" t="s">
        <v>854</v>
      </c>
      <c r="AB175" s="24" t="s">
        <v>238</v>
      </c>
      <c r="AC175" s="30"/>
      <c r="AD175" s="30"/>
      <c r="AE175" s="36"/>
    </row>
    <row r="176" spans="1:31" ht="15.75" x14ac:dyDescent="0.25">
      <c r="A176" s="23" t="s">
        <v>853</v>
      </c>
      <c r="B176" s="24" t="s">
        <v>852</v>
      </c>
      <c r="C176" s="24" t="s">
        <v>851</v>
      </c>
      <c r="D176" s="24" t="s">
        <v>222</v>
      </c>
      <c r="E176" s="29">
        <v>78539</v>
      </c>
      <c r="F176" s="24" t="s">
        <v>223</v>
      </c>
      <c r="G176" s="24" t="s">
        <v>236</v>
      </c>
      <c r="H176" s="24" t="s">
        <v>208</v>
      </c>
      <c r="I176" s="25">
        <v>0</v>
      </c>
      <c r="J176" s="26">
        <v>1.9169329073482427E-2</v>
      </c>
      <c r="K176" s="26">
        <v>0</v>
      </c>
      <c r="L176" s="26">
        <v>0</v>
      </c>
      <c r="M176" s="26">
        <v>0</v>
      </c>
      <c r="N176" s="26">
        <v>0</v>
      </c>
      <c r="O176" s="26">
        <v>1.9169329073482427E-2</v>
      </c>
      <c r="P176" s="26">
        <v>0</v>
      </c>
      <c r="Q176" s="26">
        <v>0</v>
      </c>
      <c r="R176" s="26">
        <v>0</v>
      </c>
      <c r="S176" s="26">
        <v>0</v>
      </c>
      <c r="T176" s="26">
        <v>0</v>
      </c>
      <c r="U176" s="26">
        <v>1.9169329073482427E-2</v>
      </c>
      <c r="V176" s="26">
        <v>0</v>
      </c>
      <c r="W176" s="27"/>
      <c r="X176" s="24" t="s">
        <v>238</v>
      </c>
      <c r="Y176" s="30"/>
      <c r="Z176" s="24"/>
      <c r="AA176" s="28"/>
      <c r="AB176" s="24" t="s">
        <v>238</v>
      </c>
      <c r="AC176" s="30"/>
      <c r="AD176" s="30"/>
      <c r="AE176" s="36"/>
    </row>
  </sheetData>
  <mergeCells count="15">
    <mergeCell ref="A1:D1"/>
    <mergeCell ref="A2:D2"/>
    <mergeCell ref="A3:D3"/>
    <mergeCell ref="E3:H3"/>
    <mergeCell ref="I3:L3"/>
    <mergeCell ref="AC3:AE3"/>
    <mergeCell ref="W5:AE5"/>
    <mergeCell ref="A4:V4"/>
    <mergeCell ref="J5:M5"/>
    <mergeCell ref="N5:Q5"/>
    <mergeCell ref="R5:U5"/>
    <mergeCell ref="M3:P3"/>
    <mergeCell ref="Q3:T3"/>
    <mergeCell ref="U3:X3"/>
    <mergeCell ref="Y3:AB3"/>
  </mergeCells>
  <conditionalFormatting sqref="AE7">
    <cfRule type="cellIs" dxfId="64" priority="1" stopIfTrue="1" operator="equal">
      <formula>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9"/>
  <sheetViews>
    <sheetView showGridLines="0" tabSelected="1" zoomScale="80" zoomScaleNormal="80" workbookViewId="0">
      <selection activeCell="B63" sqref="B63"/>
    </sheetView>
  </sheetViews>
  <sheetFormatPr defaultRowHeight="15" x14ac:dyDescent="0.25"/>
  <cols>
    <col min="1" max="1" width="26.5703125" style="7" customWidth="1"/>
    <col min="2" max="2" width="151.42578125" style="7" customWidth="1"/>
    <col min="3" max="5" width="8.5703125" customWidth="1"/>
    <col min="6" max="6" width="8.5703125" bestFit="1" customWidth="1"/>
    <col min="7" max="7" width="10.42578125" customWidth="1"/>
    <col min="8" max="8" width="9" bestFit="1" customWidth="1"/>
    <col min="9" max="9" width="7.5703125" bestFit="1" customWidth="1"/>
    <col min="11" max="11" width="7.5703125" bestFit="1" customWidth="1"/>
    <col min="12" max="12" width="9" bestFit="1" customWidth="1"/>
    <col min="13" max="13" width="7.5703125" customWidth="1"/>
    <col min="26" max="26" width="10.5703125" bestFit="1" customWidth="1"/>
  </cols>
  <sheetData>
    <row r="1" spans="1:31" s="11" customFormat="1" ht="26.25" x14ac:dyDescent="0.25">
      <c r="A1" s="203" t="s">
        <v>58</v>
      </c>
      <c r="B1" s="203"/>
      <c r="C1" s="203"/>
      <c r="D1" s="203"/>
      <c r="E1" s="33"/>
      <c r="F1" s="33"/>
      <c r="G1" s="33"/>
      <c r="H1" s="33"/>
      <c r="I1" s="33"/>
      <c r="J1" s="33"/>
      <c r="K1" s="33"/>
      <c r="L1" s="33"/>
      <c r="M1" s="33"/>
      <c r="N1" s="33"/>
      <c r="O1" s="33"/>
      <c r="P1" s="33"/>
      <c r="Q1" s="33"/>
      <c r="R1" s="33"/>
      <c r="S1" s="33"/>
      <c r="T1" s="33"/>
      <c r="U1" s="33"/>
      <c r="V1" s="33"/>
      <c r="W1" s="33"/>
      <c r="X1" s="33"/>
      <c r="Y1" s="33"/>
      <c r="Z1" s="33"/>
      <c r="AA1" s="33"/>
      <c r="AB1" s="33"/>
      <c r="AC1" s="33"/>
      <c r="AD1" s="33"/>
      <c r="AE1" s="33"/>
    </row>
    <row r="2" spans="1:31" s="11" customFormat="1" ht="74.25" customHeight="1" x14ac:dyDescent="0.25">
      <c r="A2" s="204" t="s">
        <v>59</v>
      </c>
      <c r="B2" s="204"/>
      <c r="C2" s="204"/>
      <c r="D2" s="204"/>
      <c r="E2" s="33"/>
      <c r="F2" s="33"/>
      <c r="G2" s="33"/>
      <c r="H2" s="33"/>
      <c r="I2" s="33"/>
      <c r="J2" s="33"/>
      <c r="K2" s="33"/>
      <c r="L2" s="33"/>
      <c r="M2" s="33"/>
      <c r="N2" s="33"/>
      <c r="O2" s="33"/>
      <c r="P2" s="33"/>
      <c r="Q2" s="33"/>
      <c r="R2" s="33"/>
      <c r="S2" s="33"/>
      <c r="T2" s="33"/>
      <c r="U2" s="33"/>
      <c r="V2" s="33"/>
      <c r="W2" s="33"/>
      <c r="X2" s="33"/>
      <c r="Y2" s="33"/>
      <c r="Z2" s="33"/>
      <c r="AA2" s="33"/>
      <c r="AB2" s="33"/>
      <c r="AC2" s="33"/>
      <c r="AD2" s="33"/>
      <c r="AE2" s="33"/>
    </row>
    <row r="3" spans="1:31" s="11" customFormat="1" ht="48.6" customHeight="1" thickBot="1" x14ac:dyDescent="0.3">
      <c r="A3" s="64" t="s">
        <v>781</v>
      </c>
      <c r="B3" s="64"/>
      <c r="C3" s="69"/>
      <c r="D3" s="69"/>
      <c r="E3" s="263"/>
      <c r="F3" s="263"/>
      <c r="G3" s="263"/>
      <c r="H3" s="263"/>
      <c r="I3" s="263"/>
      <c r="J3" s="263"/>
      <c r="K3" s="263"/>
      <c r="L3" s="263"/>
      <c r="M3" s="263"/>
      <c r="N3" s="263"/>
      <c r="O3" s="263"/>
      <c r="P3" s="263"/>
      <c r="Q3" s="263"/>
      <c r="R3" s="263"/>
      <c r="S3" s="263"/>
      <c r="T3" s="263"/>
      <c r="U3" s="263"/>
      <c r="V3" s="263"/>
      <c r="W3" s="263"/>
      <c r="X3" s="263"/>
      <c r="Y3" s="263"/>
      <c r="Z3" s="263"/>
      <c r="AA3" s="263"/>
      <c r="AB3" s="263"/>
      <c r="AC3" s="263"/>
      <c r="AD3" s="263"/>
      <c r="AE3" s="263"/>
    </row>
    <row r="4" spans="1:31" ht="18.75" x14ac:dyDescent="0.25">
      <c r="A4" s="170" t="s">
        <v>129</v>
      </c>
      <c r="B4" s="171" t="s">
        <v>130</v>
      </c>
    </row>
    <row r="5" spans="1:31" ht="15.75" x14ac:dyDescent="0.25">
      <c r="A5" s="172" t="s">
        <v>60</v>
      </c>
      <c r="B5" s="173" t="s">
        <v>61</v>
      </c>
    </row>
    <row r="6" spans="1:31" ht="15.75" x14ac:dyDescent="0.25">
      <c r="A6" s="172" t="s">
        <v>62</v>
      </c>
      <c r="B6" s="173" t="s">
        <v>63</v>
      </c>
    </row>
    <row r="7" spans="1:31" ht="15.75" x14ac:dyDescent="0.25">
      <c r="A7" s="172" t="s">
        <v>64</v>
      </c>
      <c r="B7" s="173" t="s">
        <v>65</v>
      </c>
    </row>
    <row r="8" spans="1:31" ht="15.75" x14ac:dyDescent="0.25">
      <c r="A8" s="172" t="s">
        <v>66</v>
      </c>
      <c r="B8" s="173" t="s">
        <v>67</v>
      </c>
    </row>
    <row r="9" spans="1:31" ht="15.75" x14ac:dyDescent="0.25">
      <c r="A9" s="172" t="s">
        <v>4</v>
      </c>
      <c r="B9" s="173" t="s">
        <v>68</v>
      </c>
    </row>
    <row r="10" spans="1:31" ht="15.75" x14ac:dyDescent="0.25">
      <c r="A10" s="185" t="s">
        <v>924</v>
      </c>
      <c r="B10" s="173" t="s">
        <v>925</v>
      </c>
    </row>
    <row r="11" spans="1:31" ht="15.75" x14ac:dyDescent="0.25">
      <c r="A11" s="172" t="s">
        <v>69</v>
      </c>
      <c r="B11" s="173" t="s">
        <v>70</v>
      </c>
    </row>
    <row r="12" spans="1:31" ht="15.75" x14ac:dyDescent="0.25">
      <c r="A12" s="172" t="s">
        <v>71</v>
      </c>
      <c r="B12" s="173" t="s">
        <v>72</v>
      </c>
    </row>
    <row r="13" spans="1:31" ht="15.75" x14ac:dyDescent="0.25">
      <c r="A13" s="172" t="s">
        <v>73</v>
      </c>
      <c r="B13" s="173" t="s">
        <v>74</v>
      </c>
      <c r="Z13" s="68"/>
    </row>
    <row r="14" spans="1:31" ht="47.25" x14ac:dyDescent="0.25">
      <c r="A14" s="172" t="s">
        <v>75</v>
      </c>
      <c r="B14" s="173" t="s">
        <v>76</v>
      </c>
    </row>
    <row r="15" spans="1:31" ht="47.25" x14ac:dyDescent="0.25">
      <c r="A15" s="172" t="s">
        <v>78</v>
      </c>
      <c r="B15" s="173" t="s">
        <v>79</v>
      </c>
    </row>
    <row r="16" spans="1:31" ht="15.75" x14ac:dyDescent="0.25">
      <c r="A16" s="172" t="s">
        <v>80</v>
      </c>
      <c r="B16" s="173" t="s">
        <v>81</v>
      </c>
    </row>
    <row r="17" spans="1:2" ht="15.75" x14ac:dyDescent="0.25">
      <c r="A17" s="185" t="s">
        <v>922</v>
      </c>
      <c r="B17" s="173" t="s">
        <v>923</v>
      </c>
    </row>
    <row r="18" spans="1:2" ht="47.25" customHeight="1" x14ac:dyDescent="0.25">
      <c r="A18" s="266" t="s">
        <v>82</v>
      </c>
      <c r="B18" s="173" t="s">
        <v>83</v>
      </c>
    </row>
    <row r="19" spans="1:2" ht="47.25" x14ac:dyDescent="0.25">
      <c r="A19" s="266"/>
      <c r="B19" s="173" t="s">
        <v>84</v>
      </c>
    </row>
    <row r="20" spans="1:2" ht="47.1" customHeight="1" x14ac:dyDescent="0.25">
      <c r="A20" s="264" t="s">
        <v>792</v>
      </c>
      <c r="B20" s="173" t="s">
        <v>793</v>
      </c>
    </row>
    <row r="21" spans="1:2" ht="47.25" x14ac:dyDescent="0.25">
      <c r="A21" s="265"/>
      <c r="B21" s="173" t="s">
        <v>794</v>
      </c>
    </row>
    <row r="22" spans="1:2" ht="15.75" x14ac:dyDescent="0.25">
      <c r="A22" s="172" t="s">
        <v>85</v>
      </c>
      <c r="B22" s="173" t="s">
        <v>86</v>
      </c>
    </row>
    <row r="23" spans="1:2" ht="15.75" x14ac:dyDescent="0.25">
      <c r="A23" s="172" t="s">
        <v>87</v>
      </c>
      <c r="B23" s="173" t="s">
        <v>88</v>
      </c>
    </row>
    <row r="24" spans="1:2" ht="15.75" x14ac:dyDescent="0.25">
      <c r="A24" s="172" t="s">
        <v>89</v>
      </c>
      <c r="B24" s="173" t="s">
        <v>90</v>
      </c>
    </row>
    <row r="25" spans="1:2" ht="15.75" x14ac:dyDescent="0.25">
      <c r="A25" s="172" t="s">
        <v>91</v>
      </c>
      <c r="B25" s="173" t="s">
        <v>92</v>
      </c>
    </row>
    <row r="26" spans="1:2" ht="47.25" x14ac:dyDescent="0.25">
      <c r="A26" s="172" t="s">
        <v>93</v>
      </c>
      <c r="B26" s="173" t="s">
        <v>94</v>
      </c>
    </row>
    <row r="27" spans="1:2" ht="31.5" x14ac:dyDescent="0.25">
      <c r="A27" s="172" t="s">
        <v>95</v>
      </c>
      <c r="B27" s="173" t="s">
        <v>96</v>
      </c>
    </row>
    <row r="28" spans="1:2" ht="15.75" x14ac:dyDescent="0.25">
      <c r="A28" s="172" t="s">
        <v>97</v>
      </c>
      <c r="B28" s="173" t="s">
        <v>98</v>
      </c>
    </row>
    <row r="29" spans="1:2" ht="15.75" x14ac:dyDescent="0.25">
      <c r="A29" s="172" t="s">
        <v>99</v>
      </c>
      <c r="B29" s="173" t="s">
        <v>100</v>
      </c>
    </row>
    <row r="30" spans="1:2" ht="15.75" x14ac:dyDescent="0.25">
      <c r="A30" s="172" t="s">
        <v>101</v>
      </c>
      <c r="B30" s="173" t="s">
        <v>102</v>
      </c>
    </row>
    <row r="31" spans="1:2" ht="31.5" x14ac:dyDescent="0.25">
      <c r="A31" s="172" t="s">
        <v>103</v>
      </c>
      <c r="B31" s="173" t="s">
        <v>104</v>
      </c>
    </row>
    <row r="32" spans="1:2" ht="15.75" x14ac:dyDescent="0.25">
      <c r="A32" s="172" t="s">
        <v>105</v>
      </c>
      <c r="B32" s="173" t="s">
        <v>106</v>
      </c>
    </row>
    <row r="33" spans="1:2" ht="15.75" x14ac:dyDescent="0.25">
      <c r="A33" s="172" t="s">
        <v>2</v>
      </c>
      <c r="B33" s="173" t="s">
        <v>107</v>
      </c>
    </row>
    <row r="34" spans="1:2" ht="31.5" x14ac:dyDescent="0.25">
      <c r="A34" s="174" t="s">
        <v>835</v>
      </c>
      <c r="B34" s="175" t="s">
        <v>108</v>
      </c>
    </row>
    <row r="35" spans="1:2" ht="15.75" x14ac:dyDescent="0.25">
      <c r="A35" s="172" t="s">
        <v>3</v>
      </c>
      <c r="B35" s="173" t="s">
        <v>109</v>
      </c>
    </row>
    <row r="36" spans="1:2" ht="31.5" x14ac:dyDescent="0.25">
      <c r="A36" s="172" t="s">
        <v>111</v>
      </c>
      <c r="B36" s="173" t="s">
        <v>112</v>
      </c>
    </row>
    <row r="37" spans="1:2" ht="15.75" x14ac:dyDescent="0.25">
      <c r="A37" s="172" t="s">
        <v>113</v>
      </c>
      <c r="B37" s="173" t="s">
        <v>114</v>
      </c>
    </row>
    <row r="38" spans="1:2" ht="31.5" x14ac:dyDescent="0.25">
      <c r="A38" s="172" t="s">
        <v>115</v>
      </c>
      <c r="B38" s="173" t="s">
        <v>116</v>
      </c>
    </row>
    <row r="39" spans="1:2" ht="15.75" x14ac:dyDescent="0.25">
      <c r="A39" s="172" t="s">
        <v>117</v>
      </c>
      <c r="B39" s="173" t="s">
        <v>795</v>
      </c>
    </row>
    <row r="40" spans="1:2" ht="15.75" x14ac:dyDescent="0.25">
      <c r="A40" s="172" t="s">
        <v>28</v>
      </c>
      <c r="B40" s="173" t="s">
        <v>796</v>
      </c>
    </row>
    <row r="41" spans="1:2" ht="15.75" x14ac:dyDescent="0.25">
      <c r="A41" s="266" t="s">
        <v>118</v>
      </c>
      <c r="B41" s="173" t="s">
        <v>119</v>
      </c>
    </row>
    <row r="42" spans="1:2" ht="15.75" x14ac:dyDescent="0.25">
      <c r="A42" s="266"/>
      <c r="B42" s="173" t="s">
        <v>120</v>
      </c>
    </row>
    <row r="43" spans="1:2" ht="47.25" x14ac:dyDescent="0.25">
      <c r="A43" s="266"/>
      <c r="B43" s="173" t="s">
        <v>121</v>
      </c>
    </row>
    <row r="44" spans="1:2" ht="15.75" x14ac:dyDescent="0.25">
      <c r="A44" s="266"/>
      <c r="B44" s="173" t="s">
        <v>122</v>
      </c>
    </row>
    <row r="45" spans="1:2" ht="47.25" x14ac:dyDescent="0.25">
      <c r="A45" s="266"/>
      <c r="B45" s="173" t="s">
        <v>123</v>
      </c>
    </row>
    <row r="46" spans="1:2" ht="15.75" x14ac:dyDescent="0.25">
      <c r="A46" s="266"/>
      <c r="B46" s="173" t="s">
        <v>124</v>
      </c>
    </row>
    <row r="47" spans="1:2" ht="31.5" x14ac:dyDescent="0.25">
      <c r="A47" s="266"/>
      <c r="B47" s="173" t="s">
        <v>125</v>
      </c>
    </row>
    <row r="48" spans="1:2" ht="31.5" x14ac:dyDescent="0.25">
      <c r="A48" s="266"/>
      <c r="B48" s="173" t="s">
        <v>126</v>
      </c>
    </row>
    <row r="49" spans="1:2" ht="15.75" x14ac:dyDescent="0.25">
      <c r="A49" s="172" t="s">
        <v>127</v>
      </c>
      <c r="B49" s="173" t="s">
        <v>128</v>
      </c>
    </row>
    <row r="50" spans="1:2" ht="31.5" x14ac:dyDescent="0.25">
      <c r="A50" s="264" t="s">
        <v>850</v>
      </c>
      <c r="B50" s="173" t="s">
        <v>797</v>
      </c>
    </row>
    <row r="51" spans="1:2" ht="15.75" x14ac:dyDescent="0.25">
      <c r="A51" s="273"/>
      <c r="B51" s="173" t="s">
        <v>798</v>
      </c>
    </row>
    <row r="52" spans="1:2" ht="15.75" x14ac:dyDescent="0.25">
      <c r="A52" s="265"/>
      <c r="B52" s="173" t="s">
        <v>799</v>
      </c>
    </row>
    <row r="53" spans="1:2" ht="15.75" customHeight="1" x14ac:dyDescent="0.25">
      <c r="A53" s="267" t="s">
        <v>824</v>
      </c>
      <c r="B53" s="176" t="s">
        <v>838</v>
      </c>
    </row>
    <row r="54" spans="1:2" ht="15.75" x14ac:dyDescent="0.25">
      <c r="A54" s="268"/>
      <c r="B54" s="175" t="s">
        <v>800</v>
      </c>
    </row>
    <row r="55" spans="1:2" ht="35.450000000000003" customHeight="1" x14ac:dyDescent="0.25">
      <c r="A55" s="268"/>
      <c r="B55" s="175" t="s">
        <v>801</v>
      </c>
    </row>
    <row r="56" spans="1:2" ht="86.25" customHeight="1" x14ac:dyDescent="0.25">
      <c r="A56" s="268"/>
      <c r="B56" s="175" t="s">
        <v>823</v>
      </c>
    </row>
    <row r="57" spans="1:2" ht="87.6" customHeight="1" x14ac:dyDescent="0.25">
      <c r="A57" s="268"/>
      <c r="B57" s="175" t="s">
        <v>826</v>
      </c>
    </row>
    <row r="58" spans="1:2" ht="31.5" x14ac:dyDescent="0.25">
      <c r="A58" s="268"/>
      <c r="B58" s="175" t="s">
        <v>802</v>
      </c>
    </row>
    <row r="59" spans="1:2" ht="78.75" x14ac:dyDescent="0.25">
      <c r="A59" s="268"/>
      <c r="B59" s="175" t="s">
        <v>820</v>
      </c>
    </row>
    <row r="60" spans="1:2" ht="15.75" x14ac:dyDescent="0.25">
      <c r="A60" s="268"/>
      <c r="B60" s="175" t="s">
        <v>803</v>
      </c>
    </row>
    <row r="61" spans="1:2" ht="31.5" x14ac:dyDescent="0.25">
      <c r="A61" s="269"/>
      <c r="B61" s="175" t="s">
        <v>804</v>
      </c>
    </row>
    <row r="62" spans="1:2" ht="15.75" x14ac:dyDescent="0.25">
      <c r="A62" s="270" t="s">
        <v>827</v>
      </c>
      <c r="B62" s="176" t="s">
        <v>839</v>
      </c>
    </row>
    <row r="63" spans="1:2" ht="31.5" x14ac:dyDescent="0.25">
      <c r="A63" s="271"/>
      <c r="B63" s="173" t="s">
        <v>805</v>
      </c>
    </row>
    <row r="64" spans="1:2" ht="15.75" x14ac:dyDescent="0.25">
      <c r="A64" s="271"/>
      <c r="B64" s="173" t="s">
        <v>806</v>
      </c>
    </row>
    <row r="65" spans="1:2" ht="15.75" x14ac:dyDescent="0.25">
      <c r="A65" s="271"/>
      <c r="B65" s="173" t="s">
        <v>807</v>
      </c>
    </row>
    <row r="66" spans="1:2" ht="78.75" x14ac:dyDescent="0.25">
      <c r="A66" s="271"/>
      <c r="B66" s="175" t="s">
        <v>825</v>
      </c>
    </row>
    <row r="67" spans="1:2" ht="50.1" customHeight="1" x14ac:dyDescent="0.25">
      <c r="A67" s="272"/>
      <c r="B67" s="173" t="s">
        <v>804</v>
      </c>
    </row>
    <row r="68" spans="1:2" ht="15.75" x14ac:dyDescent="0.25">
      <c r="A68" s="264" t="s">
        <v>828</v>
      </c>
      <c r="B68" s="176" t="s">
        <v>840</v>
      </c>
    </row>
    <row r="69" spans="1:2" ht="15.75" x14ac:dyDescent="0.25">
      <c r="A69" s="273"/>
      <c r="B69" s="173" t="s">
        <v>808</v>
      </c>
    </row>
    <row r="70" spans="1:2" ht="39.950000000000003" customHeight="1" x14ac:dyDescent="0.25">
      <c r="A70" s="273"/>
      <c r="B70" s="173" t="s">
        <v>809</v>
      </c>
    </row>
    <row r="71" spans="1:2" ht="63" x14ac:dyDescent="0.25">
      <c r="A71" s="273"/>
      <c r="B71" s="173" t="s">
        <v>810</v>
      </c>
    </row>
    <row r="72" spans="1:2" ht="31.5" x14ac:dyDescent="0.25">
      <c r="A72" s="265"/>
      <c r="B72" s="173" t="s">
        <v>804</v>
      </c>
    </row>
    <row r="73" spans="1:2" ht="20.45" customHeight="1" x14ac:dyDescent="0.25">
      <c r="A73" s="177" t="s">
        <v>829</v>
      </c>
      <c r="B73" s="176" t="s">
        <v>841</v>
      </c>
    </row>
    <row r="74" spans="1:2" ht="15.75" x14ac:dyDescent="0.25">
      <c r="A74" s="177"/>
      <c r="B74" s="173" t="s">
        <v>811</v>
      </c>
    </row>
    <row r="75" spans="1:2" ht="83.45" customHeight="1" x14ac:dyDescent="0.25">
      <c r="A75" s="178"/>
      <c r="B75" s="175" t="s">
        <v>825</v>
      </c>
    </row>
    <row r="76" spans="1:2" ht="78.75" x14ac:dyDescent="0.25">
      <c r="A76" s="179"/>
      <c r="B76" s="176" t="s">
        <v>820</v>
      </c>
    </row>
    <row r="77" spans="1:2" ht="15.75" x14ac:dyDescent="0.25">
      <c r="A77" s="179"/>
      <c r="B77" s="173" t="s">
        <v>803</v>
      </c>
    </row>
    <row r="78" spans="1:2" ht="31.5" x14ac:dyDescent="0.25">
      <c r="A78" s="179"/>
      <c r="B78" s="173" t="s">
        <v>812</v>
      </c>
    </row>
    <row r="79" spans="1:2" ht="31.5" x14ac:dyDescent="0.25">
      <c r="A79" s="180"/>
      <c r="B79" s="175" t="s">
        <v>821</v>
      </c>
    </row>
    <row r="80" spans="1:2" ht="15.75" x14ac:dyDescent="0.25">
      <c r="A80" s="179" t="s">
        <v>830</v>
      </c>
      <c r="B80" s="176" t="s">
        <v>838</v>
      </c>
    </row>
    <row r="81" spans="1:2" ht="15.75" x14ac:dyDescent="0.25">
      <c r="A81" s="179"/>
      <c r="B81" s="173" t="s">
        <v>811</v>
      </c>
    </row>
    <row r="82" spans="1:2" ht="31.5" x14ac:dyDescent="0.25">
      <c r="A82" s="179"/>
      <c r="B82" s="173" t="s">
        <v>802</v>
      </c>
    </row>
    <row r="83" spans="1:2" ht="15.75" x14ac:dyDescent="0.25">
      <c r="A83" s="179"/>
      <c r="B83" s="173" t="s">
        <v>813</v>
      </c>
    </row>
    <row r="84" spans="1:2" ht="47.25" x14ac:dyDescent="0.25">
      <c r="A84" s="178"/>
      <c r="B84" s="173" t="s">
        <v>814</v>
      </c>
    </row>
    <row r="85" spans="1:2" ht="31.5" x14ac:dyDescent="0.25">
      <c r="A85" s="178"/>
      <c r="B85" s="173" t="s">
        <v>815</v>
      </c>
    </row>
    <row r="86" spans="1:2" ht="15.75" x14ac:dyDescent="0.25">
      <c r="A86" s="178"/>
      <c r="B86" s="173" t="s">
        <v>816</v>
      </c>
    </row>
    <row r="87" spans="1:2" ht="15.75" x14ac:dyDescent="0.25">
      <c r="A87" s="178"/>
      <c r="B87" s="173" t="s">
        <v>803</v>
      </c>
    </row>
    <row r="88" spans="1:2" ht="78.75" x14ac:dyDescent="0.25">
      <c r="A88" s="178"/>
      <c r="B88" s="175" t="s">
        <v>825</v>
      </c>
    </row>
    <row r="89" spans="1:2" ht="31.5" x14ac:dyDescent="0.25">
      <c r="A89" s="181"/>
      <c r="B89" s="173" t="s">
        <v>804</v>
      </c>
    </row>
    <row r="90" spans="1:2" ht="15.6" customHeight="1" x14ac:dyDescent="0.25">
      <c r="A90" s="274" t="s">
        <v>837</v>
      </c>
      <c r="B90" s="182" t="s">
        <v>842</v>
      </c>
    </row>
    <row r="91" spans="1:2" ht="15.75" x14ac:dyDescent="0.25">
      <c r="A91" s="275"/>
      <c r="B91" s="182" t="s">
        <v>843</v>
      </c>
    </row>
    <row r="92" spans="1:2" ht="15.75" x14ac:dyDescent="0.25">
      <c r="A92" s="275"/>
      <c r="B92" s="183" t="s">
        <v>811</v>
      </c>
    </row>
    <row r="93" spans="1:2" ht="15.75" x14ac:dyDescent="0.25">
      <c r="A93" s="275"/>
      <c r="B93" s="182" t="s">
        <v>844</v>
      </c>
    </row>
    <row r="94" spans="1:2" ht="63" x14ac:dyDescent="0.25">
      <c r="A94" s="275"/>
      <c r="B94" s="183" t="s">
        <v>831</v>
      </c>
    </row>
    <row r="95" spans="1:2" ht="31.5" x14ac:dyDescent="0.25">
      <c r="A95" s="275"/>
      <c r="B95" s="183" t="s">
        <v>832</v>
      </c>
    </row>
    <row r="96" spans="1:2" ht="47.25" x14ac:dyDescent="0.25">
      <c r="A96" s="275"/>
      <c r="B96" s="182" t="s">
        <v>845</v>
      </c>
    </row>
    <row r="97" spans="1:2" ht="31.5" x14ac:dyDescent="0.25">
      <c r="A97" s="275"/>
      <c r="B97" s="183" t="s">
        <v>833</v>
      </c>
    </row>
    <row r="98" spans="1:2" ht="141.75" x14ac:dyDescent="0.25">
      <c r="A98" s="275"/>
      <c r="B98" s="182" t="s">
        <v>846</v>
      </c>
    </row>
    <row r="99" spans="1:2" ht="63.75" thickBot="1" x14ac:dyDescent="0.3">
      <c r="A99" s="276"/>
      <c r="B99" s="184" t="s">
        <v>834</v>
      </c>
    </row>
  </sheetData>
  <sheetProtection sheet="1" objects="1" scenarios="1"/>
  <mergeCells count="17">
    <mergeCell ref="A53:A61"/>
    <mergeCell ref="A62:A67"/>
    <mergeCell ref="A68:A72"/>
    <mergeCell ref="A90:A99"/>
    <mergeCell ref="A18:A19"/>
    <mergeCell ref="A50:A52"/>
    <mergeCell ref="A1:D1"/>
    <mergeCell ref="A2:D2"/>
    <mergeCell ref="Y3:AB3"/>
    <mergeCell ref="A20:A21"/>
    <mergeCell ref="A41:A48"/>
    <mergeCell ref="AC3:AE3"/>
    <mergeCell ref="E3:H3"/>
    <mergeCell ref="I3:L3"/>
    <mergeCell ref="M3:P3"/>
    <mergeCell ref="Q3:T3"/>
    <mergeCell ref="U3:X3"/>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7F57B024AAA2849AD5D4D6F3B5DAC10" ma:contentTypeVersion="10" ma:contentTypeDescription="Create a new document." ma:contentTypeScope="" ma:versionID="b65fd6d479e37d79e97739a597846120">
  <xsd:schema xmlns:xsd="http://www.w3.org/2001/XMLSchema" xmlns:xs="http://www.w3.org/2001/XMLSchema" xmlns:p="http://schemas.microsoft.com/office/2006/metadata/properties" xmlns:ns2="4fb1db5d-19c2-4c8a-82e5-c8fdf1b06038" targetNamespace="http://schemas.microsoft.com/office/2006/metadata/properties" ma:root="true" ma:fieldsID="3a10e8632b40af3d46de2d3f205b3b8e" ns2:_="">
    <xsd:import namespace="4fb1db5d-19c2-4c8a-82e5-c8fdf1b060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1db5d-19c2-4c8a-82e5-c8fdf1b06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2.xml><?xml version="1.0" encoding="utf-8"?>
<ds:datastoreItem xmlns:ds="http://schemas.openxmlformats.org/officeDocument/2006/customXml" ds:itemID="{4FC54DB1-AB9D-4044-B2CB-71BD5843F6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b1db5d-19c2-4c8a-82e5-c8fdf1b060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A08AC0-783C-4C1B-927A-AB27E36B29B1}">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4fb1db5d-19c2-4c8a-82e5-c8fdf1b0603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Header</vt:lpstr>
      <vt:lpstr>ATD FY20 YTD</vt:lpstr>
      <vt:lpstr>Detention FY20 YTD</vt:lpstr>
      <vt:lpstr>Facilities FY20 YTD</vt:lpstr>
      <vt:lpstr>Footnotes</vt:lpstr>
      <vt:lpstr>'Detention FY20 YTD'!Print_Area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Tyler M (CTR)</dc:creator>
  <cp:lastModifiedBy>Solorzano, Eliman</cp:lastModifiedBy>
  <cp:lastPrinted>2020-02-10T19:14:43Z</cp:lastPrinted>
  <dcterms:created xsi:type="dcterms:W3CDTF">2020-01-31T18:40:16Z</dcterms:created>
  <dcterms:modified xsi:type="dcterms:W3CDTF">2020-08-21T14:55:23Z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0x01010027F57B024AAA2849AD5D4D6F3B5DAC10</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ies>
</file>